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derabad_1901" sheetId="1" r:id="rId5"/>
  </sheets>
  <definedNames/>
  <calcPr/>
</workbook>
</file>

<file path=xl/sharedStrings.xml><?xml version="1.0" encoding="utf-8"?>
<sst xmlns="http://schemas.openxmlformats.org/spreadsheetml/2006/main" count="30" uniqueCount="18">
  <si>
    <t>Total</t>
  </si>
  <si>
    <t>District</t>
  </si>
  <si>
    <t>Age</t>
  </si>
  <si>
    <t>Persons</t>
  </si>
  <si>
    <t>Males</t>
  </si>
  <si>
    <t>Females</t>
  </si>
  <si>
    <t>Hyderabad</t>
  </si>
  <si>
    <t>0-5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</si>
  <si>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</si>
  <si>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</si>
  <si>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</si>
  <si>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</si>
  <si>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</si>
  <si>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</si>
  <si>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</si>
  <si>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</si>
  <si>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</si>
  <si>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 and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</si>
</sst>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15" si="1">sum(E3:F3)</f>
        <v>1355667</v>
      </c>
      <c r="E3" s="9">
        <v>658857.0</v>
      </c>
      <c r="F3" s="9">
        <v>696810.0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1">
        <v>45787.0</v>
      </c>
      <c r="D4" s="8">
        <f t="shared" si="1"/>
        <v>1452869</v>
      </c>
      <c r="E4" s="9">
        <v>755968.0</v>
      </c>
      <c r="F4" s="9">
        <v>696901.0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6</v>
      </c>
      <c r="C5" s="11">
        <v>45945.0</v>
      </c>
      <c r="D5" s="8">
        <f t="shared" si="1"/>
        <v>1344321</v>
      </c>
      <c r="E5" s="9">
        <v>733509.0</v>
      </c>
      <c r="F5" s="9">
        <v>610812.0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6</v>
      </c>
      <c r="C6" s="7" t="s">
        <v>8</v>
      </c>
      <c r="D6" s="8">
        <f t="shared" si="1"/>
        <v>852380</v>
      </c>
      <c r="E6" s="9">
        <v>428400.0</v>
      </c>
      <c r="F6" s="9">
        <v>423980.0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7" t="s">
        <v>9</v>
      </c>
      <c r="D7" s="8">
        <f t="shared" si="1"/>
        <v>893929</v>
      </c>
      <c r="E7" s="9">
        <v>405709.0</v>
      </c>
      <c r="F7" s="9">
        <v>488220.0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7" t="s">
        <v>10</v>
      </c>
      <c r="D8" s="8">
        <f t="shared" si="1"/>
        <v>1051408</v>
      </c>
      <c r="E8" s="9">
        <v>523518.0</v>
      </c>
      <c r="F8" s="9">
        <v>527890.0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7" t="s">
        <v>11</v>
      </c>
      <c r="D9" s="8">
        <f t="shared" si="1"/>
        <v>1072226</v>
      </c>
      <c r="E9" s="9">
        <v>538818.0</v>
      </c>
      <c r="F9" s="9">
        <v>533408.0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6</v>
      </c>
      <c r="C10" s="7" t="s">
        <v>12</v>
      </c>
      <c r="D10" s="8">
        <f t="shared" si="1"/>
        <v>628689</v>
      </c>
      <c r="E10" s="9">
        <v>342613.0</v>
      </c>
      <c r="F10" s="9">
        <v>286076.0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6</v>
      </c>
      <c r="C11" s="7" t="s">
        <v>13</v>
      </c>
      <c r="D11" s="8">
        <f t="shared" si="1"/>
        <v>818045</v>
      </c>
      <c r="E11" s="9">
        <v>425753.0</v>
      </c>
      <c r="F11" s="9">
        <v>392292.0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6</v>
      </c>
      <c r="C12" s="7" t="s">
        <v>14</v>
      </c>
      <c r="D12" s="8">
        <f t="shared" si="1"/>
        <v>351028</v>
      </c>
      <c r="E12" s="9">
        <v>200814.0</v>
      </c>
      <c r="F12" s="9">
        <v>150214.0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6</v>
      </c>
      <c r="C13" s="7" t="s">
        <v>15</v>
      </c>
      <c r="D13" s="8">
        <f t="shared" si="1"/>
        <v>568550</v>
      </c>
      <c r="E13" s="9">
        <v>289341.0</v>
      </c>
      <c r="F13" s="9">
        <v>279209.0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6</v>
      </c>
      <c r="C14" s="7" t="s">
        <v>16</v>
      </c>
      <c r="D14" s="8">
        <f t="shared" si="1"/>
        <v>168158</v>
      </c>
      <c r="E14" s="9">
        <v>93094.0</v>
      </c>
      <c r="F14" s="9">
        <v>75064.0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6</v>
      </c>
      <c r="C15" s="7" t="s">
        <v>17</v>
      </c>
      <c r="D15" s="8">
        <f t="shared" si="1"/>
        <v>571011</v>
      </c>
      <c r="E15" s="9">
        <v>271092.0</v>
      </c>
      <c r="F15" s="9">
        <v>299919.0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/>
      <c r="C16" s="7"/>
      <c r="E16" s="9"/>
      <c r="F16" s="9"/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/>
      <c r="C17" s="11"/>
      <c r="E17" s="9"/>
      <c r="F17" s="9"/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/>
      <c r="C18" s="11"/>
      <c r="E18" s="9"/>
      <c r="F18" s="9"/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/>
      <c r="C19" s="6"/>
      <c r="E19" s="9"/>
      <c r="F19" s="9"/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/>
      <c r="C20" s="6"/>
      <c r="E20" s="9"/>
      <c r="F20" s="9"/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/>
      <c r="C21" s="6"/>
      <c r="E21" s="9"/>
      <c r="F21" s="9"/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/>
      <c r="C22" s="6"/>
      <c r="E22" s="9"/>
      <c r="F22" s="9"/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/>
      <c r="C23" s="6"/>
      <c r="E23" s="9"/>
      <c r="F23" s="9"/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/>
      <c r="C24" s="6"/>
      <c r="E24" s="9"/>
      <c r="F24" s="9"/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/>
      <c r="C25" s="6"/>
      <c r="E25" s="9"/>
      <c r="F25" s="9"/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/>
      <c r="C26" s="6"/>
      <c r="E26" s="9"/>
      <c r="F26" s="9"/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/>
      <c r="C27" s="6"/>
      <c r="E27" s="9"/>
      <c r="F27" s="9"/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/>
      <c r="C28" s="6"/>
      <c r="E28" s="9"/>
      <c r="F28" s="9"/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/>
      <c r="C29" s="7"/>
      <c r="E29" s="9"/>
      <c r="F29" s="9"/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/>
      <c r="C30" s="11"/>
      <c r="E30" s="9"/>
      <c r="F30" s="9"/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/>
      <c r="C31" s="11"/>
      <c r="E31" s="9"/>
      <c r="F31" s="9"/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/>
      <c r="C32" s="6"/>
      <c r="E32" s="9"/>
      <c r="F32" s="9"/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/>
      <c r="C33" s="6"/>
      <c r="E33" s="9"/>
      <c r="F33" s="9"/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/>
      <c r="C34" s="6"/>
      <c r="E34" s="9"/>
      <c r="F34" s="9"/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/>
      <c r="C35" s="6"/>
      <c r="E35" s="9"/>
      <c r="F35" s="9"/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/>
      <c r="C36" s="6"/>
      <c r="E36" s="9"/>
      <c r="F36" s="9"/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/>
      <c r="C37" s="6"/>
      <c r="E37" s="9"/>
      <c r="F37" s="9"/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/>
      <c r="C38" s="6"/>
      <c r="E38" s="9"/>
      <c r="F38" s="9"/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/>
      <c r="C39" s="6"/>
      <c r="E39" s="9"/>
      <c r="F39" s="9"/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/>
      <c r="C40" s="6"/>
      <c r="E40" s="9"/>
      <c r="F40" s="9"/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/>
      <c r="C41" s="6"/>
      <c r="E41" s="9"/>
      <c r="F41" s="9"/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/>
      <c r="C42" s="7"/>
      <c r="E42" s="9"/>
      <c r="F42" s="9"/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/>
      <c r="C43" s="11"/>
      <c r="E43" s="9"/>
      <c r="F43" s="9"/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/>
      <c r="C44" s="11"/>
      <c r="E44" s="9"/>
      <c r="F44" s="9"/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/>
      <c r="C45" s="6"/>
      <c r="E45" s="9"/>
      <c r="F45" s="9"/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/>
      <c r="C46" s="6"/>
      <c r="E46" s="9"/>
      <c r="F46" s="9"/>
      <c r="G46" s="10"/>
      <c r="H46" s="6"/>
      <c r="I46" s="7"/>
      <c r="K46" s="9"/>
      <c r="L46" s="9"/>
      <c r="M46" s="5"/>
      <c r="N46" s="6"/>
      <c r="O46" s="7"/>
      <c r="Q46" s="9"/>
      <c r="R46" s="9"/>
      <c r="T46" s="6"/>
      <c r="U46" s="7"/>
      <c r="W46" s="9"/>
      <c r="X46" s="9"/>
    </row>
    <row r="47">
      <c r="B47" s="6"/>
      <c r="C47" s="6"/>
      <c r="E47" s="9"/>
      <c r="F47" s="9"/>
      <c r="G47" s="10"/>
      <c r="H47" s="6"/>
      <c r="I47" s="7"/>
      <c r="K47" s="9"/>
      <c r="L47" s="9"/>
      <c r="M47" s="5"/>
      <c r="N47" s="6"/>
      <c r="O47" s="7"/>
      <c r="Q47" s="9"/>
      <c r="R47" s="9"/>
      <c r="T47" s="6"/>
      <c r="U47" s="7"/>
      <c r="W47" s="9"/>
      <c r="X47" s="9"/>
    </row>
    <row r="48">
      <c r="B48" s="6"/>
      <c r="C48" s="6"/>
      <c r="E48" s="9"/>
      <c r="F48" s="9"/>
      <c r="G48" s="10"/>
      <c r="H48" s="6"/>
      <c r="I48" s="7"/>
      <c r="K48" s="9"/>
      <c r="L48" s="9"/>
      <c r="M48" s="5"/>
      <c r="N48" s="6"/>
      <c r="O48" s="7"/>
      <c r="Q48" s="9"/>
      <c r="R48" s="9"/>
      <c r="T48" s="6"/>
      <c r="U48" s="7"/>
      <c r="W48" s="9"/>
      <c r="X48" s="9"/>
    </row>
    <row r="49">
      <c r="B49" s="6"/>
      <c r="C49" s="6"/>
      <c r="E49" s="9"/>
      <c r="F49" s="9"/>
      <c r="G49" s="10"/>
      <c r="H49" s="6"/>
      <c r="I49" s="7"/>
      <c r="K49" s="9"/>
      <c r="L49" s="9"/>
      <c r="M49" s="5"/>
      <c r="N49" s="6"/>
      <c r="O49" s="7"/>
      <c r="Q49" s="9"/>
      <c r="R49" s="9"/>
      <c r="T49" s="6"/>
      <c r="U49" s="7"/>
      <c r="W49" s="9"/>
      <c r="X49" s="9"/>
    </row>
    <row r="50">
      <c r="B50" s="6"/>
      <c r="C50" s="6"/>
      <c r="E50" s="9"/>
      <c r="F50" s="9"/>
      <c r="G50" s="10"/>
      <c r="H50" s="6"/>
      <c r="I50" s="7"/>
      <c r="K50" s="9"/>
      <c r="L50" s="9"/>
      <c r="M50" s="5"/>
      <c r="N50" s="6"/>
      <c r="O50" s="7"/>
      <c r="Q50" s="9"/>
      <c r="R50" s="9"/>
      <c r="T50" s="6"/>
      <c r="U50" s="7"/>
      <c r="W50" s="9"/>
      <c r="X50" s="9"/>
    </row>
    <row r="51">
      <c r="B51" s="6"/>
      <c r="C51" s="6"/>
      <c r="E51" s="9"/>
      <c r="F51" s="9"/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/>
      <c r="C52" s="6"/>
      <c r="E52" s="9"/>
      <c r="F52" s="9"/>
      <c r="G52" s="10"/>
      <c r="H52" s="6"/>
      <c r="I52" s="7"/>
      <c r="K52" s="9"/>
      <c r="L52" s="9"/>
      <c r="M52" s="5"/>
      <c r="N52" s="6"/>
      <c r="O52" s="7"/>
      <c r="Q52" s="9"/>
      <c r="R52" s="9"/>
      <c r="T52" s="6"/>
      <c r="U52" s="7"/>
      <c r="W52" s="9"/>
      <c r="X52" s="9"/>
    </row>
    <row r="53">
      <c r="B53" s="6"/>
      <c r="C53" s="6"/>
      <c r="E53" s="9"/>
      <c r="F53" s="9"/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/>
      <c r="C54" s="6"/>
      <c r="E54" s="9"/>
      <c r="F54" s="9"/>
      <c r="G54" s="10"/>
      <c r="H54" s="6"/>
      <c r="I54" s="11"/>
      <c r="K54" s="9"/>
      <c r="L54" s="9"/>
      <c r="M54" s="5"/>
      <c r="N54" s="6"/>
      <c r="O54" s="11"/>
      <c r="Q54" s="9"/>
      <c r="R54" s="9"/>
      <c r="T54" s="6"/>
      <c r="U54" s="11"/>
      <c r="W54" s="9"/>
      <c r="X54" s="9"/>
    </row>
    <row r="55">
      <c r="B55" s="6"/>
      <c r="C55" s="7"/>
      <c r="E55" s="9"/>
      <c r="F55" s="9"/>
      <c r="G55" s="10"/>
      <c r="H55" s="6"/>
      <c r="I55" s="6"/>
      <c r="K55" s="9"/>
      <c r="L55" s="9"/>
      <c r="M55" s="5"/>
      <c r="N55" s="6"/>
      <c r="O55" s="6"/>
      <c r="Q55" s="9"/>
      <c r="R55" s="9"/>
    </row>
    <row r="56">
      <c r="B56" s="6"/>
      <c r="C56" s="11"/>
      <c r="E56" s="9"/>
      <c r="F56" s="9"/>
      <c r="G56" s="10"/>
      <c r="H56" s="6"/>
      <c r="I56" s="6"/>
      <c r="K56" s="9"/>
      <c r="L56" s="9"/>
      <c r="M56" s="5"/>
      <c r="N56" s="6"/>
      <c r="O56" s="6"/>
      <c r="Q56" s="9"/>
      <c r="R56" s="9"/>
    </row>
    <row r="57">
      <c r="B57" s="6"/>
      <c r="C57" s="11"/>
      <c r="E57" s="9"/>
      <c r="F57" s="9"/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/>
      <c r="C58" s="6"/>
      <c r="E58" s="9"/>
      <c r="F58" s="9"/>
      <c r="G58" s="10"/>
      <c r="H58" s="6"/>
      <c r="I58" s="7"/>
      <c r="K58" s="9"/>
      <c r="L58" s="9"/>
      <c r="M58" s="5"/>
      <c r="N58" s="6"/>
      <c r="O58" s="7"/>
      <c r="Q58" s="9"/>
      <c r="R58" s="9"/>
      <c r="T58" s="6"/>
      <c r="U58" s="7"/>
      <c r="W58" s="9"/>
      <c r="X58" s="9"/>
    </row>
    <row r="59">
      <c r="B59" s="6"/>
      <c r="C59" s="6"/>
      <c r="E59" s="9"/>
      <c r="F59" s="9"/>
      <c r="H59" s="6"/>
      <c r="I59" s="11"/>
      <c r="K59" s="9"/>
      <c r="L59" s="9"/>
      <c r="M59" s="5"/>
      <c r="N59" s="6"/>
      <c r="O59" s="11"/>
      <c r="Q59" s="9"/>
      <c r="R59" s="9"/>
      <c r="T59" s="6"/>
      <c r="U59" s="11"/>
      <c r="W59" s="9"/>
      <c r="X59" s="9"/>
    </row>
    <row r="60">
      <c r="B60" s="6"/>
      <c r="C60" s="6"/>
      <c r="E60" s="9"/>
      <c r="F60" s="9"/>
      <c r="H60" s="6"/>
      <c r="I60" s="11"/>
      <c r="K60" s="9"/>
      <c r="L60" s="9"/>
      <c r="M60" s="5"/>
      <c r="N60" s="6"/>
      <c r="O60" s="11"/>
      <c r="Q60" s="9"/>
      <c r="R60" s="9"/>
      <c r="T60" s="6"/>
      <c r="U60" s="11"/>
      <c r="W60" s="9"/>
      <c r="X60" s="9"/>
    </row>
    <row r="61">
      <c r="B61" s="6"/>
      <c r="C61" s="6"/>
      <c r="E61" s="9"/>
      <c r="F61" s="9"/>
      <c r="H61" s="6"/>
      <c r="I61" s="7"/>
      <c r="K61" s="9"/>
      <c r="L61" s="9"/>
      <c r="M61" s="5"/>
      <c r="N61" s="6"/>
      <c r="O61" s="7"/>
      <c r="Q61" s="9"/>
      <c r="R61" s="9"/>
      <c r="T61" s="6"/>
      <c r="U61" s="7"/>
      <c r="W61" s="9"/>
      <c r="X61" s="9"/>
    </row>
    <row r="62">
      <c r="B62" s="6"/>
      <c r="C62" s="6"/>
      <c r="E62" s="9"/>
      <c r="F62" s="9"/>
      <c r="H62" s="6"/>
      <c r="I62" s="7"/>
      <c r="K62" s="9"/>
      <c r="L62" s="9"/>
      <c r="M62" s="5"/>
      <c r="N62" s="6"/>
      <c r="O62" s="7"/>
      <c r="Q62" s="9"/>
      <c r="R62" s="9"/>
      <c r="T62" s="6"/>
      <c r="U62" s="7"/>
      <c r="W62" s="9"/>
      <c r="X62" s="9"/>
    </row>
    <row r="63">
      <c r="B63" s="6"/>
      <c r="C63" s="6"/>
      <c r="E63" s="9"/>
      <c r="F63" s="9"/>
      <c r="H63" s="6"/>
      <c r="I63" s="7"/>
      <c r="K63" s="9"/>
      <c r="L63" s="9"/>
      <c r="M63" s="5"/>
      <c r="N63" s="6"/>
      <c r="O63" s="7"/>
      <c r="Q63" s="9"/>
      <c r="R63" s="9"/>
    </row>
    <row r="64">
      <c r="B64" s="6"/>
      <c r="C64" s="6"/>
      <c r="E64" s="9"/>
      <c r="F64" s="9"/>
      <c r="H64" s="6"/>
      <c r="I64" s="6"/>
      <c r="K64" s="9"/>
      <c r="L64" s="9"/>
      <c r="M64" s="5"/>
      <c r="N64" s="6"/>
      <c r="O64" s="6"/>
      <c r="Q64" s="9"/>
      <c r="R64" s="9"/>
    </row>
    <row r="65">
      <c r="B65" s="6"/>
      <c r="C65" s="6"/>
      <c r="E65" s="9"/>
      <c r="F65" s="9"/>
      <c r="H65" s="6"/>
      <c r="I65" s="6"/>
      <c r="K65" s="9"/>
      <c r="L65" s="9"/>
      <c r="M65" s="5"/>
      <c r="N65" s="6"/>
      <c r="O65" s="6"/>
      <c r="Q65" s="9"/>
      <c r="R65" s="9"/>
    </row>
    <row r="66">
      <c r="B66" s="6"/>
      <c r="C66" s="6"/>
      <c r="E66" s="9"/>
      <c r="F66" s="9"/>
      <c r="H66" s="6"/>
      <c r="I66" s="6"/>
      <c r="K66" s="9"/>
      <c r="L66" s="9"/>
      <c r="M66" s="5"/>
      <c r="N66" s="6"/>
      <c r="O66" s="6"/>
      <c r="Q66" s="9"/>
      <c r="R66" s="9"/>
    </row>
    <row r="67">
      <c r="B67" s="6"/>
      <c r="C67" s="6"/>
      <c r="E67" s="9"/>
      <c r="F67" s="9"/>
      <c r="H67" s="6"/>
      <c r="I67" s="6"/>
      <c r="K67" s="9"/>
      <c r="L67" s="9"/>
      <c r="M67" s="5"/>
      <c r="N67" s="6"/>
      <c r="O67" s="6"/>
      <c r="Q67" s="9"/>
      <c r="R67" s="9"/>
    </row>
    <row r="68">
      <c r="B68" s="6"/>
      <c r="C68" s="7"/>
      <c r="E68" s="9"/>
      <c r="F68" s="9"/>
      <c r="H68" s="6"/>
      <c r="I68" s="6"/>
      <c r="K68" s="9"/>
      <c r="L68" s="9"/>
      <c r="M68" s="5"/>
      <c r="N68" s="6"/>
      <c r="O68" s="6"/>
      <c r="Q68" s="9"/>
      <c r="R68" s="9"/>
    </row>
    <row r="69">
      <c r="B69" s="6"/>
      <c r="C69" s="11"/>
      <c r="E69" s="9"/>
      <c r="F69" s="9"/>
      <c r="H69" s="6"/>
      <c r="I69" s="6"/>
      <c r="K69" s="9"/>
      <c r="L69" s="9"/>
      <c r="M69" s="5"/>
      <c r="N69" s="6"/>
      <c r="O69" s="6"/>
      <c r="Q69" s="9"/>
      <c r="R69" s="9"/>
    </row>
    <row r="70">
      <c r="B70" s="6"/>
      <c r="C70" s="11"/>
      <c r="E70" s="9"/>
      <c r="F70" s="9"/>
      <c r="H70" s="6"/>
      <c r="I70" s="6"/>
      <c r="K70" s="9"/>
      <c r="L70" s="9"/>
      <c r="M70" s="5"/>
      <c r="N70" s="6"/>
      <c r="O70" s="6"/>
      <c r="Q70" s="9"/>
      <c r="R70" s="9"/>
    </row>
    <row r="71">
      <c r="B71" s="6"/>
      <c r="C71" s="6"/>
      <c r="E71" s="9"/>
      <c r="F71" s="9"/>
      <c r="H71" s="6"/>
      <c r="I71" s="6"/>
      <c r="K71" s="9"/>
      <c r="L71" s="9"/>
      <c r="M71" s="5"/>
      <c r="N71" s="6"/>
      <c r="O71" s="6"/>
      <c r="Q71" s="9"/>
      <c r="R71" s="9"/>
    </row>
    <row r="72">
      <c r="B72" s="6"/>
      <c r="C72" s="6"/>
      <c r="E72" s="9"/>
      <c r="F72" s="9"/>
      <c r="H72" s="6"/>
      <c r="I72" s="6"/>
      <c r="K72" s="9"/>
      <c r="L72" s="9"/>
      <c r="M72" s="5"/>
      <c r="N72" s="6"/>
      <c r="O72" s="6"/>
      <c r="Q72" s="9"/>
      <c r="R72" s="9"/>
    </row>
    <row r="73">
      <c r="B73" s="6"/>
      <c r="C73" s="6"/>
      <c r="E73" s="9"/>
      <c r="F73" s="9"/>
      <c r="H73" s="6"/>
      <c r="I73" s="6"/>
      <c r="K73" s="9"/>
      <c r="L73" s="9"/>
      <c r="M73" s="5"/>
      <c r="N73" s="6"/>
      <c r="O73" s="6"/>
      <c r="Q73" s="9"/>
      <c r="R73" s="9"/>
    </row>
    <row r="74">
      <c r="B74" s="6"/>
      <c r="C74" s="6"/>
      <c r="E74" s="9"/>
      <c r="F74" s="9"/>
      <c r="H74" s="6"/>
      <c r="I74" s="7"/>
      <c r="K74" s="9"/>
      <c r="L74" s="9"/>
      <c r="M74" s="5"/>
      <c r="N74" s="6"/>
      <c r="O74" s="7"/>
      <c r="Q74" s="9"/>
      <c r="R74" s="9"/>
      <c r="T74" s="6"/>
      <c r="U74" s="7"/>
      <c r="W74" s="9"/>
      <c r="X74" s="9"/>
    </row>
    <row r="75">
      <c r="B75" s="6"/>
      <c r="C75" s="6"/>
      <c r="E75" s="9"/>
      <c r="F75" s="9"/>
      <c r="H75" s="6"/>
      <c r="I75" s="11"/>
      <c r="K75" s="9"/>
      <c r="L75" s="9"/>
      <c r="M75" s="5"/>
      <c r="N75" s="6"/>
      <c r="O75" s="11"/>
      <c r="Q75" s="9"/>
      <c r="R75" s="9"/>
      <c r="T75" s="6"/>
      <c r="U75" s="11"/>
      <c r="W75" s="9"/>
      <c r="X75" s="9"/>
    </row>
    <row r="76">
      <c r="B76" s="6"/>
      <c r="C76" s="6"/>
      <c r="E76" s="9"/>
      <c r="F76" s="9"/>
      <c r="H76" s="6"/>
      <c r="I76" s="11"/>
      <c r="K76" s="9"/>
      <c r="L76" s="9"/>
      <c r="M76" s="5"/>
      <c r="N76" s="6"/>
      <c r="O76" s="11"/>
      <c r="Q76" s="9"/>
      <c r="R76" s="9"/>
      <c r="T76" s="6"/>
      <c r="U76" s="11"/>
      <c r="W76" s="9"/>
      <c r="X76" s="9"/>
    </row>
    <row r="77">
      <c r="B77" s="6"/>
      <c r="C77" s="6"/>
      <c r="E77" s="9"/>
      <c r="F77" s="9"/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/>
      <c r="C78" s="6"/>
      <c r="E78" s="9"/>
      <c r="F78" s="9"/>
      <c r="H78" s="6"/>
      <c r="I78" s="7"/>
      <c r="K78" s="9"/>
      <c r="L78" s="9"/>
      <c r="M78" s="5"/>
      <c r="N78" s="6"/>
      <c r="O78" s="7"/>
      <c r="Q78" s="9"/>
      <c r="R78" s="9"/>
      <c r="T78" s="6"/>
      <c r="U78" s="7"/>
      <c r="W78" s="9"/>
      <c r="X78" s="9"/>
    </row>
    <row r="79">
      <c r="B79" s="6"/>
      <c r="C79" s="6"/>
      <c r="E79" s="9"/>
      <c r="F79" s="9"/>
      <c r="H79" s="6"/>
      <c r="I79" s="7"/>
      <c r="K79" s="9"/>
      <c r="L79" s="9"/>
      <c r="M79" s="5"/>
      <c r="N79" s="6"/>
      <c r="O79" s="7"/>
      <c r="Q79" s="9"/>
      <c r="R79" s="9"/>
    </row>
    <row r="80">
      <c r="B80" s="6"/>
      <c r="C80" s="6"/>
      <c r="E80" s="9"/>
      <c r="F80" s="9"/>
      <c r="H80" s="6"/>
      <c r="I80" s="6"/>
      <c r="K80" s="9"/>
      <c r="L80" s="9"/>
      <c r="M80" s="5"/>
      <c r="N80" s="6"/>
      <c r="O80" s="6"/>
      <c r="Q80" s="9"/>
      <c r="R80" s="9"/>
    </row>
    <row r="81">
      <c r="B81" s="6"/>
      <c r="C81" s="7"/>
      <c r="E81" s="9"/>
      <c r="F81" s="9"/>
      <c r="H81" s="6"/>
      <c r="I81" s="6"/>
      <c r="K81" s="9"/>
      <c r="L81" s="9"/>
      <c r="M81" s="5"/>
      <c r="N81" s="6"/>
      <c r="O81" s="6"/>
      <c r="Q81" s="9"/>
      <c r="R81" s="9"/>
    </row>
    <row r="82">
      <c r="B82" s="6"/>
      <c r="C82" s="11"/>
      <c r="E82" s="9"/>
      <c r="F82" s="9"/>
      <c r="H82" s="6"/>
      <c r="I82" s="6"/>
      <c r="K82" s="9"/>
      <c r="L82" s="9"/>
      <c r="M82" s="5"/>
      <c r="N82" s="6"/>
      <c r="O82" s="6"/>
      <c r="Q82" s="9"/>
      <c r="R82" s="9"/>
    </row>
    <row r="83">
      <c r="B83" s="6"/>
      <c r="C83" s="11"/>
      <c r="E83" s="9"/>
      <c r="F83" s="9"/>
      <c r="H83" s="6"/>
      <c r="I83" s="6"/>
      <c r="K83" s="9"/>
      <c r="L83" s="9"/>
      <c r="M83" s="5"/>
      <c r="N83" s="6"/>
      <c r="O83" s="6"/>
      <c r="Q83" s="9"/>
      <c r="R83" s="9"/>
    </row>
    <row r="84">
      <c r="B84" s="6"/>
      <c r="C84" s="6"/>
      <c r="E84" s="9"/>
      <c r="F84" s="9"/>
      <c r="H84" s="6"/>
      <c r="I84" s="6"/>
      <c r="K84" s="9"/>
      <c r="L84" s="9"/>
      <c r="M84" s="5"/>
      <c r="N84" s="6"/>
      <c r="O84" s="6"/>
      <c r="Q84" s="9"/>
      <c r="R84" s="9"/>
    </row>
    <row r="85">
      <c r="B85" s="6"/>
      <c r="C85" s="6"/>
      <c r="E85" s="9"/>
      <c r="F85" s="9"/>
      <c r="H85" s="6"/>
      <c r="I85" s="6"/>
      <c r="K85" s="9"/>
      <c r="L85" s="9"/>
      <c r="M85" s="5"/>
      <c r="N85" s="6"/>
      <c r="O85" s="6"/>
      <c r="Q85" s="9"/>
      <c r="R85" s="9"/>
    </row>
    <row r="86">
      <c r="B86" s="6"/>
      <c r="C86" s="6"/>
      <c r="E86" s="9"/>
      <c r="F86" s="9"/>
      <c r="H86" s="6"/>
      <c r="I86" s="6"/>
      <c r="K86" s="9"/>
      <c r="L86" s="9"/>
      <c r="M86" s="5"/>
      <c r="N86" s="6"/>
      <c r="O86" s="6"/>
      <c r="Q86" s="9"/>
      <c r="R86" s="9"/>
    </row>
    <row r="87">
      <c r="B87" s="6"/>
      <c r="C87" s="6"/>
      <c r="E87" s="9"/>
      <c r="F87" s="9"/>
      <c r="H87" s="6"/>
      <c r="I87" s="7"/>
      <c r="K87" s="9"/>
      <c r="L87" s="9"/>
      <c r="M87" s="5"/>
      <c r="N87" s="6"/>
      <c r="O87" s="7"/>
      <c r="Q87" s="9"/>
      <c r="R87" s="9"/>
      <c r="T87" s="6"/>
      <c r="U87" s="7"/>
      <c r="W87" s="9"/>
      <c r="X87" s="9"/>
    </row>
    <row r="88">
      <c r="B88" s="6"/>
      <c r="C88" s="6"/>
      <c r="E88" s="9"/>
      <c r="F88" s="9"/>
      <c r="H88" s="6"/>
      <c r="I88" s="11"/>
      <c r="K88" s="9"/>
      <c r="L88" s="9"/>
      <c r="M88" s="5"/>
      <c r="N88" s="6"/>
      <c r="O88" s="11"/>
      <c r="Q88" s="9"/>
      <c r="R88" s="9"/>
      <c r="T88" s="6"/>
      <c r="U88" s="11"/>
      <c r="W88" s="9"/>
      <c r="X88" s="9"/>
    </row>
    <row r="89">
      <c r="B89" s="6"/>
      <c r="C89" s="6"/>
      <c r="E89" s="9"/>
      <c r="F89" s="9"/>
      <c r="H89" s="6"/>
      <c r="I89" s="11"/>
      <c r="K89" s="9"/>
      <c r="L89" s="9"/>
      <c r="M89" s="5"/>
      <c r="N89" s="6"/>
      <c r="O89" s="11"/>
      <c r="Q89" s="9"/>
      <c r="R89" s="9"/>
      <c r="T89" s="6"/>
      <c r="U89" s="11"/>
      <c r="W89" s="9"/>
      <c r="X89" s="9"/>
    </row>
    <row r="90">
      <c r="B90" s="6"/>
      <c r="C90" s="6"/>
      <c r="E90" s="9"/>
      <c r="F90" s="9"/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/>
      <c r="C91" s="6"/>
      <c r="E91" s="9"/>
      <c r="F91" s="9"/>
      <c r="H91" s="6"/>
      <c r="I91" s="7"/>
      <c r="K91" s="9"/>
      <c r="L91" s="9"/>
      <c r="M91" s="5"/>
      <c r="N91" s="6"/>
      <c r="O91" s="7"/>
      <c r="Q91" s="9"/>
      <c r="R91" s="9"/>
      <c r="T91" s="6"/>
      <c r="U91" s="7"/>
      <c r="W91" s="9"/>
      <c r="X91" s="9"/>
    </row>
    <row r="92">
      <c r="B92" s="6"/>
      <c r="C92" s="6"/>
      <c r="E92" s="9"/>
      <c r="F92" s="9"/>
      <c r="H92" s="6"/>
      <c r="I92" s="7"/>
      <c r="K92" s="9"/>
      <c r="L92" s="9"/>
      <c r="M92" s="5"/>
      <c r="N92" s="6"/>
      <c r="O92" s="7"/>
      <c r="Q92" s="9"/>
      <c r="R92" s="9"/>
    </row>
    <row r="93">
      <c r="B93" s="6"/>
      <c r="C93" s="6"/>
      <c r="E93" s="9"/>
      <c r="F93" s="9"/>
      <c r="H93" s="6"/>
      <c r="I93" s="6"/>
      <c r="K93" s="9"/>
      <c r="L93" s="9"/>
      <c r="M93" s="5"/>
      <c r="N93" s="6"/>
      <c r="O93" s="6"/>
      <c r="Q93" s="9"/>
      <c r="R93" s="9"/>
    </row>
    <row r="94">
      <c r="B94" s="6"/>
      <c r="C94" s="7"/>
      <c r="E94" s="9"/>
      <c r="F94" s="9"/>
      <c r="H94" s="6"/>
      <c r="I94" s="6"/>
      <c r="K94" s="9"/>
      <c r="L94" s="9"/>
      <c r="M94" s="5"/>
      <c r="N94" s="6"/>
      <c r="O94" s="6"/>
      <c r="Q94" s="9"/>
      <c r="R94" s="9"/>
    </row>
    <row r="95">
      <c r="B95" s="6"/>
      <c r="C95" s="11"/>
      <c r="E95" s="9"/>
      <c r="F95" s="9"/>
      <c r="H95" s="6"/>
      <c r="I95" s="6"/>
      <c r="K95" s="9"/>
      <c r="L95" s="9"/>
      <c r="M95" s="5"/>
      <c r="N95" s="6"/>
      <c r="O95" s="6"/>
      <c r="Q95" s="9"/>
      <c r="R95" s="9"/>
    </row>
    <row r="96">
      <c r="B96" s="6"/>
      <c r="C96" s="11"/>
      <c r="E96" s="9"/>
      <c r="F96" s="9"/>
      <c r="H96" s="6"/>
      <c r="I96" s="6"/>
      <c r="K96" s="9"/>
      <c r="L96" s="9"/>
      <c r="M96" s="5"/>
      <c r="N96" s="6"/>
      <c r="O96" s="6"/>
      <c r="Q96" s="9"/>
      <c r="R96" s="9"/>
    </row>
    <row r="97">
      <c r="B97" s="6"/>
      <c r="C97" s="6"/>
      <c r="E97" s="9"/>
      <c r="F97" s="9"/>
      <c r="H97" s="6"/>
      <c r="I97" s="6"/>
      <c r="K97" s="9"/>
      <c r="L97" s="9"/>
      <c r="M97" s="5"/>
      <c r="N97" s="6"/>
      <c r="O97" s="6"/>
      <c r="Q97" s="9"/>
      <c r="R97" s="9"/>
    </row>
    <row r="98">
      <c r="B98" s="6"/>
      <c r="C98" s="6"/>
      <c r="E98" s="9"/>
      <c r="F98" s="9"/>
      <c r="H98" s="6"/>
      <c r="I98" s="6"/>
      <c r="K98" s="9"/>
      <c r="L98" s="9"/>
      <c r="M98" s="5"/>
      <c r="N98" s="6"/>
      <c r="O98" s="6"/>
      <c r="Q98" s="9"/>
      <c r="R98" s="9"/>
    </row>
    <row r="99">
      <c r="B99" s="6"/>
      <c r="C99" s="6"/>
      <c r="E99" s="9"/>
      <c r="F99" s="9"/>
      <c r="H99" s="6"/>
      <c r="I99" s="6"/>
      <c r="K99" s="9"/>
      <c r="L99" s="9"/>
      <c r="M99" s="5"/>
      <c r="N99" s="6"/>
      <c r="O99" s="6"/>
      <c r="Q99" s="9"/>
      <c r="R99" s="9"/>
    </row>
    <row r="100">
      <c r="B100" s="6"/>
      <c r="C100" s="6"/>
      <c r="E100" s="9"/>
      <c r="F100" s="9"/>
      <c r="H100" s="6"/>
      <c r="I100" s="7"/>
      <c r="K100" s="9"/>
      <c r="L100" s="9"/>
      <c r="M100" s="5"/>
      <c r="N100" s="6"/>
      <c r="O100" s="7"/>
      <c r="Q100" s="9"/>
      <c r="R100" s="9"/>
      <c r="T100" s="6"/>
      <c r="U100" s="7"/>
      <c r="W100" s="9"/>
      <c r="X100" s="9"/>
    </row>
    <row r="101">
      <c r="B101" s="6"/>
      <c r="C101" s="6"/>
      <c r="E101" s="9"/>
      <c r="F101" s="9"/>
      <c r="H101" s="6"/>
      <c r="I101" s="11"/>
      <c r="K101" s="9"/>
      <c r="L101" s="9"/>
      <c r="M101" s="5"/>
      <c r="N101" s="6"/>
      <c r="O101" s="11"/>
      <c r="Q101" s="9"/>
      <c r="R101" s="9"/>
      <c r="T101" s="6"/>
      <c r="U101" s="11"/>
      <c r="W101" s="9"/>
      <c r="X101" s="9"/>
    </row>
    <row r="102">
      <c r="B102" s="6"/>
      <c r="C102" s="6"/>
      <c r="E102" s="9"/>
      <c r="F102" s="9"/>
      <c r="H102" s="6"/>
      <c r="I102" s="11"/>
      <c r="K102" s="9"/>
      <c r="L102" s="9"/>
      <c r="M102" s="5"/>
      <c r="N102" s="6"/>
      <c r="O102" s="11"/>
      <c r="Q102" s="9"/>
      <c r="R102" s="9"/>
      <c r="T102" s="6"/>
      <c r="U102" s="11"/>
      <c r="W102" s="9"/>
    </row>
    <row r="103">
      <c r="B103" s="6"/>
      <c r="C103" s="6"/>
      <c r="E103" s="9"/>
      <c r="F103" s="9"/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/>
      <c r="C104" s="6"/>
      <c r="E104" s="9"/>
      <c r="F104" s="9"/>
      <c r="H104" s="6"/>
      <c r="I104" s="7"/>
      <c r="K104" s="9"/>
      <c r="L104" s="9"/>
      <c r="M104" s="5"/>
      <c r="N104" s="6"/>
      <c r="O104" s="7"/>
      <c r="Q104" s="9"/>
      <c r="R104" s="9"/>
      <c r="T104" s="6"/>
      <c r="U104" s="7"/>
      <c r="W104" s="9"/>
      <c r="X104" s="9"/>
    </row>
    <row r="105">
      <c r="B105" s="6"/>
      <c r="C105" s="6"/>
      <c r="E105" s="9"/>
      <c r="F105" s="9"/>
      <c r="H105" s="6"/>
      <c r="I105" s="7"/>
      <c r="K105" s="9"/>
      <c r="L105" s="9"/>
      <c r="M105" s="5"/>
      <c r="N105" s="6"/>
      <c r="O105" s="7"/>
      <c r="Q105" s="9"/>
      <c r="R105" s="9"/>
    </row>
    <row r="106">
      <c r="B106" s="6"/>
      <c r="C106" s="6"/>
      <c r="E106" s="9"/>
      <c r="F106" s="9"/>
      <c r="G106" s="10"/>
      <c r="H106" s="6"/>
      <c r="I106" s="6"/>
      <c r="K106" s="9"/>
      <c r="L106" s="9"/>
      <c r="M106" s="5"/>
      <c r="N106" s="6"/>
      <c r="O106" s="6"/>
      <c r="Q106" s="9"/>
      <c r="R106" s="9"/>
    </row>
    <row r="107">
      <c r="B107" s="6"/>
      <c r="C107" s="7"/>
      <c r="E107" s="9"/>
      <c r="F107" s="9"/>
      <c r="G107" s="10"/>
      <c r="H107" s="6"/>
      <c r="I107" s="6"/>
      <c r="K107" s="9"/>
      <c r="L107" s="9"/>
      <c r="M107" s="5"/>
      <c r="N107" s="6"/>
      <c r="O107" s="6"/>
      <c r="Q107" s="9"/>
      <c r="R107" s="9"/>
    </row>
    <row r="108">
      <c r="B108" s="6"/>
      <c r="C108" s="11"/>
      <c r="E108" s="9"/>
      <c r="F108" s="9"/>
      <c r="G108" s="10"/>
      <c r="H108" s="6"/>
      <c r="I108" s="6"/>
      <c r="K108" s="9"/>
      <c r="L108" s="9"/>
      <c r="M108" s="5"/>
      <c r="N108" s="6"/>
      <c r="O108" s="6"/>
      <c r="Q108" s="9"/>
      <c r="R108" s="9"/>
    </row>
    <row r="109">
      <c r="B109" s="6"/>
      <c r="C109" s="11"/>
      <c r="E109" s="9"/>
      <c r="F109" s="9"/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/>
      <c r="C110" s="6"/>
      <c r="E110" s="9"/>
      <c r="F110" s="9"/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/>
      <c r="C111" s="6"/>
      <c r="E111" s="9"/>
      <c r="F111" s="9"/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/>
      <c r="C112" s="6"/>
      <c r="E112" s="9"/>
      <c r="F112" s="9"/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/>
      <c r="C113" s="6"/>
      <c r="E113" s="9"/>
      <c r="F113" s="9"/>
      <c r="G113" s="10"/>
      <c r="H113" s="6"/>
      <c r="I113" s="7"/>
      <c r="K113" s="9"/>
      <c r="L113" s="9"/>
      <c r="M113" s="5"/>
      <c r="N113" s="6"/>
      <c r="O113" s="7"/>
      <c r="Q113" s="9"/>
      <c r="R113" s="9"/>
      <c r="T113" s="6"/>
      <c r="U113" s="7"/>
      <c r="W113" s="9"/>
      <c r="X113" s="9"/>
    </row>
    <row r="114">
      <c r="B114" s="6"/>
      <c r="C114" s="6"/>
      <c r="E114" s="9"/>
      <c r="F114" s="9"/>
      <c r="G114" s="10"/>
      <c r="H114" s="6"/>
      <c r="I114" s="11"/>
      <c r="K114" s="9"/>
      <c r="L114" s="9"/>
      <c r="M114" s="5"/>
      <c r="N114" s="6"/>
      <c r="O114" s="11"/>
      <c r="Q114" s="9"/>
      <c r="R114" s="9"/>
      <c r="T114" s="6"/>
      <c r="U114" s="11"/>
      <c r="W114" s="9"/>
      <c r="X114" s="9"/>
    </row>
    <row r="115">
      <c r="B115" s="6"/>
      <c r="C115" s="6"/>
      <c r="E115" s="9"/>
      <c r="F115" s="9"/>
      <c r="G115" s="10"/>
      <c r="H115" s="6"/>
      <c r="I115" s="11"/>
      <c r="K115" s="9"/>
      <c r="L115" s="9"/>
      <c r="M115" s="5"/>
      <c r="N115" s="6"/>
      <c r="O115" s="11"/>
      <c r="Q115" s="9"/>
      <c r="R115" s="9"/>
      <c r="T115" s="6"/>
      <c r="U115" s="11"/>
      <c r="W115" s="9"/>
      <c r="X115" s="9"/>
    </row>
    <row r="116">
      <c r="B116" s="6"/>
      <c r="C116" s="6"/>
      <c r="E116" s="9"/>
      <c r="F116" s="9"/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6"/>
      <c r="W116" s="9"/>
      <c r="X116" s="9"/>
    </row>
    <row r="117">
      <c r="B117" s="6"/>
      <c r="C117" s="6"/>
      <c r="E117" s="9"/>
      <c r="F117" s="9"/>
      <c r="G117" s="10"/>
      <c r="H117" s="6"/>
      <c r="I117" s="7"/>
      <c r="K117" s="9"/>
      <c r="L117" s="9"/>
      <c r="M117" s="5"/>
      <c r="N117" s="6"/>
      <c r="O117" s="7"/>
      <c r="R117" s="9"/>
      <c r="T117" s="6"/>
      <c r="U117" s="6"/>
      <c r="W117" s="9"/>
      <c r="X117" s="9"/>
    </row>
    <row r="118">
      <c r="B118" s="6"/>
      <c r="C118" s="6"/>
      <c r="E118" s="9"/>
      <c r="F118" s="9"/>
      <c r="G118" s="10"/>
      <c r="H118" s="6"/>
      <c r="I118" s="7"/>
      <c r="K118" s="9"/>
      <c r="L118" s="9"/>
      <c r="M118" s="5"/>
      <c r="N118" s="6"/>
      <c r="O118" s="7"/>
      <c r="Q118" s="9"/>
      <c r="R118" s="9"/>
      <c r="T118" s="6"/>
      <c r="U118" s="7"/>
      <c r="X118" s="9"/>
    </row>
    <row r="119">
      <c r="B119" s="6"/>
      <c r="C119" s="6"/>
      <c r="E119" s="9"/>
      <c r="F119" s="9"/>
      <c r="G119" s="10"/>
      <c r="H119" s="6"/>
      <c r="I119" s="6"/>
      <c r="K119" s="9"/>
      <c r="L119" s="9"/>
      <c r="M119" s="5"/>
      <c r="N119" s="6"/>
      <c r="O119" s="6"/>
      <c r="Q119" s="9"/>
      <c r="R119" s="9"/>
      <c r="T119" s="6"/>
      <c r="U119" s="7"/>
      <c r="X119" s="9"/>
    </row>
    <row r="120">
      <c r="B120" s="6"/>
      <c r="C120" s="7"/>
      <c r="E120" s="9"/>
      <c r="F120" s="9"/>
      <c r="G120" s="10"/>
      <c r="H120" s="6"/>
      <c r="I120" s="6"/>
      <c r="K120" s="9"/>
      <c r="L120" s="9"/>
      <c r="M120" s="5"/>
      <c r="N120" s="6"/>
      <c r="O120" s="6"/>
      <c r="Q120" s="9"/>
      <c r="R120" s="9"/>
      <c r="T120" s="6"/>
      <c r="U120" s="7"/>
      <c r="X120" s="9"/>
    </row>
    <row r="121">
      <c r="B121" s="6"/>
      <c r="C121" s="11"/>
      <c r="E121" s="9"/>
      <c r="F121" s="9"/>
      <c r="G121" s="10"/>
      <c r="H121" s="6"/>
      <c r="I121" s="6"/>
      <c r="K121" s="9"/>
      <c r="L121" s="9"/>
      <c r="M121" s="5"/>
      <c r="N121" s="6"/>
      <c r="O121" s="6"/>
      <c r="Q121" s="9"/>
      <c r="R121" s="9"/>
      <c r="T121" s="6"/>
      <c r="U121" s="7"/>
      <c r="X121" s="9"/>
    </row>
    <row r="122">
      <c r="B122" s="6"/>
      <c r="C122" s="11"/>
      <c r="E122" s="9"/>
      <c r="F122" s="9"/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/>
      <c r="C123" s="6"/>
      <c r="E123" s="9"/>
      <c r="F123" s="9"/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/>
      <c r="C124" s="6"/>
      <c r="E124" s="9"/>
      <c r="F124" s="9"/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/>
      <c r="C125" s="6"/>
      <c r="E125" s="9"/>
      <c r="F125" s="9"/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X125" s="9"/>
    </row>
    <row r="126">
      <c r="B126" s="6"/>
      <c r="C126" s="6"/>
      <c r="E126" s="9"/>
      <c r="F126" s="9"/>
      <c r="G126" s="10"/>
      <c r="H126" s="6"/>
      <c r="I126" s="7"/>
      <c r="K126" s="9"/>
      <c r="L126" s="9"/>
      <c r="M126" s="5"/>
      <c r="N126" s="6"/>
      <c r="O126" s="7"/>
      <c r="Q126" s="9"/>
      <c r="R126" s="9"/>
      <c r="T126" s="6"/>
      <c r="U126" s="7"/>
      <c r="W126" s="9"/>
      <c r="X126" s="9"/>
    </row>
    <row r="127">
      <c r="B127" s="6"/>
      <c r="C127" s="6"/>
      <c r="E127" s="9"/>
      <c r="F127" s="9"/>
      <c r="G127" s="10"/>
      <c r="H127" s="6"/>
      <c r="I127" s="11"/>
      <c r="K127" s="9"/>
      <c r="L127" s="9"/>
      <c r="M127" s="5"/>
      <c r="N127" s="6"/>
      <c r="O127" s="11"/>
      <c r="Q127" s="9"/>
      <c r="R127" s="9"/>
      <c r="T127" s="6"/>
      <c r="U127" s="11"/>
      <c r="W127" s="9"/>
      <c r="X127" s="9"/>
    </row>
    <row r="128">
      <c r="B128" s="6"/>
      <c r="C128" s="6"/>
      <c r="E128" s="9"/>
      <c r="F128" s="9"/>
      <c r="G128" s="10"/>
      <c r="H128" s="6"/>
      <c r="I128" s="11"/>
      <c r="K128" s="9"/>
      <c r="L128" s="9"/>
      <c r="M128" s="5"/>
      <c r="N128" s="6"/>
      <c r="O128" s="11"/>
      <c r="Q128" s="9"/>
      <c r="R128" s="9"/>
      <c r="T128" s="6"/>
      <c r="U128" s="11"/>
      <c r="W128" s="9"/>
      <c r="X128" s="9"/>
    </row>
    <row r="129">
      <c r="B129" s="6"/>
      <c r="C129" s="6"/>
      <c r="E129" s="9"/>
      <c r="F129" s="9"/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/>
      <c r="C130" s="6"/>
      <c r="E130" s="9"/>
      <c r="F130" s="9"/>
      <c r="G130" s="12"/>
      <c r="H130" s="6"/>
      <c r="I130" s="7"/>
      <c r="K130" s="9"/>
      <c r="L130" s="9"/>
      <c r="M130" s="5"/>
      <c r="N130" s="6"/>
      <c r="O130" s="7"/>
      <c r="Q130" s="9"/>
      <c r="R130" s="9"/>
      <c r="T130" s="6"/>
      <c r="U130" s="7"/>
      <c r="W130" s="9"/>
      <c r="X130" s="9"/>
    </row>
    <row r="131">
      <c r="B131" s="6"/>
      <c r="C131" s="6"/>
      <c r="E131" s="9"/>
      <c r="F131" s="9"/>
      <c r="G131" s="12"/>
      <c r="H131" s="6"/>
      <c r="I131" s="7"/>
      <c r="K131" s="9"/>
      <c r="L131" s="9"/>
      <c r="M131" s="5"/>
      <c r="N131" s="6"/>
      <c r="O131" s="7"/>
      <c r="Q131" s="9"/>
      <c r="R131" s="9"/>
    </row>
    <row r="132">
      <c r="B132" s="6"/>
      <c r="C132" s="6"/>
      <c r="E132" s="9"/>
      <c r="F132" s="9"/>
      <c r="G132" s="12"/>
      <c r="H132" s="6"/>
      <c r="I132" s="6"/>
      <c r="K132" s="9"/>
      <c r="L132" s="9"/>
      <c r="M132" s="5"/>
      <c r="N132" s="6"/>
      <c r="O132" s="6"/>
      <c r="Q132" s="9"/>
      <c r="R132" s="9"/>
    </row>
    <row r="133">
      <c r="B133" s="6"/>
      <c r="C133" s="7"/>
      <c r="E133" s="9"/>
      <c r="F133" s="9"/>
      <c r="G133" s="12"/>
      <c r="H133" s="6"/>
      <c r="I133" s="6"/>
      <c r="K133" s="9"/>
      <c r="L133" s="9"/>
      <c r="M133" s="5"/>
      <c r="N133" s="6"/>
      <c r="O133" s="6"/>
      <c r="Q133" s="9"/>
      <c r="R133" s="9"/>
    </row>
    <row r="134">
      <c r="B134" s="6"/>
      <c r="C134" s="11"/>
      <c r="E134" s="9"/>
      <c r="F134" s="9"/>
      <c r="G134" s="12"/>
      <c r="H134" s="6"/>
      <c r="I134" s="6"/>
      <c r="K134" s="9"/>
      <c r="L134" s="9"/>
      <c r="M134" s="5"/>
      <c r="N134" s="6"/>
      <c r="O134" s="6"/>
      <c r="Q134" s="9"/>
      <c r="R134" s="9"/>
    </row>
    <row r="135">
      <c r="B135" s="6"/>
      <c r="C135" s="11"/>
      <c r="E135" s="9"/>
      <c r="F135" s="9"/>
      <c r="G135" s="12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/>
      <c r="C136" s="6"/>
      <c r="E136" s="9"/>
      <c r="F136" s="9"/>
      <c r="G136" s="12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/>
      <c r="C137" s="6"/>
      <c r="E137" s="9"/>
      <c r="F137" s="9"/>
      <c r="G137" s="12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/>
      <c r="C138" s="6"/>
      <c r="E138" s="9"/>
      <c r="F138" s="9"/>
      <c r="G138" s="12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/>
      <c r="C139" s="6"/>
      <c r="E139" s="9"/>
      <c r="F139" s="9"/>
      <c r="G139" s="12"/>
      <c r="H139" s="6"/>
      <c r="I139" s="7"/>
      <c r="K139" s="9"/>
      <c r="L139" s="9"/>
      <c r="M139" s="5"/>
      <c r="N139" s="6"/>
      <c r="O139" s="7"/>
      <c r="Q139" s="9"/>
      <c r="R139" s="9"/>
      <c r="T139" s="6"/>
      <c r="U139" s="7"/>
      <c r="W139" s="9"/>
      <c r="X139" s="9"/>
    </row>
    <row r="140">
      <c r="B140" s="6"/>
      <c r="C140" s="6"/>
      <c r="E140" s="9"/>
      <c r="F140" s="9"/>
      <c r="G140" s="12"/>
      <c r="H140" s="6"/>
      <c r="I140" s="11"/>
      <c r="K140" s="9"/>
      <c r="L140" s="9"/>
      <c r="M140" s="5"/>
      <c r="N140" s="6"/>
      <c r="O140" s="11"/>
      <c r="Q140" s="9"/>
      <c r="R140" s="9"/>
      <c r="T140" s="6"/>
      <c r="U140" s="11"/>
      <c r="W140" s="9"/>
      <c r="X140" s="9"/>
    </row>
    <row r="141">
      <c r="B141" s="6"/>
      <c r="C141" s="6"/>
      <c r="E141" s="9"/>
      <c r="F141" s="9"/>
      <c r="G141" s="12"/>
      <c r="H141" s="6"/>
      <c r="I141" s="11"/>
      <c r="K141" s="9"/>
      <c r="L141" s="9"/>
      <c r="M141" s="5"/>
      <c r="N141" s="6"/>
      <c r="O141" s="11"/>
      <c r="Q141" s="9"/>
      <c r="R141" s="9"/>
      <c r="T141" s="6"/>
      <c r="U141" s="11"/>
      <c r="W141" s="9"/>
      <c r="X141" s="9"/>
    </row>
    <row r="142">
      <c r="B142" s="6"/>
      <c r="C142" s="6"/>
      <c r="E142" s="9"/>
      <c r="F142" s="9"/>
      <c r="G142" s="12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/>
      <c r="C143" s="6"/>
      <c r="E143" s="9"/>
      <c r="F143" s="9"/>
      <c r="G143" s="10"/>
      <c r="H143" s="6"/>
      <c r="I143" s="7"/>
      <c r="K143" s="9"/>
      <c r="L143" s="9"/>
      <c r="M143" s="5"/>
      <c r="N143" s="6"/>
      <c r="O143" s="7"/>
      <c r="Q143" s="9"/>
      <c r="R143" s="9"/>
      <c r="T143" s="6"/>
      <c r="U143" s="7"/>
      <c r="W143" s="9"/>
      <c r="X143" s="9"/>
    </row>
    <row r="144">
      <c r="B144" s="6"/>
      <c r="C144" s="6"/>
      <c r="E144" s="9"/>
      <c r="F144" s="9"/>
      <c r="G144" s="10"/>
      <c r="H144" s="6"/>
      <c r="I144" s="7"/>
      <c r="K144" s="9"/>
      <c r="L144" s="9"/>
      <c r="M144" s="5"/>
      <c r="N144" s="6"/>
      <c r="O144" s="7"/>
      <c r="Q144" s="9"/>
      <c r="R144" s="9"/>
    </row>
    <row r="145">
      <c r="B145" s="6"/>
      <c r="C145" s="6"/>
      <c r="E145" s="9"/>
      <c r="F145" s="9"/>
      <c r="G145" s="10"/>
      <c r="H145" s="6"/>
      <c r="I145" s="6"/>
      <c r="K145" s="9"/>
      <c r="L145" s="9"/>
      <c r="M145" s="5"/>
      <c r="N145" s="6"/>
      <c r="O145" s="6"/>
      <c r="Q145" s="9"/>
      <c r="R145" s="9"/>
    </row>
    <row r="146">
      <c r="B146" s="6"/>
      <c r="C146" s="7"/>
      <c r="E146" s="9"/>
      <c r="F146" s="9"/>
      <c r="G146" s="10"/>
      <c r="H146" s="6"/>
      <c r="I146" s="6"/>
      <c r="K146" s="9"/>
      <c r="L146" s="9"/>
      <c r="M146" s="5"/>
      <c r="N146" s="6"/>
      <c r="O146" s="6"/>
      <c r="Q146" s="9"/>
      <c r="R146" s="9"/>
    </row>
    <row r="147">
      <c r="B147" s="6"/>
      <c r="C147" s="11"/>
      <c r="E147" s="9"/>
      <c r="F147" s="9"/>
      <c r="G147" s="10"/>
      <c r="H147" s="6"/>
      <c r="I147" s="6"/>
      <c r="K147" s="9"/>
      <c r="L147" s="9"/>
      <c r="M147" s="5"/>
      <c r="N147" s="6"/>
      <c r="O147" s="6"/>
      <c r="Q147" s="9"/>
      <c r="R147" s="9"/>
    </row>
    <row r="148">
      <c r="B148" s="6"/>
      <c r="C148" s="11"/>
      <c r="E148" s="9"/>
      <c r="F148" s="9"/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/>
      <c r="C149" s="6"/>
      <c r="E149" s="9"/>
      <c r="F149" s="9"/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/>
      <c r="C150" s="6"/>
      <c r="E150" s="9"/>
      <c r="F150" s="9"/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/>
      <c r="C151" s="6"/>
      <c r="E151" s="9"/>
      <c r="F151" s="9"/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/>
      <c r="C152" s="6"/>
      <c r="E152" s="9"/>
      <c r="F152" s="9"/>
      <c r="G152" s="10"/>
      <c r="H152" s="6"/>
      <c r="I152" s="7"/>
      <c r="K152" s="9"/>
      <c r="L152" s="9"/>
      <c r="M152" s="5"/>
      <c r="N152" s="6"/>
      <c r="O152" s="7"/>
      <c r="Q152" s="9"/>
      <c r="R152" s="9"/>
      <c r="T152" s="6"/>
      <c r="U152" s="7"/>
      <c r="W152" s="9"/>
      <c r="X152" s="9"/>
    </row>
    <row r="153">
      <c r="B153" s="6"/>
      <c r="C153" s="6"/>
      <c r="E153" s="9"/>
      <c r="F153" s="9"/>
      <c r="G153" s="10"/>
      <c r="H153" s="6"/>
      <c r="I153" s="11"/>
      <c r="K153" s="9"/>
      <c r="L153" s="9"/>
      <c r="M153" s="5"/>
      <c r="N153" s="6"/>
      <c r="O153" s="11"/>
      <c r="Q153" s="9"/>
      <c r="R153" s="9"/>
      <c r="T153" s="6"/>
      <c r="U153" s="11"/>
      <c r="W153" s="9"/>
      <c r="X153" s="9"/>
    </row>
    <row r="154">
      <c r="B154" s="6"/>
      <c r="C154" s="6"/>
      <c r="E154" s="9"/>
      <c r="F154" s="9"/>
      <c r="G154" s="10"/>
      <c r="H154" s="6"/>
      <c r="I154" s="11"/>
      <c r="K154" s="9"/>
      <c r="L154" s="9"/>
      <c r="M154" s="5"/>
      <c r="N154" s="6"/>
      <c r="O154" s="11"/>
      <c r="Q154" s="9"/>
      <c r="R154" s="9"/>
      <c r="T154" s="6"/>
      <c r="U154" s="11"/>
      <c r="W154" s="9"/>
      <c r="X154" s="9"/>
    </row>
    <row r="155">
      <c r="B155" s="6"/>
      <c r="C155" s="6"/>
      <c r="E155" s="9"/>
      <c r="F155" s="9"/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6"/>
      <c r="W155" s="9"/>
      <c r="X155" s="9"/>
    </row>
    <row r="156">
      <c r="B156" s="6"/>
      <c r="C156" s="6"/>
      <c r="E156" s="9"/>
      <c r="F156" s="9"/>
      <c r="G156" s="10"/>
      <c r="H156" s="6"/>
      <c r="I156" s="7"/>
      <c r="K156" s="9"/>
      <c r="L156" s="9"/>
      <c r="M156" s="5"/>
      <c r="N156" s="6"/>
      <c r="O156" s="7"/>
      <c r="Q156" s="9"/>
      <c r="R156" s="9"/>
      <c r="T156" s="6"/>
      <c r="U156" s="6"/>
      <c r="W156" s="9"/>
      <c r="X156" s="9"/>
    </row>
    <row r="157">
      <c r="B157" s="6"/>
      <c r="C157" s="6"/>
      <c r="E157" s="9"/>
      <c r="F157" s="9"/>
      <c r="G157" s="10"/>
      <c r="H157" s="6"/>
      <c r="I157" s="7"/>
      <c r="K157" s="9"/>
      <c r="L157" s="9"/>
      <c r="M157" s="5"/>
      <c r="N157" s="6"/>
      <c r="O157" s="7"/>
      <c r="Q157" s="9"/>
      <c r="R157" s="9"/>
      <c r="T157" s="6"/>
      <c r="U157" s="6"/>
      <c r="W157" s="9"/>
      <c r="X157" s="9"/>
    </row>
    <row r="158">
      <c r="B158" s="6"/>
      <c r="C158" s="6"/>
      <c r="E158" s="9"/>
      <c r="F158" s="9"/>
      <c r="G158" s="10"/>
      <c r="H158" s="6"/>
      <c r="I158" s="6"/>
      <c r="K158" s="9"/>
      <c r="L158" s="9"/>
      <c r="M158" s="5"/>
      <c r="N158" s="6"/>
      <c r="O158" s="6"/>
      <c r="Q158" s="9"/>
      <c r="R158" s="9"/>
      <c r="T158" s="6"/>
      <c r="U158" s="6"/>
      <c r="W158" s="9"/>
      <c r="X158" s="9"/>
    </row>
    <row r="159">
      <c r="B159" s="6"/>
      <c r="C159" s="7"/>
      <c r="E159" s="9"/>
      <c r="F159" s="9"/>
      <c r="G159" s="10"/>
      <c r="H159" s="6"/>
      <c r="I159" s="6"/>
      <c r="K159" s="9"/>
      <c r="L159" s="9"/>
      <c r="M159" s="5"/>
      <c r="N159" s="6"/>
      <c r="O159" s="6"/>
      <c r="Q159" s="9"/>
      <c r="R159" s="9"/>
      <c r="T159" s="6"/>
      <c r="U159" s="6"/>
      <c r="W159" s="9"/>
      <c r="X159" s="9"/>
    </row>
    <row r="160">
      <c r="B160" s="6"/>
      <c r="C160" s="11"/>
      <c r="E160" s="9"/>
      <c r="F160" s="9"/>
      <c r="G160" s="10"/>
      <c r="H160" s="6"/>
      <c r="I160" s="6"/>
      <c r="K160" s="9"/>
      <c r="L160" s="9"/>
      <c r="M160" s="5"/>
      <c r="N160" s="6"/>
      <c r="O160" s="6"/>
      <c r="Q160" s="9"/>
      <c r="R160" s="9"/>
      <c r="T160" s="6"/>
      <c r="U160" s="6"/>
      <c r="W160" s="9"/>
      <c r="X160" s="9"/>
    </row>
    <row r="161">
      <c r="B161" s="6"/>
      <c r="C161" s="11"/>
      <c r="E161" s="9"/>
      <c r="F161" s="9"/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/>
      <c r="C162" s="6"/>
      <c r="E162" s="9"/>
      <c r="F162" s="9"/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/>
      <c r="C163" s="6"/>
      <c r="E163" s="9"/>
      <c r="F163" s="9"/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/>
      <c r="C164" s="6"/>
      <c r="E164" s="9"/>
      <c r="F164" s="9"/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/>
      <c r="C165" s="6"/>
      <c r="E165" s="9"/>
      <c r="F165" s="9"/>
      <c r="G165" s="10"/>
      <c r="H165" s="6"/>
      <c r="I165" s="7"/>
      <c r="K165" s="9"/>
      <c r="L165" s="9"/>
      <c r="M165" s="5"/>
      <c r="N165" s="6"/>
      <c r="O165" s="7"/>
      <c r="Q165" s="9"/>
      <c r="R165" s="9"/>
      <c r="T165" s="6"/>
      <c r="U165" s="7"/>
      <c r="W165" s="9"/>
      <c r="X165" s="9"/>
    </row>
    <row r="166">
      <c r="B166" s="6"/>
      <c r="C166" s="6"/>
      <c r="E166" s="9"/>
      <c r="F166" s="9"/>
      <c r="G166" s="10"/>
      <c r="H166" s="6"/>
      <c r="I166" s="11"/>
      <c r="K166" s="9"/>
      <c r="L166" s="9"/>
      <c r="M166" s="5"/>
      <c r="N166" s="6"/>
      <c r="O166" s="11"/>
      <c r="Q166" s="9"/>
      <c r="R166" s="9"/>
      <c r="T166" s="6"/>
      <c r="U166" s="11"/>
      <c r="W166" s="9"/>
      <c r="X166" s="9"/>
    </row>
    <row r="167">
      <c r="B167" s="6"/>
      <c r="C167" s="6"/>
      <c r="E167" s="9"/>
      <c r="F167" s="9"/>
      <c r="G167" s="10"/>
      <c r="H167" s="6"/>
      <c r="I167" s="11"/>
      <c r="K167" s="9"/>
      <c r="L167" s="9"/>
      <c r="M167" s="5"/>
      <c r="N167" s="6"/>
      <c r="O167" s="11"/>
      <c r="Q167" s="9"/>
      <c r="R167" s="9"/>
      <c r="T167" s="6"/>
      <c r="U167" s="11"/>
      <c r="W167" s="9"/>
      <c r="X167" s="9"/>
    </row>
    <row r="168">
      <c r="B168" s="6"/>
      <c r="C168" s="6"/>
      <c r="E168" s="9"/>
      <c r="F168" s="9"/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/>
      <c r="C169" s="6"/>
      <c r="E169" s="9"/>
      <c r="F169" s="9"/>
      <c r="G169" s="10"/>
      <c r="H169" s="6"/>
      <c r="I169" s="7"/>
      <c r="K169" s="9"/>
      <c r="L169" s="9"/>
      <c r="M169" s="5"/>
      <c r="N169" s="6"/>
      <c r="O169" s="7"/>
      <c r="Q169" s="9"/>
      <c r="R169" s="9"/>
      <c r="T169" s="6"/>
      <c r="U169" s="7"/>
      <c r="W169" s="9"/>
      <c r="X169" s="9"/>
    </row>
    <row r="170">
      <c r="B170" s="6"/>
      <c r="C170" s="6"/>
      <c r="E170" s="9"/>
      <c r="F170" s="9"/>
      <c r="G170" s="10"/>
      <c r="H170" s="6"/>
      <c r="I170" s="7"/>
      <c r="K170" s="9"/>
      <c r="L170" s="9"/>
      <c r="M170" s="5"/>
      <c r="N170" s="6"/>
      <c r="O170" s="7"/>
      <c r="Q170" s="9"/>
      <c r="R170" s="9"/>
    </row>
    <row r="171">
      <c r="B171" s="6"/>
      <c r="C171" s="6"/>
      <c r="E171" s="9"/>
      <c r="F171" s="9"/>
      <c r="G171" s="10"/>
      <c r="H171" s="6"/>
      <c r="I171" s="6"/>
      <c r="K171" s="9"/>
      <c r="L171" s="9"/>
      <c r="M171" s="5"/>
      <c r="N171" s="6"/>
      <c r="O171" s="6"/>
      <c r="Q171" s="9"/>
      <c r="R171" s="9"/>
    </row>
    <row r="172">
      <c r="B172" s="6"/>
      <c r="C172" s="7"/>
      <c r="E172" s="9"/>
      <c r="F172" s="9"/>
      <c r="G172" s="10"/>
      <c r="H172" s="6"/>
      <c r="I172" s="6"/>
      <c r="K172" s="9"/>
      <c r="L172" s="9"/>
      <c r="M172" s="5"/>
      <c r="N172" s="6"/>
      <c r="O172" s="6"/>
      <c r="Q172" s="9"/>
      <c r="R172" s="9"/>
    </row>
    <row r="173">
      <c r="B173" s="6"/>
      <c r="C173" s="11"/>
      <c r="E173" s="9"/>
      <c r="F173" s="9"/>
      <c r="G173" s="10"/>
      <c r="H173" s="6"/>
      <c r="I173" s="6"/>
      <c r="K173" s="9"/>
      <c r="L173" s="9"/>
      <c r="M173" s="5"/>
      <c r="N173" s="6"/>
      <c r="O173" s="6"/>
      <c r="Q173" s="9"/>
      <c r="R173" s="9"/>
    </row>
    <row r="174">
      <c r="B174" s="6"/>
      <c r="C174" s="11"/>
      <c r="E174" s="9"/>
      <c r="F174" s="9"/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/>
      <c r="C175" s="6"/>
      <c r="E175" s="9"/>
      <c r="F175" s="9"/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/>
      <c r="C176" s="6"/>
      <c r="E176" s="9"/>
      <c r="F176" s="9"/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/>
      <c r="C177" s="6"/>
      <c r="E177" s="9"/>
      <c r="F177" s="9"/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/>
      <c r="C178" s="6"/>
      <c r="E178" s="9"/>
      <c r="F178" s="9"/>
      <c r="G178" s="10"/>
      <c r="H178" s="6"/>
      <c r="I178" s="7"/>
      <c r="K178" s="9"/>
      <c r="L178" s="9"/>
      <c r="M178" s="5"/>
      <c r="N178" s="6"/>
      <c r="O178" s="7"/>
      <c r="Q178" s="9"/>
      <c r="R178" s="9"/>
      <c r="T178" s="6"/>
      <c r="U178" s="7"/>
      <c r="W178" s="9"/>
      <c r="X178" s="9"/>
    </row>
    <row r="179">
      <c r="B179" s="6"/>
      <c r="C179" s="6"/>
      <c r="E179" s="9"/>
      <c r="F179" s="9"/>
      <c r="G179" s="10"/>
      <c r="H179" s="6"/>
      <c r="I179" s="11"/>
      <c r="K179" s="9"/>
      <c r="L179" s="9"/>
      <c r="M179" s="5"/>
      <c r="N179" s="6"/>
      <c r="O179" s="11"/>
      <c r="Q179" s="9"/>
      <c r="R179" s="9"/>
      <c r="T179" s="6"/>
      <c r="U179" s="11"/>
      <c r="W179" s="9"/>
      <c r="X179" s="9"/>
    </row>
    <row r="180">
      <c r="B180" s="6"/>
      <c r="C180" s="6"/>
      <c r="E180" s="9"/>
      <c r="F180" s="9"/>
      <c r="G180" s="10"/>
      <c r="H180" s="6"/>
      <c r="I180" s="11"/>
      <c r="K180" s="9"/>
      <c r="L180" s="9"/>
      <c r="M180" s="5"/>
      <c r="N180" s="6"/>
      <c r="O180" s="11"/>
      <c r="Q180" s="9"/>
      <c r="R180" s="9"/>
      <c r="T180" s="6"/>
      <c r="U180" s="11"/>
      <c r="W180" s="9"/>
      <c r="X180" s="9"/>
    </row>
    <row r="181">
      <c r="B181" s="6"/>
      <c r="C181" s="6"/>
      <c r="E181" s="9"/>
      <c r="F181" s="9"/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6"/>
      <c r="W181" s="9"/>
      <c r="X181" s="9"/>
    </row>
    <row r="182">
      <c r="B182" s="6"/>
      <c r="C182" s="6"/>
      <c r="E182" s="9"/>
      <c r="F182" s="9"/>
      <c r="G182" s="10"/>
      <c r="H182" s="6"/>
      <c r="I182" s="7"/>
      <c r="K182" s="9"/>
      <c r="L182" s="9"/>
      <c r="M182" s="5"/>
      <c r="N182" s="6"/>
      <c r="O182" s="7"/>
      <c r="Q182" s="9"/>
      <c r="R182" s="9"/>
      <c r="T182" s="6"/>
      <c r="U182" s="6"/>
      <c r="W182" s="9"/>
      <c r="X182" s="9"/>
    </row>
    <row r="183">
      <c r="B183" s="6"/>
      <c r="C183" s="6"/>
      <c r="E183" s="9"/>
      <c r="F183" s="9"/>
      <c r="G183" s="10"/>
      <c r="H183" s="6"/>
      <c r="I183" s="7"/>
      <c r="K183" s="9"/>
      <c r="L183" s="9"/>
      <c r="M183" s="5"/>
      <c r="N183" s="6"/>
      <c r="O183" s="7"/>
      <c r="Q183" s="9"/>
      <c r="R183" s="9"/>
      <c r="T183" s="6"/>
      <c r="U183" s="7"/>
      <c r="X183" s="9"/>
    </row>
    <row r="184">
      <c r="B184" s="6"/>
      <c r="C184" s="6"/>
      <c r="E184" s="9"/>
      <c r="F184" s="9"/>
      <c r="G184" s="10"/>
      <c r="H184" s="6"/>
      <c r="I184" s="6"/>
      <c r="K184" s="9"/>
      <c r="L184" s="9"/>
      <c r="M184" s="5"/>
      <c r="N184" s="6"/>
      <c r="O184" s="6"/>
      <c r="Q184" s="9"/>
      <c r="R184" s="9"/>
      <c r="T184" s="6"/>
      <c r="U184" s="7"/>
      <c r="X184" s="9"/>
    </row>
    <row r="185">
      <c r="B185" s="6"/>
      <c r="C185" s="7"/>
      <c r="E185" s="9"/>
      <c r="F185" s="9"/>
      <c r="G185" s="10"/>
      <c r="H185" s="6"/>
      <c r="I185" s="6"/>
      <c r="K185" s="9"/>
      <c r="L185" s="9"/>
      <c r="M185" s="5"/>
      <c r="N185" s="6"/>
      <c r="O185" s="6"/>
      <c r="Q185" s="9"/>
      <c r="R185" s="9"/>
      <c r="T185" s="6"/>
      <c r="U185" s="7"/>
      <c r="X185" s="9"/>
    </row>
    <row r="186">
      <c r="B186" s="6"/>
      <c r="C186" s="11"/>
      <c r="E186" s="9"/>
      <c r="F186" s="9"/>
      <c r="G186" s="10"/>
      <c r="H186" s="6"/>
      <c r="I186" s="6"/>
      <c r="K186" s="9"/>
      <c r="L186" s="9"/>
      <c r="M186" s="5"/>
      <c r="N186" s="6"/>
      <c r="O186" s="6"/>
      <c r="Q186" s="9"/>
      <c r="R186" s="9"/>
      <c r="T186" s="6"/>
      <c r="U186" s="7"/>
      <c r="X186" s="9"/>
    </row>
    <row r="187">
      <c r="B187" s="6"/>
      <c r="C187" s="11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/>
      <c r="C188" s="6"/>
      <c r="E188" s="9"/>
      <c r="F188" s="9"/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/>
      <c r="C189" s="6"/>
      <c r="E189" s="9"/>
      <c r="F189" s="9"/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/>
      <c r="C190" s="6"/>
      <c r="E190" s="9"/>
      <c r="F190" s="9"/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X190" s="9"/>
    </row>
    <row r="191">
      <c r="B191" s="6"/>
      <c r="C191" s="6"/>
      <c r="E191" s="9"/>
      <c r="F191" s="9"/>
      <c r="G191" s="10"/>
      <c r="H191" s="6"/>
      <c r="I191" s="7"/>
      <c r="K191" s="9"/>
      <c r="L191" s="9"/>
      <c r="M191" s="5"/>
      <c r="N191" s="6"/>
      <c r="O191" s="7"/>
      <c r="Q191" s="9"/>
      <c r="R191" s="9"/>
      <c r="T191" s="6"/>
      <c r="U191" s="7"/>
      <c r="W191" s="9"/>
      <c r="X191" s="9"/>
    </row>
    <row r="192">
      <c r="B192" s="6"/>
      <c r="C192" s="6"/>
      <c r="E192" s="9"/>
      <c r="F192" s="9"/>
      <c r="G192" s="10"/>
      <c r="H192" s="6"/>
      <c r="I192" s="11"/>
      <c r="K192" s="9"/>
      <c r="L192" s="9"/>
      <c r="M192" s="5"/>
      <c r="N192" s="6"/>
      <c r="O192" s="11"/>
      <c r="Q192" s="9"/>
      <c r="R192" s="9"/>
      <c r="T192" s="6"/>
      <c r="U192" s="11"/>
      <c r="W192" s="9"/>
      <c r="X192" s="9"/>
    </row>
    <row r="193">
      <c r="B193" s="6"/>
      <c r="C193" s="6"/>
      <c r="E193" s="9"/>
      <c r="F193" s="9"/>
      <c r="G193" s="10"/>
      <c r="H193" s="6"/>
      <c r="I193" s="11"/>
      <c r="K193" s="9"/>
      <c r="L193" s="9"/>
      <c r="M193" s="5"/>
      <c r="N193" s="6"/>
      <c r="O193" s="11"/>
      <c r="Q193" s="9"/>
      <c r="R193" s="9"/>
      <c r="T193" s="6"/>
      <c r="U193" s="11"/>
      <c r="W193" s="9"/>
      <c r="X193" s="9"/>
    </row>
    <row r="194">
      <c r="B194" s="6"/>
      <c r="C194" s="6"/>
      <c r="E194" s="9"/>
      <c r="F194" s="9"/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6"/>
      <c r="W194" s="9"/>
      <c r="X194" s="9"/>
    </row>
    <row r="195">
      <c r="B195" s="6"/>
      <c r="C195" s="6"/>
      <c r="E195" s="9"/>
      <c r="F195" s="9"/>
      <c r="G195" s="10"/>
      <c r="H195" s="6"/>
      <c r="I195" s="7"/>
      <c r="K195" s="9"/>
      <c r="L195" s="9"/>
      <c r="M195" s="5"/>
      <c r="N195" s="6"/>
      <c r="O195" s="7"/>
      <c r="Q195" s="9"/>
      <c r="R195" s="9"/>
      <c r="T195" s="6"/>
      <c r="U195" s="6"/>
      <c r="W195" s="9"/>
      <c r="X195" s="9"/>
    </row>
    <row r="196">
      <c r="B196" s="6"/>
      <c r="C196" s="6"/>
      <c r="E196" s="9"/>
      <c r="F196" s="9"/>
      <c r="G196" s="10"/>
      <c r="H196" s="6"/>
      <c r="I196" s="7"/>
      <c r="K196" s="9"/>
      <c r="L196" s="9"/>
      <c r="M196" s="5"/>
      <c r="N196" s="6"/>
      <c r="O196" s="7"/>
      <c r="Q196" s="9"/>
      <c r="R196" s="9"/>
      <c r="T196" s="6"/>
      <c r="U196" s="7"/>
      <c r="X196" s="9"/>
    </row>
    <row r="197">
      <c r="B197" s="6"/>
      <c r="C197" s="6"/>
      <c r="E197" s="9"/>
      <c r="F197" s="9"/>
      <c r="G197" s="10"/>
      <c r="H197" s="6"/>
      <c r="I197" s="6"/>
      <c r="K197" s="9"/>
      <c r="L197" s="9"/>
      <c r="M197" s="5"/>
      <c r="N197" s="6"/>
      <c r="O197" s="6"/>
      <c r="Q197" s="9"/>
      <c r="R197" s="9"/>
      <c r="T197" s="6"/>
      <c r="U197" s="7"/>
      <c r="X197" s="9"/>
    </row>
    <row r="198">
      <c r="B198" s="6"/>
      <c r="C198" s="7"/>
      <c r="E198" s="9"/>
      <c r="F198" s="9"/>
      <c r="G198" s="10"/>
      <c r="H198" s="6"/>
      <c r="I198" s="6"/>
      <c r="K198" s="9"/>
      <c r="L198" s="9"/>
      <c r="M198" s="5"/>
      <c r="N198" s="6"/>
      <c r="O198" s="6"/>
      <c r="Q198" s="9"/>
      <c r="R198" s="9"/>
      <c r="T198" s="6"/>
      <c r="U198" s="7"/>
      <c r="X198" s="9"/>
    </row>
    <row r="199">
      <c r="B199" s="6"/>
      <c r="C199" s="11"/>
      <c r="E199" s="9"/>
      <c r="F199" s="9"/>
      <c r="G199" s="10"/>
      <c r="H199" s="6"/>
      <c r="I199" s="6"/>
      <c r="K199" s="9"/>
      <c r="L199" s="9"/>
      <c r="M199" s="5"/>
      <c r="N199" s="6"/>
      <c r="O199" s="6"/>
      <c r="Q199" s="9"/>
      <c r="R199" s="9"/>
      <c r="T199" s="6"/>
      <c r="U199" s="7"/>
      <c r="X199" s="9"/>
    </row>
    <row r="200">
      <c r="B200" s="6"/>
      <c r="C200" s="11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/>
      <c r="C201" s="6"/>
      <c r="E201" s="9"/>
      <c r="F201" s="9"/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/>
      <c r="C202" s="6"/>
      <c r="E202" s="9"/>
      <c r="F202" s="9"/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/>
      <c r="C203" s="6"/>
      <c r="E203" s="9"/>
      <c r="F203" s="9"/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X203" s="9"/>
    </row>
    <row r="204">
      <c r="B204" s="6"/>
      <c r="C204" s="6"/>
      <c r="E204" s="9"/>
      <c r="F204" s="9"/>
      <c r="G204" s="10"/>
      <c r="H204" s="6"/>
      <c r="I204" s="7"/>
      <c r="K204" s="9"/>
      <c r="L204" s="9"/>
      <c r="M204" s="5"/>
      <c r="N204" s="6"/>
      <c r="O204" s="7"/>
      <c r="Q204" s="9"/>
      <c r="R204" s="9"/>
      <c r="T204" s="6"/>
      <c r="U204" s="7"/>
      <c r="W204" s="9"/>
      <c r="X204" s="9"/>
    </row>
    <row r="205">
      <c r="B205" s="6"/>
      <c r="C205" s="6"/>
      <c r="E205" s="9"/>
      <c r="F205" s="9"/>
      <c r="G205" s="10"/>
      <c r="H205" s="6"/>
      <c r="I205" s="11"/>
      <c r="K205" s="9"/>
      <c r="L205" s="9"/>
      <c r="M205" s="5"/>
      <c r="N205" s="6"/>
      <c r="O205" s="11"/>
      <c r="Q205" s="9"/>
      <c r="R205" s="9"/>
      <c r="T205" s="6"/>
      <c r="U205" s="11"/>
      <c r="W205" s="9"/>
      <c r="X205" s="9"/>
    </row>
    <row r="206">
      <c r="B206" s="6"/>
      <c r="C206" s="6"/>
      <c r="E206" s="9"/>
      <c r="F206" s="9"/>
      <c r="G206" s="10"/>
      <c r="H206" s="6"/>
      <c r="I206" s="11"/>
      <c r="K206" s="9"/>
      <c r="L206" s="9"/>
      <c r="M206" s="5"/>
      <c r="N206" s="6"/>
      <c r="O206" s="11"/>
      <c r="Q206" s="9"/>
      <c r="R206" s="9"/>
      <c r="T206" s="6"/>
      <c r="U206" s="11"/>
      <c r="W206" s="9"/>
      <c r="X206" s="9"/>
    </row>
    <row r="207">
      <c r="B207" s="6"/>
      <c r="C207" s="6"/>
      <c r="E207" s="9"/>
      <c r="F207" s="9"/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X207" s="9"/>
    </row>
    <row r="208">
      <c r="B208" s="6"/>
      <c r="C208" s="6"/>
      <c r="E208" s="9"/>
      <c r="F208" s="9"/>
      <c r="H208" s="6"/>
      <c r="I208" s="7"/>
      <c r="K208" s="9"/>
      <c r="L208" s="9"/>
      <c r="N208" s="6"/>
      <c r="O208" s="7"/>
      <c r="Q208" s="9"/>
      <c r="R208" s="9"/>
      <c r="T208" s="6"/>
      <c r="U208" s="7"/>
      <c r="W208" s="9"/>
      <c r="X208" s="9"/>
    </row>
    <row r="209">
      <c r="B209" s="6"/>
      <c r="C209" s="6"/>
      <c r="E209" s="9"/>
      <c r="F209" s="9"/>
      <c r="H209" s="6"/>
      <c r="I209" s="7"/>
      <c r="K209" s="9"/>
      <c r="L209" s="9"/>
      <c r="N209" s="6"/>
      <c r="O209" s="7"/>
      <c r="Q209" s="9"/>
      <c r="R209" s="9"/>
    </row>
    <row r="210">
      <c r="B210" s="6"/>
      <c r="C210" s="6"/>
      <c r="E210" s="9"/>
      <c r="F210" s="9"/>
      <c r="H210" s="6"/>
      <c r="I210" s="6"/>
      <c r="K210" s="9"/>
      <c r="L210" s="9"/>
      <c r="N210" s="6"/>
      <c r="O210" s="6"/>
      <c r="Q210" s="9"/>
      <c r="R210" s="9"/>
    </row>
    <row r="211">
      <c r="B211" s="6"/>
      <c r="C211" s="7"/>
      <c r="E211" s="9"/>
      <c r="F211" s="9"/>
      <c r="H211" s="6"/>
      <c r="I211" s="6"/>
      <c r="K211" s="9"/>
      <c r="L211" s="9"/>
      <c r="N211" s="6"/>
      <c r="O211" s="6"/>
      <c r="Q211" s="9"/>
      <c r="R211" s="9"/>
    </row>
    <row r="212">
      <c r="B212" s="6"/>
      <c r="C212" s="11"/>
      <c r="E212" s="9"/>
      <c r="F212" s="9"/>
      <c r="H212" s="6"/>
      <c r="I212" s="6"/>
      <c r="K212" s="9"/>
      <c r="L212" s="9"/>
      <c r="N212" s="6"/>
      <c r="O212" s="6"/>
      <c r="Q212" s="9"/>
      <c r="R212" s="9"/>
    </row>
    <row r="213">
      <c r="B213" s="6"/>
      <c r="C213" s="11"/>
      <c r="E213" s="9"/>
      <c r="F213" s="9"/>
      <c r="H213" s="6"/>
      <c r="I213" s="6"/>
      <c r="K213" s="9"/>
      <c r="L213" s="9"/>
      <c r="N213" s="6"/>
      <c r="O213" s="6"/>
      <c r="Q213" s="9"/>
      <c r="R213" s="9"/>
    </row>
    <row r="214">
      <c r="B214" s="6"/>
      <c r="C214" s="6"/>
      <c r="E214" s="9"/>
      <c r="F214" s="9"/>
      <c r="H214" s="6"/>
      <c r="I214" s="6"/>
      <c r="K214" s="9"/>
      <c r="L214" s="9"/>
      <c r="N214" s="6"/>
      <c r="O214" s="6"/>
      <c r="Q214" s="9"/>
      <c r="R214" s="9"/>
    </row>
    <row r="215">
      <c r="B215" s="6"/>
      <c r="C215" s="6"/>
      <c r="E215" s="9"/>
      <c r="F215" s="9"/>
      <c r="H215" s="6"/>
      <c r="I215" s="6"/>
      <c r="K215" s="9"/>
      <c r="L215" s="9"/>
      <c r="N215" s="6"/>
      <c r="O215" s="6"/>
      <c r="Q215" s="9"/>
      <c r="R215" s="9"/>
    </row>
    <row r="216">
      <c r="B216" s="6"/>
      <c r="C216" s="6"/>
      <c r="E216" s="9"/>
      <c r="F216" s="9"/>
      <c r="H216" s="6"/>
      <c r="I216" s="6"/>
      <c r="K216" s="9"/>
      <c r="L216" s="9"/>
      <c r="N216" s="6"/>
      <c r="O216" s="6"/>
      <c r="Q216" s="9"/>
      <c r="R216" s="9"/>
    </row>
    <row r="217">
      <c r="B217" s="6"/>
      <c r="C217" s="6"/>
      <c r="E217" s="9"/>
      <c r="F217" s="9"/>
      <c r="H217" s="6"/>
      <c r="I217" s="7"/>
      <c r="K217" s="9"/>
      <c r="L217" s="9"/>
      <c r="N217" s="6"/>
      <c r="O217" s="7"/>
      <c r="Q217" s="9"/>
      <c r="R217" s="9"/>
      <c r="T217" s="6"/>
      <c r="U217" s="7"/>
      <c r="W217" s="9"/>
      <c r="X217" s="9"/>
    </row>
    <row r="218">
      <c r="B218" s="6"/>
      <c r="C218" s="6"/>
      <c r="E218" s="9"/>
      <c r="F218" s="9"/>
      <c r="H218" s="6"/>
      <c r="I218" s="11"/>
      <c r="K218" s="9"/>
      <c r="L218" s="9"/>
      <c r="N218" s="6"/>
      <c r="O218" s="11"/>
      <c r="Q218" s="9"/>
      <c r="R218" s="9"/>
      <c r="T218" s="6"/>
      <c r="U218" s="11"/>
      <c r="W218" s="9"/>
      <c r="X218" s="9"/>
    </row>
    <row r="219">
      <c r="B219" s="6"/>
      <c r="C219" s="6"/>
      <c r="E219" s="9"/>
      <c r="F219" s="9"/>
      <c r="H219" s="6"/>
      <c r="I219" s="11"/>
      <c r="K219" s="9"/>
      <c r="L219" s="9"/>
      <c r="N219" s="6"/>
      <c r="O219" s="11"/>
      <c r="Q219" s="9"/>
      <c r="R219" s="9"/>
      <c r="T219" s="6"/>
      <c r="U219" s="11"/>
      <c r="W219" s="9"/>
      <c r="X219" s="9"/>
    </row>
    <row r="220">
      <c r="B220" s="6"/>
      <c r="C220" s="6"/>
      <c r="E220" s="9"/>
      <c r="F220" s="9"/>
      <c r="H220" s="6"/>
      <c r="I220" s="7"/>
      <c r="K220" s="9"/>
      <c r="L220" s="9"/>
      <c r="N220" s="6"/>
      <c r="O220" s="7"/>
      <c r="Q220" s="9"/>
      <c r="R220" s="9"/>
      <c r="T220" s="6"/>
      <c r="U220" s="6"/>
      <c r="W220" s="9"/>
      <c r="X220" s="9"/>
    </row>
    <row r="221">
      <c r="B221" s="6"/>
      <c r="C221" s="6"/>
      <c r="E221" s="9"/>
      <c r="F221" s="9"/>
      <c r="H221" s="6"/>
      <c r="I221" s="7"/>
      <c r="K221" s="9"/>
      <c r="L221" s="9"/>
      <c r="N221" s="6"/>
      <c r="O221" s="7"/>
      <c r="Q221" s="9"/>
      <c r="R221" s="9"/>
      <c r="T221" s="6"/>
      <c r="U221" s="6"/>
      <c r="W221" s="9"/>
      <c r="X221" s="9"/>
    </row>
    <row r="222">
      <c r="B222" s="6"/>
      <c r="C222" s="6"/>
      <c r="E222" s="9"/>
      <c r="F222" s="9"/>
      <c r="H222" s="6"/>
      <c r="I222" s="7"/>
      <c r="K222" s="9"/>
      <c r="L222" s="9"/>
      <c r="N222" s="6"/>
      <c r="O222" s="7"/>
      <c r="Q222" s="9"/>
      <c r="R222" s="9"/>
      <c r="T222" s="6"/>
      <c r="U222" s="7"/>
      <c r="X222" s="9"/>
    </row>
    <row r="223">
      <c r="B223" s="6"/>
      <c r="C223" s="6"/>
      <c r="E223" s="9"/>
      <c r="F223" s="9"/>
      <c r="H223" s="6"/>
      <c r="I223" s="6"/>
      <c r="K223" s="9"/>
      <c r="L223" s="9"/>
      <c r="N223" s="6"/>
      <c r="O223" s="6"/>
      <c r="Q223" s="9"/>
      <c r="R223" s="9"/>
      <c r="T223" s="6"/>
      <c r="U223" s="7"/>
      <c r="X223" s="9"/>
    </row>
    <row r="224">
      <c r="B224" s="6"/>
      <c r="C224" s="7"/>
      <c r="E224" s="9"/>
      <c r="F224" s="9"/>
      <c r="H224" s="6"/>
      <c r="I224" s="6"/>
      <c r="K224" s="9"/>
      <c r="L224" s="9"/>
      <c r="N224" s="6"/>
      <c r="O224" s="6"/>
      <c r="Q224" s="9"/>
      <c r="R224" s="9"/>
      <c r="T224" s="6"/>
      <c r="U224" s="7"/>
      <c r="X224" s="9"/>
    </row>
    <row r="225">
      <c r="B225" s="6"/>
      <c r="C225" s="11"/>
      <c r="E225" s="9"/>
      <c r="F225" s="9"/>
      <c r="H225" s="6"/>
      <c r="I225" s="6"/>
      <c r="K225" s="9"/>
      <c r="L225" s="9"/>
      <c r="N225" s="6"/>
      <c r="O225" s="6"/>
      <c r="Q225" s="9"/>
      <c r="R225" s="9"/>
      <c r="T225" s="6"/>
      <c r="U225" s="7"/>
      <c r="X225" s="9"/>
    </row>
    <row r="226">
      <c r="B226" s="6"/>
      <c r="C226" s="11"/>
      <c r="E226" s="9"/>
      <c r="F226" s="9"/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6"/>
      <c r="C227" s="6"/>
      <c r="E227" s="9"/>
      <c r="F227" s="9"/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6"/>
      <c r="C228" s="6"/>
      <c r="E228" s="9"/>
      <c r="F228" s="9"/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6"/>
      <c r="C229" s="6"/>
      <c r="E229" s="9"/>
      <c r="F229" s="9"/>
      <c r="H229" s="6"/>
      <c r="I229" s="6"/>
      <c r="K229" s="9"/>
      <c r="L229" s="9"/>
      <c r="N229" s="6"/>
      <c r="O229" s="6"/>
      <c r="Q229" s="9"/>
      <c r="R229" s="9"/>
      <c r="T229" s="6"/>
      <c r="X229" s="9"/>
    </row>
    <row r="230">
      <c r="B230" s="6"/>
      <c r="C230" s="6"/>
      <c r="E230" s="9"/>
      <c r="F230" s="9"/>
      <c r="H230" s="6"/>
      <c r="I230" s="7"/>
      <c r="K230" s="9"/>
      <c r="L230" s="9"/>
      <c r="N230" s="6"/>
      <c r="O230" s="7"/>
      <c r="Q230" s="9"/>
      <c r="R230" s="9"/>
      <c r="T230" s="6"/>
      <c r="U230" s="7"/>
      <c r="W230" s="9"/>
      <c r="X230" s="9"/>
    </row>
    <row r="231">
      <c r="B231" s="6"/>
      <c r="C231" s="6"/>
      <c r="E231" s="9"/>
      <c r="F231" s="9"/>
      <c r="H231" s="6"/>
      <c r="I231" s="11"/>
      <c r="K231" s="9"/>
      <c r="L231" s="9"/>
      <c r="N231" s="6"/>
      <c r="O231" s="11"/>
      <c r="Q231" s="9"/>
      <c r="R231" s="9"/>
      <c r="T231" s="6"/>
      <c r="U231" s="11"/>
      <c r="W231" s="9"/>
      <c r="X231" s="9"/>
    </row>
    <row r="232">
      <c r="B232" s="6"/>
      <c r="C232" s="6"/>
      <c r="E232" s="9"/>
      <c r="F232" s="9"/>
      <c r="H232" s="6"/>
      <c r="I232" s="11"/>
      <c r="K232" s="9"/>
      <c r="L232" s="9"/>
      <c r="N232" s="6"/>
      <c r="O232" s="11"/>
      <c r="Q232" s="9"/>
      <c r="R232" s="9"/>
      <c r="T232" s="6"/>
      <c r="U232" s="11"/>
      <c r="W232" s="9"/>
      <c r="X232" s="9"/>
    </row>
    <row r="233">
      <c r="B233" s="6"/>
      <c r="C233" s="6"/>
      <c r="E233" s="9"/>
      <c r="F233" s="9"/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6"/>
      <c r="C234" s="6"/>
      <c r="E234" s="9"/>
      <c r="F234" s="9"/>
      <c r="H234" s="6"/>
      <c r="I234" s="7"/>
      <c r="K234" s="9"/>
      <c r="L234" s="9"/>
      <c r="N234" s="6"/>
      <c r="O234" s="7"/>
      <c r="Q234" s="9"/>
      <c r="R234" s="9"/>
      <c r="T234" s="6"/>
      <c r="U234" s="7"/>
      <c r="W234" s="9"/>
      <c r="X234" s="9"/>
    </row>
    <row r="235">
      <c r="B235" s="6"/>
      <c r="C235" s="6"/>
      <c r="E235" s="9"/>
      <c r="F235" s="9"/>
      <c r="H235" s="6"/>
      <c r="I235" s="7"/>
      <c r="K235" s="9"/>
      <c r="L235" s="9"/>
      <c r="N235" s="6"/>
      <c r="O235" s="7"/>
      <c r="Q235" s="9"/>
      <c r="R235" s="9"/>
    </row>
    <row r="236">
      <c r="B236" s="6"/>
      <c r="C236" s="6"/>
      <c r="E236" s="9"/>
      <c r="F236" s="9"/>
      <c r="H236" s="6"/>
      <c r="I236" s="6"/>
      <c r="K236" s="9"/>
      <c r="L236" s="9"/>
      <c r="N236" s="6"/>
      <c r="O236" s="6"/>
      <c r="Q236" s="9"/>
      <c r="R236" s="9"/>
    </row>
    <row r="237">
      <c r="B237" s="6"/>
      <c r="C237" s="7"/>
      <c r="E237" s="9"/>
      <c r="F237" s="9"/>
      <c r="H237" s="6"/>
      <c r="I237" s="6"/>
      <c r="K237" s="9"/>
      <c r="L237" s="9"/>
      <c r="N237" s="6"/>
      <c r="O237" s="6"/>
      <c r="Q237" s="9"/>
      <c r="R237" s="9"/>
    </row>
    <row r="238">
      <c r="B238" s="6"/>
      <c r="C238" s="11"/>
      <c r="E238" s="9"/>
      <c r="F238" s="9"/>
      <c r="H238" s="6"/>
      <c r="I238" s="6"/>
      <c r="K238" s="9"/>
      <c r="L238" s="9"/>
      <c r="N238" s="6"/>
      <c r="O238" s="6"/>
      <c r="Q238" s="9"/>
      <c r="R238" s="9"/>
    </row>
    <row r="239">
      <c r="B239" s="6"/>
      <c r="C239" s="11"/>
      <c r="E239" s="9"/>
      <c r="F239" s="9"/>
      <c r="H239" s="6"/>
      <c r="I239" s="6"/>
      <c r="K239" s="9"/>
      <c r="L239" s="9"/>
      <c r="N239" s="6"/>
      <c r="O239" s="6"/>
      <c r="Q239" s="9"/>
      <c r="R239" s="9"/>
    </row>
    <row r="240">
      <c r="B240" s="6"/>
      <c r="C240" s="6"/>
      <c r="E240" s="9"/>
      <c r="F240" s="9"/>
      <c r="H240" s="6"/>
      <c r="I240" s="6"/>
      <c r="K240" s="9"/>
      <c r="L240" s="9"/>
      <c r="N240" s="6"/>
      <c r="O240" s="6"/>
      <c r="Q240" s="9"/>
      <c r="R240" s="9"/>
    </row>
    <row r="241">
      <c r="B241" s="6"/>
      <c r="C241" s="6"/>
      <c r="E241" s="9"/>
      <c r="F241" s="9"/>
      <c r="H241" s="6"/>
      <c r="I241" s="6"/>
      <c r="K241" s="9"/>
      <c r="L241" s="9"/>
      <c r="N241" s="6"/>
      <c r="O241" s="6"/>
      <c r="Q241" s="9"/>
      <c r="R241" s="9"/>
    </row>
    <row r="242">
      <c r="B242" s="6"/>
      <c r="C242" s="6"/>
      <c r="E242" s="9"/>
      <c r="F242" s="9"/>
      <c r="H242" s="6"/>
      <c r="I242" s="6"/>
      <c r="K242" s="9"/>
      <c r="L242" s="9"/>
      <c r="N242" s="6"/>
      <c r="O242" s="6"/>
      <c r="Q242" s="9"/>
      <c r="R242" s="9"/>
    </row>
    <row r="243">
      <c r="B243" s="6"/>
      <c r="C243" s="6"/>
      <c r="E243" s="9"/>
      <c r="F243" s="9"/>
      <c r="H243" s="6"/>
      <c r="I243" s="7"/>
      <c r="K243" s="9"/>
      <c r="L243" s="9"/>
      <c r="N243" s="6"/>
      <c r="O243" s="7"/>
      <c r="Q243" s="9"/>
      <c r="R243" s="9"/>
      <c r="T243" s="6"/>
      <c r="U243" s="7"/>
      <c r="W243" s="9"/>
      <c r="X243" s="9"/>
    </row>
    <row r="244">
      <c r="B244" s="6"/>
      <c r="C244" s="6"/>
      <c r="E244" s="9"/>
      <c r="F244" s="9"/>
      <c r="H244" s="6"/>
      <c r="I244" s="11"/>
      <c r="K244" s="9"/>
      <c r="L244" s="9"/>
      <c r="N244" s="6"/>
      <c r="O244" s="11"/>
      <c r="Q244" s="9"/>
      <c r="R244" s="9"/>
      <c r="T244" s="6"/>
      <c r="U244" s="11"/>
      <c r="W244" s="9"/>
      <c r="X244" s="9"/>
    </row>
    <row r="245">
      <c r="B245" s="6"/>
      <c r="C245" s="6"/>
      <c r="E245" s="9"/>
      <c r="F245" s="9"/>
      <c r="H245" s="6"/>
      <c r="I245" s="11"/>
      <c r="K245" s="9"/>
      <c r="L245" s="9"/>
      <c r="N245" s="6"/>
      <c r="O245" s="11"/>
      <c r="Q245" s="9"/>
      <c r="R245" s="9"/>
      <c r="T245" s="6"/>
      <c r="U245" s="11"/>
      <c r="W245" s="9"/>
      <c r="X245" s="9"/>
    </row>
    <row r="246">
      <c r="B246" s="6"/>
      <c r="C246" s="6"/>
      <c r="E246" s="9"/>
      <c r="F246" s="9"/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6"/>
      <c r="C247" s="6"/>
      <c r="E247" s="9"/>
      <c r="F247" s="9"/>
      <c r="H247" s="6"/>
      <c r="I247" s="7"/>
      <c r="K247" s="9"/>
      <c r="L247" s="9"/>
      <c r="N247" s="6"/>
      <c r="O247" s="7"/>
      <c r="Q247" s="9"/>
      <c r="R247" s="9"/>
      <c r="T247" s="6"/>
      <c r="U247" s="7"/>
      <c r="W247" s="9"/>
      <c r="X247" s="9"/>
    </row>
    <row r="248">
      <c r="B248" s="6"/>
      <c r="C248" s="6"/>
      <c r="E248" s="9"/>
      <c r="F248" s="9"/>
      <c r="H248" s="6"/>
      <c r="I248" s="7"/>
      <c r="K248" s="9"/>
      <c r="L248" s="9"/>
      <c r="N248" s="6"/>
      <c r="O248" s="7"/>
      <c r="Q248" s="9"/>
      <c r="R248" s="9"/>
    </row>
    <row r="249">
      <c r="B249" s="6"/>
      <c r="C249" s="6"/>
      <c r="E249" s="9"/>
      <c r="F249" s="9"/>
      <c r="H249" s="6"/>
      <c r="I249" s="6"/>
      <c r="K249" s="9"/>
      <c r="L249" s="9"/>
      <c r="N249" s="6"/>
      <c r="O249" s="6"/>
      <c r="Q249" s="9"/>
      <c r="R249" s="9"/>
    </row>
    <row r="250">
      <c r="B250" s="10" t="str">
        <f t="shared" ref="B250:C250" si="2">H250</f>
        <v/>
      </c>
      <c r="C250" s="13" t="str">
        <f t="shared" si="2"/>
        <v/>
      </c>
      <c r="D250" s="10"/>
      <c r="E250" s="10"/>
      <c r="F250" s="10"/>
      <c r="H250" s="6"/>
      <c r="I250" s="6"/>
      <c r="K250" s="9"/>
      <c r="L250" s="9"/>
      <c r="N250" s="6"/>
      <c r="O250" s="6"/>
      <c r="Q250" s="9"/>
      <c r="R250" s="9"/>
    </row>
    <row r="251">
      <c r="B251" s="10" t="str">
        <f t="shared" ref="B251:C251" si="3">H251</f>
        <v/>
      </c>
      <c r="C251" s="13" t="str">
        <f t="shared" si="3"/>
        <v/>
      </c>
      <c r="D251" s="10"/>
      <c r="E251" s="10"/>
      <c r="F251" s="10"/>
      <c r="H251" s="6"/>
      <c r="I251" s="6"/>
      <c r="K251" s="9"/>
      <c r="L251" s="9"/>
      <c r="N251" s="6"/>
      <c r="O251" s="6"/>
      <c r="Q251" s="9"/>
      <c r="R251" s="9"/>
    </row>
    <row r="252">
      <c r="B252" s="10" t="str">
        <f t="shared" ref="B252:C252" si="4">H252</f>
        <v/>
      </c>
      <c r="C252" s="13" t="str">
        <f t="shared" si="4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5">H253</f>
        <v/>
      </c>
      <c r="C253" s="13" t="str">
        <f t="shared" si="5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6">H254</f>
        <v/>
      </c>
      <c r="C254" s="13" t="str">
        <f t="shared" si="6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7">H255</f>
        <v/>
      </c>
      <c r="C255" s="13" t="str">
        <f t="shared" si="7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8">H256</f>
        <v/>
      </c>
      <c r="C256" s="13" t="str">
        <f t="shared" si="8"/>
        <v/>
      </c>
      <c r="D256" s="10"/>
      <c r="E256" s="10"/>
      <c r="F256" s="10"/>
      <c r="H256" s="6"/>
      <c r="I256" s="7"/>
      <c r="K256" s="9"/>
      <c r="L256" s="9"/>
      <c r="N256" s="6"/>
      <c r="O256" s="7"/>
      <c r="Q256" s="9"/>
      <c r="R256" s="9"/>
      <c r="T256" s="6"/>
      <c r="U256" s="7"/>
      <c r="W256" s="9"/>
      <c r="X256" s="9"/>
    </row>
    <row r="257">
      <c r="B257" s="10" t="str">
        <f t="shared" ref="B257:C257" si="9">H257</f>
        <v/>
      </c>
      <c r="C257" s="14" t="str">
        <f t="shared" si="9"/>
        <v/>
      </c>
      <c r="D257" s="10"/>
      <c r="E257" s="10"/>
      <c r="F257" s="10"/>
      <c r="H257" s="6"/>
      <c r="I257" s="11"/>
      <c r="K257" s="9"/>
      <c r="L257" s="9"/>
      <c r="N257" s="6"/>
      <c r="O257" s="11"/>
      <c r="Q257" s="9"/>
      <c r="R257" s="9"/>
      <c r="T257" s="6"/>
      <c r="U257" s="11"/>
      <c r="W257" s="9"/>
      <c r="X257" s="9"/>
    </row>
    <row r="258">
      <c r="B258" s="10" t="str">
        <f t="shared" ref="B258:C258" si="10">H258</f>
        <v/>
      </c>
      <c r="C258" s="14" t="str">
        <f t="shared" si="10"/>
        <v/>
      </c>
      <c r="D258" s="10"/>
      <c r="E258" s="10"/>
      <c r="F258" s="10"/>
      <c r="H258" s="6"/>
      <c r="I258" s="11"/>
      <c r="K258" s="9"/>
      <c r="L258" s="9"/>
      <c r="N258" s="6"/>
      <c r="O258" s="11"/>
      <c r="Q258" s="9"/>
      <c r="R258" s="9"/>
      <c r="T258" s="6"/>
      <c r="U258" s="11"/>
      <c r="W258" s="9"/>
      <c r="X258" s="9"/>
    </row>
    <row r="259">
      <c r="B259" s="10" t="str">
        <f t="shared" ref="B259:C259" si="11">H259</f>
        <v/>
      </c>
      <c r="C259" s="13" t="str">
        <f t="shared" si="11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6"/>
      <c r="W259" s="9"/>
      <c r="X259" s="9"/>
    </row>
    <row r="260">
      <c r="B260" s="10" t="str">
        <f t="shared" ref="B260:C260" si="12">H260</f>
        <v/>
      </c>
      <c r="C260" s="13" t="str">
        <f t="shared" si="12"/>
        <v/>
      </c>
      <c r="D260" s="10"/>
      <c r="E260" s="10"/>
      <c r="F260" s="10"/>
      <c r="H260" s="6"/>
      <c r="I260" s="7"/>
      <c r="K260" s="9"/>
      <c r="L260" s="9"/>
      <c r="N260" s="6"/>
      <c r="O260" s="7"/>
      <c r="R260" s="9"/>
      <c r="T260" s="6"/>
      <c r="U260" s="6"/>
      <c r="W260" s="9"/>
      <c r="X260" s="9"/>
    </row>
    <row r="261">
      <c r="B261" s="10" t="str">
        <f t="shared" ref="B261:C261" si="13">H261</f>
        <v/>
      </c>
      <c r="C261" s="13" t="str">
        <f t="shared" si="13"/>
        <v/>
      </c>
      <c r="D261" s="10"/>
      <c r="E261" s="10"/>
      <c r="F261" s="10"/>
      <c r="H261" s="6"/>
      <c r="I261" s="7"/>
      <c r="K261" s="9"/>
      <c r="L261" s="9"/>
      <c r="N261" s="6"/>
      <c r="O261" s="7"/>
      <c r="Q261" s="9"/>
      <c r="R261" s="9"/>
      <c r="T261" s="6"/>
      <c r="U261" s="7"/>
      <c r="X261" s="9"/>
    </row>
    <row r="262">
      <c r="B262" s="10" t="str">
        <f t="shared" ref="B262:C262" si="14">H262</f>
        <v/>
      </c>
      <c r="C262" s="13" t="str">
        <f t="shared" si="14"/>
        <v/>
      </c>
      <c r="D262" s="10"/>
      <c r="E262" s="10"/>
      <c r="F262" s="10"/>
      <c r="H262" s="6"/>
      <c r="I262" s="6"/>
      <c r="K262" s="9"/>
      <c r="L262" s="9"/>
      <c r="N262" s="6"/>
      <c r="O262" s="6"/>
      <c r="Q262" s="9"/>
      <c r="R262" s="9"/>
      <c r="T262" s="6"/>
      <c r="U262" s="7"/>
      <c r="X262" s="9"/>
    </row>
    <row r="263">
      <c r="B263" s="10" t="str">
        <f t="shared" ref="B263:C263" si="15">H263</f>
        <v/>
      </c>
      <c r="C263" s="13" t="str">
        <f t="shared" si="15"/>
        <v/>
      </c>
      <c r="D263" s="10"/>
      <c r="E263" s="10"/>
      <c r="F263" s="10"/>
      <c r="H263" s="6"/>
      <c r="I263" s="6"/>
      <c r="K263" s="9"/>
      <c r="L263" s="9"/>
      <c r="N263" s="6"/>
      <c r="O263" s="6"/>
      <c r="Q263" s="9"/>
      <c r="R263" s="9"/>
      <c r="T263" s="6"/>
      <c r="U263" s="7"/>
      <c r="X263" s="9"/>
    </row>
    <row r="264">
      <c r="B264" s="10" t="str">
        <f t="shared" ref="B264:C264" si="16">H264</f>
        <v/>
      </c>
      <c r="C264" s="13" t="str">
        <f t="shared" si="16"/>
        <v/>
      </c>
      <c r="D264" s="10"/>
      <c r="E264" s="10"/>
      <c r="F264" s="10"/>
      <c r="H264" s="6"/>
      <c r="I264" s="6"/>
      <c r="K264" s="9"/>
      <c r="L264" s="9"/>
      <c r="N264" s="6"/>
      <c r="O264" s="6"/>
      <c r="Q264" s="9"/>
      <c r="R264" s="9"/>
      <c r="T264" s="6"/>
      <c r="U264" s="7"/>
      <c r="X264" s="9"/>
    </row>
    <row r="265">
      <c r="B265" s="10" t="str">
        <f t="shared" ref="B265:C265" si="17">H265</f>
        <v/>
      </c>
      <c r="C265" s="13" t="str">
        <f t="shared" si="17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18">H266</f>
        <v/>
      </c>
      <c r="C266" s="13" t="str">
        <f t="shared" si="18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19">H267</f>
        <v/>
      </c>
      <c r="C267" s="13" t="str">
        <f t="shared" si="19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20">H268</f>
        <v/>
      </c>
      <c r="C268" s="13" t="str">
        <f t="shared" si="20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6"/>
      <c r="X268" s="9"/>
    </row>
    <row r="269">
      <c r="B269" s="10" t="str">
        <f t="shared" ref="B269:C269" si="21">H269</f>
        <v/>
      </c>
      <c r="C269" s="13" t="str">
        <f t="shared" si="21"/>
        <v/>
      </c>
      <c r="D269" s="10"/>
      <c r="E269" s="10"/>
      <c r="F269" s="10"/>
      <c r="H269" s="6"/>
      <c r="I269" s="7"/>
      <c r="K269" s="9"/>
      <c r="L269" s="9"/>
      <c r="N269" s="6"/>
      <c r="O269" s="7"/>
      <c r="Q269" s="9"/>
      <c r="R269" s="9"/>
      <c r="T269" s="6"/>
      <c r="U269" s="7"/>
      <c r="W269" s="9"/>
      <c r="X269" s="9"/>
    </row>
    <row r="270">
      <c r="B270" s="10" t="str">
        <f t="shared" ref="B270:C270" si="22">H270</f>
        <v/>
      </c>
      <c r="C270" s="14" t="str">
        <f t="shared" si="22"/>
        <v/>
      </c>
      <c r="D270" s="10"/>
      <c r="E270" s="10"/>
      <c r="F270" s="10"/>
      <c r="H270" s="6"/>
      <c r="I270" s="11"/>
      <c r="K270" s="9"/>
      <c r="L270" s="9"/>
      <c r="N270" s="6"/>
      <c r="O270" s="11"/>
      <c r="Q270" s="9"/>
      <c r="R270" s="9"/>
      <c r="T270" s="6"/>
      <c r="U270" s="11"/>
      <c r="W270" s="9"/>
      <c r="X270" s="9"/>
    </row>
    <row r="271">
      <c r="B271" s="10" t="str">
        <f t="shared" ref="B271:C271" si="23">H271</f>
        <v/>
      </c>
      <c r="C271" s="14" t="str">
        <f t="shared" si="23"/>
        <v/>
      </c>
      <c r="D271" s="10"/>
      <c r="E271" s="10"/>
      <c r="F271" s="10"/>
      <c r="H271" s="6"/>
      <c r="I271" s="11"/>
      <c r="K271" s="9"/>
      <c r="L271" s="9"/>
      <c r="N271" s="6"/>
      <c r="O271" s="11"/>
      <c r="Q271" s="9"/>
      <c r="R271" s="9"/>
      <c r="T271" s="6"/>
      <c r="U271" s="11"/>
      <c r="W271" s="9"/>
      <c r="X271" s="9"/>
    </row>
    <row r="272">
      <c r="B272" s="10" t="str">
        <f t="shared" ref="B272:C272" si="24">H272</f>
        <v/>
      </c>
      <c r="C272" s="13" t="str">
        <f t="shared" si="24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6"/>
      <c r="W272" s="9"/>
      <c r="X272" s="9"/>
    </row>
    <row r="273">
      <c r="B273" s="10" t="str">
        <f t="shared" ref="B273:C273" si="25">H273</f>
        <v/>
      </c>
      <c r="C273" s="13" t="str">
        <f t="shared" si="25"/>
        <v/>
      </c>
      <c r="D273" s="10"/>
      <c r="E273" s="10"/>
      <c r="F273" s="10"/>
      <c r="H273" s="6"/>
      <c r="I273" s="7"/>
      <c r="K273" s="9"/>
      <c r="L273" s="9"/>
      <c r="N273" s="6"/>
      <c r="O273" s="7"/>
      <c r="Q273" s="9"/>
      <c r="R273" s="9"/>
      <c r="T273" s="6"/>
      <c r="U273" s="6"/>
      <c r="W273" s="9"/>
      <c r="X273" s="9"/>
    </row>
    <row r="274">
      <c r="B274" s="10" t="str">
        <f t="shared" ref="B274:C274" si="26">H274</f>
        <v/>
      </c>
      <c r="C274" s="13" t="str">
        <f t="shared" si="26"/>
        <v/>
      </c>
      <c r="D274" s="10"/>
      <c r="E274" s="10"/>
      <c r="F274" s="10"/>
      <c r="H274" s="6"/>
      <c r="I274" s="7"/>
      <c r="K274" s="9"/>
      <c r="L274" s="9"/>
      <c r="N274" s="6"/>
      <c r="O274" s="7"/>
      <c r="Q274" s="9"/>
      <c r="R274" s="9"/>
      <c r="T274" s="6"/>
      <c r="U274" s="6"/>
      <c r="W274" s="9"/>
      <c r="X274" s="9"/>
    </row>
    <row r="275">
      <c r="B275" s="10" t="str">
        <f t="shared" ref="B275:C275" si="27">H275</f>
        <v/>
      </c>
      <c r="C275" s="13" t="str">
        <f t="shared" si="27"/>
        <v/>
      </c>
      <c r="D275" s="10"/>
      <c r="E275" s="10"/>
      <c r="F275" s="10"/>
      <c r="H275" s="6"/>
      <c r="I275" s="6"/>
      <c r="K275" s="9"/>
      <c r="L275" s="9"/>
      <c r="N275" s="6"/>
      <c r="O275" s="6"/>
      <c r="Q275" s="9"/>
      <c r="R275" s="9"/>
      <c r="T275" s="6"/>
      <c r="U275" s="6"/>
      <c r="W275" s="9"/>
      <c r="X275" s="9"/>
    </row>
    <row r="276">
      <c r="B276" s="10" t="str">
        <f t="shared" ref="B276:C276" si="28">H276</f>
        <v/>
      </c>
      <c r="C276" s="13" t="str">
        <f t="shared" si="28"/>
        <v/>
      </c>
      <c r="D276" s="10"/>
      <c r="E276" s="10"/>
      <c r="F276" s="10"/>
      <c r="H276" s="6"/>
      <c r="I276" s="6"/>
      <c r="K276" s="9"/>
      <c r="L276" s="9"/>
      <c r="N276" s="6"/>
      <c r="O276" s="6"/>
      <c r="Q276" s="9"/>
      <c r="R276" s="9"/>
      <c r="T276" s="6"/>
      <c r="U276" s="6"/>
      <c r="W276" s="9"/>
      <c r="X276" s="9"/>
    </row>
    <row r="277">
      <c r="B277" s="10" t="str">
        <f t="shared" ref="B277:C277" si="29">H277</f>
        <v/>
      </c>
      <c r="C277" s="13" t="str">
        <f t="shared" si="29"/>
        <v/>
      </c>
      <c r="D277" s="10"/>
      <c r="E277" s="10"/>
      <c r="F277" s="10"/>
      <c r="H277" s="6"/>
      <c r="I277" s="6"/>
      <c r="K277" s="9"/>
      <c r="L277" s="9"/>
      <c r="N277" s="6"/>
      <c r="O277" s="6"/>
      <c r="Q277" s="9"/>
      <c r="R277" s="9"/>
      <c r="T277" s="6"/>
      <c r="U277" s="6"/>
      <c r="W277" s="9"/>
      <c r="X277" s="9"/>
    </row>
    <row r="278">
      <c r="B278" s="10" t="str">
        <f t="shared" ref="B278:C278" si="30">H278</f>
        <v/>
      </c>
      <c r="C278" s="13" t="str">
        <f t="shared" si="30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31">H279</f>
        <v/>
      </c>
      <c r="C279" s="13" t="str">
        <f t="shared" si="31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32">H280</f>
        <v/>
      </c>
      <c r="C280" s="13" t="str">
        <f t="shared" si="32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33">H281</f>
        <v/>
      </c>
      <c r="C281" s="13" t="str">
        <f t="shared" si="33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34">H282</f>
        <v/>
      </c>
      <c r="C282" s="13" t="str">
        <f t="shared" si="34"/>
        <v/>
      </c>
      <c r="D282" s="10"/>
      <c r="E282" s="10"/>
      <c r="F282" s="10"/>
      <c r="H282" s="6"/>
      <c r="I282" s="7"/>
      <c r="N282" s="6"/>
      <c r="O282" s="7"/>
      <c r="Q282" s="9"/>
      <c r="R282" s="9"/>
      <c r="T282" s="6"/>
      <c r="U282" s="7"/>
      <c r="W282" s="9"/>
      <c r="X282" s="9"/>
    </row>
    <row r="283">
      <c r="B283" s="10" t="str">
        <f t="shared" ref="B283:C283" si="35">H283</f>
        <v/>
      </c>
      <c r="C283" s="14" t="str">
        <f t="shared" si="35"/>
        <v/>
      </c>
      <c r="D283" s="10"/>
      <c r="E283" s="10"/>
      <c r="F283" s="10"/>
      <c r="H283" s="6"/>
      <c r="I283" s="11"/>
      <c r="N283" s="6"/>
      <c r="O283" s="11"/>
      <c r="Q283" s="9"/>
      <c r="R283" s="9"/>
      <c r="T283" s="6"/>
      <c r="U283" s="11"/>
      <c r="W283" s="9"/>
      <c r="X283" s="9"/>
    </row>
    <row r="284">
      <c r="B284" s="10" t="str">
        <f t="shared" ref="B284:C284" si="36">H284</f>
        <v/>
      </c>
      <c r="C284" s="14" t="str">
        <f t="shared" si="36"/>
        <v/>
      </c>
      <c r="D284" s="10"/>
      <c r="E284" s="10"/>
      <c r="F284" s="10"/>
      <c r="H284" s="6"/>
      <c r="I284" s="11"/>
      <c r="N284" s="6"/>
      <c r="O284" s="11"/>
      <c r="Q284" s="9"/>
      <c r="R284" s="9"/>
      <c r="T284" s="6"/>
      <c r="U284" s="11"/>
      <c r="W284" s="12"/>
    </row>
    <row r="285">
      <c r="B285" s="10" t="str">
        <f t="shared" ref="B285:C285" si="37">H285</f>
        <v/>
      </c>
      <c r="C285" s="13" t="str">
        <f t="shared" si="37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11"/>
      <c r="W285" s="12"/>
    </row>
    <row r="286">
      <c r="B286" s="10" t="str">
        <f t="shared" ref="B286:C286" si="38">H286</f>
        <v/>
      </c>
      <c r="C286" s="13" t="str">
        <f t="shared" si="38"/>
        <v/>
      </c>
      <c r="D286" s="10"/>
      <c r="E286" s="10"/>
      <c r="F286" s="10"/>
      <c r="H286" s="6"/>
      <c r="I286" s="7"/>
      <c r="N286" s="6"/>
      <c r="O286" s="7"/>
      <c r="Q286" s="9"/>
      <c r="R286" s="9"/>
      <c r="T286" s="6"/>
      <c r="U286" s="7"/>
      <c r="W286" s="12"/>
    </row>
    <row r="287">
      <c r="B287" s="10" t="str">
        <f t="shared" ref="B287:C287" si="39">H287</f>
        <v/>
      </c>
      <c r="C287" s="13" t="str">
        <f t="shared" si="39"/>
        <v/>
      </c>
      <c r="D287" s="10"/>
      <c r="E287" s="10"/>
      <c r="F287" s="10"/>
      <c r="H287" s="6"/>
      <c r="I287" s="7"/>
      <c r="N287" s="6"/>
      <c r="O287" s="7"/>
      <c r="Q287" s="9"/>
      <c r="R287" s="9"/>
      <c r="T287" s="6"/>
      <c r="W287" s="12"/>
    </row>
    <row r="288">
      <c r="B288" s="10" t="str">
        <f t="shared" ref="B288:C288" si="40">H288</f>
        <v/>
      </c>
      <c r="C288" s="13" t="str">
        <f t="shared" si="40"/>
        <v/>
      </c>
      <c r="D288" s="10"/>
      <c r="E288" s="10"/>
      <c r="F288" s="10"/>
      <c r="H288" s="6"/>
      <c r="I288" s="6"/>
      <c r="N288" s="6"/>
      <c r="O288" s="7"/>
      <c r="Q288" s="9"/>
      <c r="R288" s="9"/>
      <c r="T288" s="6"/>
      <c r="U288" s="6"/>
      <c r="W288" s="12"/>
    </row>
    <row r="289">
      <c r="B289" s="10" t="str">
        <f t="shared" ref="B289:C289" si="41">H289</f>
        <v/>
      </c>
      <c r="C289" s="13" t="str">
        <f t="shared" si="41"/>
        <v/>
      </c>
      <c r="D289" s="10"/>
      <c r="E289" s="10"/>
      <c r="F289" s="10"/>
      <c r="H289" s="6"/>
      <c r="I289" s="6"/>
      <c r="N289" s="6"/>
      <c r="O289" s="7"/>
      <c r="Q289" s="9"/>
      <c r="R289" s="9"/>
      <c r="T289" s="6"/>
      <c r="U289" s="6"/>
      <c r="W289" s="12"/>
    </row>
    <row r="290">
      <c r="B290" s="10" t="str">
        <f t="shared" ref="B290:C290" si="42">H290</f>
        <v/>
      </c>
      <c r="C290" s="13" t="str">
        <f t="shared" si="42"/>
        <v/>
      </c>
      <c r="D290" s="10"/>
      <c r="E290" s="10"/>
      <c r="F290" s="10"/>
      <c r="H290" s="6"/>
      <c r="I290" s="6"/>
      <c r="N290" s="6"/>
      <c r="O290" s="6"/>
      <c r="T290" s="6"/>
      <c r="U290" s="6"/>
      <c r="W290" s="12"/>
    </row>
    <row r="291">
      <c r="B291" s="10" t="str">
        <f t="shared" ref="B291:C291" si="43">H291</f>
        <v/>
      </c>
      <c r="C291" s="13" t="str">
        <f t="shared" si="43"/>
        <v/>
      </c>
      <c r="D291" s="10"/>
      <c r="E291" s="10"/>
      <c r="F291" s="10"/>
      <c r="H291" s="6"/>
      <c r="I291" s="6"/>
      <c r="N291" s="6"/>
      <c r="O291" s="6"/>
      <c r="T291" s="6"/>
      <c r="U291" s="6"/>
      <c r="W291" s="12"/>
    </row>
    <row r="292">
      <c r="B292" s="10" t="str">
        <f t="shared" ref="B292:C292" si="44">H292</f>
        <v/>
      </c>
      <c r="C292" s="13" t="str">
        <f t="shared" si="44"/>
        <v/>
      </c>
      <c r="D292" s="10"/>
      <c r="E292" s="10"/>
      <c r="F292" s="10"/>
      <c r="H292" s="6"/>
      <c r="N292" s="6"/>
      <c r="T292" s="6"/>
      <c r="W292" s="12"/>
    </row>
    <row r="293">
      <c r="B293" s="10" t="str">
        <f t="shared" ref="B293:C293" si="45">H293</f>
        <v/>
      </c>
      <c r="C293" s="13" t="str">
        <f t="shared" si="45"/>
        <v/>
      </c>
      <c r="D293" s="10"/>
      <c r="E293" s="10"/>
      <c r="F293" s="10"/>
      <c r="H293" s="6"/>
      <c r="N293" s="6"/>
      <c r="T293" s="6"/>
      <c r="W293" s="12"/>
    </row>
    <row r="294">
      <c r="B294" s="10" t="str">
        <f t="shared" ref="B294:C294" si="46">H294</f>
        <v/>
      </c>
      <c r="C294" s="13" t="str">
        <f t="shared" si="46"/>
        <v/>
      </c>
      <c r="D294" s="10"/>
      <c r="E294" s="10"/>
      <c r="F294" s="10"/>
      <c r="H294" s="6"/>
      <c r="N294" s="6"/>
      <c r="T294" s="6"/>
      <c r="W294" s="12"/>
    </row>
    <row r="295">
      <c r="B295" s="10" t="str">
        <f t="shared" ref="B295:C295" si="47">H295</f>
        <v/>
      </c>
      <c r="C295" s="13" t="str">
        <f t="shared" si="47"/>
        <v/>
      </c>
      <c r="D295" s="10"/>
      <c r="E295" s="10"/>
      <c r="F295" s="10"/>
      <c r="H295" s="6"/>
      <c r="I295" s="7"/>
      <c r="K295" s="9"/>
      <c r="L295" s="9"/>
      <c r="N295" s="6"/>
      <c r="O295" s="7"/>
      <c r="Q295" s="9"/>
      <c r="R295" s="9"/>
      <c r="T295" s="6"/>
      <c r="U295" s="7"/>
      <c r="W295" s="9"/>
      <c r="X295" s="9"/>
    </row>
    <row r="296">
      <c r="B296" s="10" t="str">
        <f t="shared" ref="B296:C296" si="48">H296</f>
        <v/>
      </c>
      <c r="C296" s="14" t="str">
        <f t="shared" si="48"/>
        <v/>
      </c>
      <c r="D296" s="10"/>
      <c r="E296" s="10"/>
      <c r="F296" s="10"/>
      <c r="H296" s="6"/>
      <c r="I296" s="11"/>
      <c r="K296" s="9"/>
      <c r="L296" s="9"/>
      <c r="N296" s="6"/>
      <c r="O296" s="11"/>
      <c r="Q296" s="9"/>
      <c r="R296" s="9"/>
      <c r="T296" s="6"/>
      <c r="U296" s="11"/>
      <c r="W296" s="9"/>
      <c r="X296" s="9"/>
    </row>
    <row r="297">
      <c r="B297" s="10" t="str">
        <f t="shared" ref="B297:C297" si="49">H297</f>
        <v/>
      </c>
      <c r="C297" s="14" t="str">
        <f t="shared" si="49"/>
        <v/>
      </c>
      <c r="D297" s="10"/>
      <c r="E297" s="10"/>
      <c r="F297" s="10"/>
      <c r="H297" s="6"/>
      <c r="I297" s="11"/>
      <c r="K297" s="9"/>
      <c r="L297" s="9"/>
      <c r="N297" s="6"/>
      <c r="O297" s="11"/>
      <c r="Q297" s="9"/>
      <c r="R297" s="9"/>
      <c r="T297" s="6"/>
      <c r="U297" s="11"/>
      <c r="W297" s="9"/>
      <c r="X297" s="9"/>
    </row>
    <row r="298">
      <c r="B298" s="10" t="str">
        <f t="shared" ref="B298:C298" si="50">H298</f>
        <v/>
      </c>
      <c r="C298" s="13" t="str">
        <f t="shared" si="50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51">H299</f>
        <v/>
      </c>
      <c r="C299" s="13" t="str">
        <f t="shared" si="51"/>
        <v/>
      </c>
      <c r="D299" s="10"/>
      <c r="E299" s="10"/>
      <c r="F299" s="10"/>
      <c r="H299" s="6"/>
      <c r="I299" s="7"/>
      <c r="K299" s="9"/>
      <c r="L299" s="9"/>
      <c r="N299" s="6"/>
      <c r="O299" s="7"/>
      <c r="Q299" s="9"/>
      <c r="R299" s="9"/>
      <c r="T299" s="6"/>
      <c r="U299" s="7"/>
      <c r="W299" s="9"/>
      <c r="X299" s="9"/>
    </row>
    <row r="300">
      <c r="B300" s="10" t="str">
        <f t="shared" ref="B300:C300" si="52">H300</f>
        <v/>
      </c>
      <c r="C300" s="13" t="str">
        <f t="shared" si="52"/>
        <v/>
      </c>
      <c r="D300" s="10"/>
      <c r="E300" s="10"/>
      <c r="F300" s="10"/>
      <c r="H300" s="6"/>
      <c r="I300" s="7"/>
      <c r="K300" s="9"/>
      <c r="L300" s="9"/>
      <c r="N300" s="6"/>
      <c r="O300" s="7"/>
      <c r="Q300" s="9"/>
      <c r="R300" s="9"/>
    </row>
    <row r="301">
      <c r="B301" s="10" t="str">
        <f t="shared" ref="B301:C301" si="53">H301</f>
        <v/>
      </c>
      <c r="C301" s="13" t="str">
        <f t="shared" si="53"/>
        <v/>
      </c>
      <c r="D301" s="10"/>
      <c r="E301" s="10"/>
      <c r="F301" s="10"/>
      <c r="H301" s="6"/>
      <c r="I301" s="6"/>
      <c r="K301" s="9"/>
      <c r="L301" s="9"/>
      <c r="N301" s="6"/>
      <c r="O301" s="6"/>
      <c r="Q301" s="9"/>
      <c r="R301" s="9"/>
    </row>
    <row r="302">
      <c r="B302" s="10" t="str">
        <f t="shared" ref="B302:C302" si="54">H302</f>
        <v/>
      </c>
      <c r="C302" s="13" t="str">
        <f t="shared" si="54"/>
        <v/>
      </c>
      <c r="D302" s="10"/>
      <c r="E302" s="10"/>
      <c r="F302" s="10"/>
      <c r="H302" s="6"/>
      <c r="I302" s="6"/>
      <c r="K302" s="9"/>
      <c r="L302" s="9"/>
      <c r="N302" s="6"/>
      <c r="O302" s="6"/>
      <c r="Q302" s="9"/>
      <c r="R302" s="9"/>
    </row>
    <row r="303">
      <c r="B303" s="10" t="str">
        <f t="shared" ref="B303:C303" si="55">H303</f>
        <v/>
      </c>
      <c r="C303" s="13" t="str">
        <f t="shared" si="55"/>
        <v/>
      </c>
      <c r="D303" s="10"/>
      <c r="E303" s="10"/>
      <c r="F303" s="10"/>
      <c r="H303" s="6"/>
      <c r="I303" s="6"/>
      <c r="K303" s="9"/>
      <c r="L303" s="9"/>
      <c r="N303" s="6"/>
      <c r="O303" s="6"/>
      <c r="Q303" s="9"/>
      <c r="R303" s="9"/>
    </row>
    <row r="304">
      <c r="B304" s="10" t="str">
        <f t="shared" ref="B304:C304" si="56">H304</f>
        <v/>
      </c>
      <c r="C304" s="13" t="str">
        <f t="shared" si="56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57">H305</f>
        <v/>
      </c>
      <c r="C305" s="13" t="str">
        <f t="shared" si="57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58">H306</f>
        <v/>
      </c>
      <c r="C306" s="13" t="str">
        <f t="shared" si="58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59">H307</f>
        <v/>
      </c>
      <c r="C307" s="13" t="str">
        <f t="shared" si="59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60">H308</f>
        <v/>
      </c>
      <c r="C308" s="13" t="str">
        <f t="shared" si="60"/>
        <v/>
      </c>
      <c r="D308" s="10"/>
      <c r="E308" s="10"/>
      <c r="F308" s="10"/>
      <c r="H308" s="6"/>
      <c r="I308" s="7"/>
      <c r="K308" s="9"/>
      <c r="L308" s="9"/>
      <c r="N308" s="6"/>
      <c r="O308" s="7"/>
      <c r="Q308" s="9"/>
      <c r="R308" s="9"/>
      <c r="T308" s="6"/>
      <c r="U308" s="7"/>
      <c r="W308" s="9"/>
      <c r="X308" s="9"/>
    </row>
    <row r="309">
      <c r="B309" s="10" t="str">
        <f t="shared" ref="B309:C309" si="61">H309</f>
        <v/>
      </c>
      <c r="C309" s="14" t="str">
        <f t="shared" si="61"/>
        <v/>
      </c>
      <c r="D309" s="10"/>
      <c r="E309" s="10"/>
      <c r="F309" s="10"/>
      <c r="H309" s="6"/>
      <c r="I309" s="11"/>
      <c r="K309" s="9"/>
      <c r="L309" s="9"/>
      <c r="N309" s="6"/>
      <c r="O309" s="11"/>
      <c r="Q309" s="9"/>
      <c r="R309" s="9"/>
      <c r="T309" s="6"/>
      <c r="U309" s="11"/>
      <c r="W309" s="9"/>
      <c r="X309" s="9"/>
    </row>
    <row r="310">
      <c r="B310" s="10" t="str">
        <f t="shared" ref="B310:C310" si="62">H310</f>
        <v/>
      </c>
      <c r="C310" s="14" t="str">
        <f t="shared" si="62"/>
        <v/>
      </c>
      <c r="D310" s="10"/>
      <c r="E310" s="10"/>
      <c r="F310" s="10"/>
      <c r="H310" s="6"/>
      <c r="I310" s="11"/>
      <c r="K310" s="9"/>
      <c r="L310" s="9"/>
      <c r="N310" s="6"/>
      <c r="O310" s="11"/>
      <c r="Q310" s="9"/>
      <c r="R310" s="9"/>
      <c r="T310" s="6"/>
      <c r="U310" s="11"/>
      <c r="W310" s="9"/>
      <c r="X310" s="9"/>
    </row>
    <row r="311">
      <c r="B311" s="10" t="str">
        <f t="shared" ref="B311:C311" si="63">H311</f>
        <v/>
      </c>
      <c r="C311" s="13" t="str">
        <f t="shared" si="63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6"/>
      <c r="W311" s="9"/>
      <c r="X311" s="9"/>
    </row>
    <row r="312">
      <c r="B312" s="10" t="str">
        <f t="shared" ref="B312:C312" si="64">H312</f>
        <v/>
      </c>
      <c r="C312" s="13" t="str">
        <f t="shared" si="64"/>
        <v/>
      </c>
      <c r="D312" s="10"/>
      <c r="E312" s="10"/>
      <c r="F312" s="10"/>
      <c r="H312" s="6"/>
      <c r="I312" s="7"/>
      <c r="K312" s="9"/>
      <c r="L312" s="9"/>
      <c r="N312" s="6"/>
      <c r="O312" s="7"/>
      <c r="R312" s="9"/>
      <c r="T312" s="6"/>
      <c r="U312" s="6"/>
      <c r="W312" s="9"/>
      <c r="X312" s="9"/>
    </row>
    <row r="313">
      <c r="B313" s="10" t="str">
        <f t="shared" ref="B313:C313" si="65">H313</f>
        <v/>
      </c>
      <c r="C313" s="13" t="str">
        <f t="shared" si="65"/>
        <v/>
      </c>
      <c r="D313" s="10"/>
      <c r="E313" s="10"/>
      <c r="F313" s="10"/>
      <c r="H313" s="6"/>
      <c r="I313" s="7"/>
      <c r="K313" s="9"/>
      <c r="L313" s="9"/>
      <c r="N313" s="6"/>
      <c r="O313" s="7"/>
      <c r="Q313" s="9"/>
      <c r="R313" s="9"/>
      <c r="T313" s="6"/>
      <c r="U313" s="7"/>
      <c r="X313" s="9"/>
    </row>
    <row r="314">
      <c r="B314" s="10" t="str">
        <f t="shared" ref="B314:C314" si="66">H314</f>
        <v/>
      </c>
      <c r="C314" s="13" t="str">
        <f t="shared" si="66"/>
        <v/>
      </c>
      <c r="D314" s="10"/>
      <c r="E314" s="10"/>
      <c r="F314" s="10"/>
      <c r="H314" s="6"/>
      <c r="I314" s="6"/>
      <c r="K314" s="9"/>
      <c r="L314" s="9"/>
      <c r="N314" s="6"/>
      <c r="O314" s="6"/>
      <c r="Q314" s="9"/>
      <c r="R314" s="9"/>
      <c r="T314" s="6"/>
      <c r="U314" s="7"/>
      <c r="X314" s="9"/>
    </row>
    <row r="315">
      <c r="B315" s="10" t="str">
        <f t="shared" ref="B315:C315" si="67">H315</f>
        <v/>
      </c>
      <c r="C315" s="13" t="str">
        <f t="shared" si="67"/>
        <v/>
      </c>
      <c r="D315" s="10"/>
      <c r="E315" s="10"/>
      <c r="F315" s="10"/>
      <c r="H315" s="6"/>
      <c r="I315" s="6"/>
      <c r="K315" s="9"/>
      <c r="L315" s="9"/>
      <c r="N315" s="6"/>
      <c r="O315" s="6"/>
      <c r="Q315" s="9"/>
      <c r="R315" s="9"/>
      <c r="T315" s="6"/>
      <c r="U315" s="7"/>
      <c r="X315" s="9"/>
    </row>
    <row r="316">
      <c r="B316" s="10" t="str">
        <f t="shared" ref="B316:C316" si="68">H316</f>
        <v/>
      </c>
      <c r="C316" s="13" t="str">
        <f t="shared" si="68"/>
        <v/>
      </c>
      <c r="D316" s="10"/>
      <c r="E316" s="10"/>
      <c r="F316" s="10"/>
      <c r="H316" s="6"/>
      <c r="I316" s="6"/>
      <c r="K316" s="9"/>
      <c r="L316" s="9"/>
      <c r="N316" s="6"/>
      <c r="O316" s="6"/>
      <c r="Q316" s="9"/>
      <c r="R316" s="9"/>
      <c r="T316" s="6"/>
      <c r="U316" s="7"/>
      <c r="X316" s="9"/>
    </row>
    <row r="317">
      <c r="B317" s="10" t="str">
        <f t="shared" ref="B317:C317" si="69">H317</f>
        <v/>
      </c>
      <c r="C317" s="13" t="str">
        <f t="shared" si="69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70">H318</f>
        <v/>
      </c>
      <c r="C318" s="13" t="str">
        <f t="shared" si="70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71">H319</f>
        <v/>
      </c>
      <c r="C319" s="13" t="str">
        <f t="shared" si="71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72">H320</f>
        <v/>
      </c>
      <c r="C320" s="13" t="str">
        <f t="shared" si="72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6"/>
      <c r="X320" s="9"/>
    </row>
    <row r="321">
      <c r="B321" s="10" t="str">
        <f t="shared" ref="B321:C321" si="73">H321</f>
        <v/>
      </c>
      <c r="C321" s="13" t="str">
        <f t="shared" si="73"/>
        <v/>
      </c>
      <c r="D321" s="10"/>
      <c r="E321" s="10"/>
      <c r="F321" s="10"/>
      <c r="H321" s="6"/>
      <c r="I321" s="7"/>
      <c r="K321" s="9"/>
      <c r="L321" s="9"/>
      <c r="N321" s="6"/>
      <c r="O321" s="7"/>
      <c r="Q321" s="9"/>
      <c r="R321" s="9"/>
      <c r="T321" s="6"/>
      <c r="U321" s="7"/>
      <c r="W321" s="9"/>
      <c r="X321" s="9"/>
    </row>
    <row r="322">
      <c r="B322" s="10" t="str">
        <f t="shared" ref="B322:C322" si="74">H322</f>
        <v/>
      </c>
      <c r="C322" s="14" t="str">
        <f t="shared" si="74"/>
        <v/>
      </c>
      <c r="D322" s="10"/>
      <c r="E322" s="10"/>
      <c r="F322" s="10"/>
      <c r="H322" s="6"/>
      <c r="I322" s="11"/>
      <c r="K322" s="9"/>
      <c r="L322" s="9"/>
      <c r="N322" s="6"/>
      <c r="O322" s="11"/>
      <c r="Q322" s="9"/>
      <c r="R322" s="9"/>
      <c r="T322" s="6"/>
      <c r="U322" s="11"/>
      <c r="W322" s="9"/>
      <c r="X322" s="9"/>
    </row>
    <row r="323">
      <c r="B323" s="10" t="str">
        <f t="shared" ref="B323:C323" si="75">H323</f>
        <v/>
      </c>
      <c r="C323" s="14" t="str">
        <f t="shared" si="75"/>
        <v/>
      </c>
      <c r="D323" s="10"/>
      <c r="E323" s="10"/>
      <c r="F323" s="10"/>
      <c r="H323" s="6"/>
      <c r="I323" s="11"/>
      <c r="K323" s="9"/>
      <c r="L323" s="9"/>
      <c r="N323" s="6"/>
      <c r="O323" s="11"/>
      <c r="R323" s="9"/>
      <c r="T323" s="6"/>
      <c r="U323" s="11"/>
      <c r="W323" s="9"/>
      <c r="X323" s="9"/>
    </row>
    <row r="324">
      <c r="B324" s="10" t="str">
        <f t="shared" ref="B324:C324" si="76">H324</f>
        <v/>
      </c>
      <c r="C324" s="13" t="str">
        <f t="shared" si="76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6"/>
      <c r="W324" s="9"/>
      <c r="X324" s="9"/>
    </row>
    <row r="325">
      <c r="B325" s="10" t="str">
        <f t="shared" ref="B325:C325" si="77">H325</f>
        <v/>
      </c>
      <c r="C325" s="13" t="str">
        <f t="shared" si="77"/>
        <v/>
      </c>
      <c r="D325" s="10"/>
      <c r="E325" s="10"/>
      <c r="F325" s="10"/>
      <c r="H325" s="6"/>
      <c r="I325" s="7"/>
      <c r="K325" s="9"/>
      <c r="L325" s="9"/>
      <c r="N325" s="6"/>
      <c r="O325" s="7"/>
      <c r="Q325" s="9"/>
      <c r="R325" s="9"/>
      <c r="T325" s="6"/>
      <c r="U325" s="6"/>
      <c r="W325" s="9"/>
      <c r="X325" s="9"/>
    </row>
    <row r="326">
      <c r="B326" s="10" t="str">
        <f t="shared" ref="B326:C326" si="78">H326</f>
        <v/>
      </c>
      <c r="C326" s="13" t="str">
        <f t="shared" si="78"/>
        <v/>
      </c>
      <c r="D326" s="10"/>
      <c r="E326" s="10"/>
      <c r="F326" s="10"/>
      <c r="H326" s="6"/>
      <c r="I326" s="7"/>
      <c r="K326" s="9"/>
      <c r="L326" s="9"/>
      <c r="N326" s="6"/>
      <c r="O326" s="7"/>
      <c r="Q326" s="9"/>
      <c r="R326" s="9"/>
      <c r="T326" s="6"/>
      <c r="U326" s="7"/>
      <c r="X326" s="9"/>
    </row>
    <row r="327">
      <c r="B327" s="10" t="str">
        <f t="shared" ref="B327:C327" si="79">H327</f>
        <v/>
      </c>
      <c r="C327" s="13" t="str">
        <f t="shared" si="79"/>
        <v/>
      </c>
      <c r="D327" s="10"/>
      <c r="E327" s="10"/>
      <c r="F327" s="10"/>
      <c r="H327" s="6"/>
      <c r="I327" s="6"/>
      <c r="K327" s="9"/>
      <c r="L327" s="9"/>
      <c r="N327" s="6"/>
      <c r="O327" s="6"/>
      <c r="Q327" s="9"/>
      <c r="R327" s="9"/>
      <c r="T327" s="6"/>
      <c r="U327" s="7"/>
      <c r="X327" s="9"/>
    </row>
    <row r="328">
      <c r="B328" s="10" t="str">
        <f t="shared" ref="B328:C328" si="80">H328</f>
        <v/>
      </c>
      <c r="C328" s="13" t="str">
        <f t="shared" si="80"/>
        <v/>
      </c>
      <c r="D328" s="10"/>
      <c r="E328" s="10"/>
      <c r="F328" s="10"/>
      <c r="H328" s="6"/>
      <c r="I328" s="6"/>
      <c r="K328" s="9"/>
      <c r="L328" s="9"/>
      <c r="N328" s="6"/>
      <c r="O328" s="6"/>
      <c r="Q328" s="9"/>
      <c r="R328" s="9"/>
      <c r="T328" s="6"/>
      <c r="U328" s="7"/>
      <c r="X328" s="9"/>
    </row>
    <row r="329">
      <c r="B329" s="10" t="str">
        <f t="shared" ref="B329:C329" si="81">H329</f>
        <v/>
      </c>
      <c r="C329" s="13" t="str">
        <f t="shared" si="81"/>
        <v/>
      </c>
      <c r="D329" s="10"/>
      <c r="E329" s="10"/>
      <c r="F329" s="10"/>
      <c r="H329" s="6"/>
      <c r="I329" s="6"/>
      <c r="K329" s="9"/>
      <c r="L329" s="9"/>
      <c r="N329" s="6"/>
      <c r="O329" s="6"/>
      <c r="Q329" s="9"/>
      <c r="R329" s="9"/>
      <c r="T329" s="6"/>
      <c r="U329" s="7"/>
      <c r="X329" s="9"/>
    </row>
    <row r="330">
      <c r="B330" s="10" t="str">
        <f t="shared" ref="B330:C330" si="82">H330</f>
        <v/>
      </c>
      <c r="C330" s="13" t="str">
        <f t="shared" si="82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83">H331</f>
        <v/>
      </c>
      <c r="C331" s="13" t="str">
        <f t="shared" si="83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84">H332</f>
        <v/>
      </c>
      <c r="C332" s="13" t="str">
        <f t="shared" si="84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85">H333</f>
        <v/>
      </c>
      <c r="C333" s="13" t="str">
        <f t="shared" si="85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X333" s="9"/>
    </row>
    <row r="334">
      <c r="B334" s="10" t="str">
        <f t="shared" ref="B334:C334" si="86">H334</f>
        <v/>
      </c>
      <c r="C334" s="13" t="str">
        <f t="shared" si="86"/>
        <v/>
      </c>
      <c r="D334" s="10"/>
      <c r="E334" s="10"/>
      <c r="F334" s="10"/>
      <c r="H334" s="6"/>
      <c r="I334" s="7"/>
      <c r="K334" s="9"/>
      <c r="L334" s="9"/>
      <c r="N334" s="6"/>
      <c r="O334" s="7"/>
      <c r="Q334" s="9"/>
      <c r="R334" s="9"/>
      <c r="T334" s="6"/>
      <c r="U334" s="7"/>
      <c r="W334" s="9"/>
      <c r="X334" s="9"/>
    </row>
    <row r="335">
      <c r="B335" s="10" t="str">
        <f t="shared" ref="B335:C335" si="87">H335</f>
        <v/>
      </c>
      <c r="C335" s="14" t="str">
        <f t="shared" si="87"/>
        <v/>
      </c>
      <c r="D335" s="10"/>
      <c r="E335" s="10"/>
      <c r="F335" s="10"/>
      <c r="H335" s="6"/>
      <c r="I335" s="11"/>
      <c r="K335" s="9"/>
      <c r="L335" s="9"/>
      <c r="N335" s="6"/>
      <c r="O335" s="11"/>
      <c r="Q335" s="9"/>
      <c r="R335" s="9"/>
      <c r="T335" s="6"/>
      <c r="U335" s="11"/>
      <c r="W335" s="9"/>
      <c r="X335" s="9"/>
    </row>
    <row r="336">
      <c r="B336" s="10" t="str">
        <f t="shared" ref="B336:C336" si="88">H336</f>
        <v/>
      </c>
      <c r="C336" s="14" t="str">
        <f t="shared" si="88"/>
        <v/>
      </c>
      <c r="D336" s="10"/>
      <c r="E336" s="10"/>
      <c r="F336" s="10"/>
      <c r="H336" s="6"/>
      <c r="I336" s="11"/>
      <c r="K336" s="9"/>
      <c r="L336" s="9"/>
      <c r="N336" s="6"/>
      <c r="O336" s="11"/>
      <c r="Q336" s="9"/>
      <c r="R336" s="9"/>
      <c r="T336" s="6"/>
      <c r="U336" s="11"/>
      <c r="W336" s="9"/>
      <c r="X336" s="9"/>
    </row>
    <row r="337">
      <c r="B337" s="10" t="str">
        <f t="shared" ref="B337:C337" si="89">H337</f>
        <v/>
      </c>
      <c r="C337" s="13" t="str">
        <f t="shared" si="89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6"/>
      <c r="W337" s="9"/>
      <c r="X337" s="9"/>
    </row>
    <row r="338">
      <c r="B338" s="10" t="str">
        <f t="shared" ref="B338:C338" si="90">H338</f>
        <v/>
      </c>
      <c r="C338" s="13" t="str">
        <f t="shared" si="90"/>
        <v/>
      </c>
      <c r="D338" s="10"/>
      <c r="E338" s="10"/>
      <c r="F338" s="10"/>
      <c r="H338" s="6"/>
      <c r="I338" s="7"/>
      <c r="K338" s="9"/>
      <c r="L338" s="9"/>
      <c r="N338" s="6"/>
      <c r="O338" s="7"/>
      <c r="Q338" s="9"/>
      <c r="R338" s="9"/>
      <c r="T338" s="6"/>
      <c r="U338" s="6"/>
      <c r="W338" s="9"/>
      <c r="X338" s="9"/>
    </row>
    <row r="339">
      <c r="B339" s="10" t="str">
        <f t="shared" ref="B339:C339" si="91">H339</f>
        <v/>
      </c>
      <c r="C339" s="13" t="str">
        <f t="shared" si="91"/>
        <v/>
      </c>
      <c r="D339" s="10"/>
      <c r="E339" s="10"/>
      <c r="F339" s="10"/>
      <c r="H339" s="6"/>
      <c r="I339" s="7"/>
      <c r="K339" s="9"/>
      <c r="L339" s="9"/>
      <c r="N339" s="6"/>
      <c r="O339" s="7"/>
      <c r="Q339" s="9"/>
      <c r="R339" s="9"/>
      <c r="T339" s="6"/>
      <c r="U339" s="7"/>
      <c r="X339" s="9"/>
    </row>
    <row r="340">
      <c r="B340" s="10" t="str">
        <f t="shared" ref="B340:C340" si="92">H340</f>
        <v/>
      </c>
      <c r="C340" s="13" t="str">
        <f t="shared" si="92"/>
        <v/>
      </c>
      <c r="D340" s="10"/>
      <c r="E340" s="10"/>
      <c r="F340" s="10"/>
      <c r="H340" s="6"/>
      <c r="I340" s="6"/>
      <c r="K340" s="9"/>
      <c r="L340" s="9"/>
      <c r="N340" s="6"/>
      <c r="O340" s="6"/>
      <c r="Q340" s="9"/>
      <c r="R340" s="9"/>
      <c r="T340" s="6"/>
      <c r="U340" s="7"/>
      <c r="X340" s="9"/>
    </row>
    <row r="341">
      <c r="B341" s="10" t="str">
        <f t="shared" ref="B341:C341" si="93">H341</f>
        <v/>
      </c>
      <c r="C341" s="13" t="str">
        <f t="shared" si="93"/>
        <v/>
      </c>
      <c r="D341" s="10"/>
      <c r="E341" s="10"/>
      <c r="F341" s="10"/>
      <c r="H341" s="6"/>
      <c r="I341" s="6"/>
      <c r="K341" s="9"/>
      <c r="L341" s="9"/>
      <c r="N341" s="6"/>
      <c r="O341" s="6"/>
      <c r="Q341" s="9"/>
      <c r="R341" s="9"/>
      <c r="T341" s="6"/>
      <c r="U341" s="7"/>
      <c r="X341" s="9"/>
    </row>
    <row r="342">
      <c r="B342" s="10" t="str">
        <f t="shared" ref="B342:C342" si="94">H342</f>
        <v/>
      </c>
      <c r="C342" s="13" t="str">
        <f t="shared" si="94"/>
        <v/>
      </c>
      <c r="D342" s="10"/>
      <c r="E342" s="10"/>
      <c r="F342" s="10"/>
      <c r="H342" s="6"/>
      <c r="I342" s="6"/>
      <c r="K342" s="9"/>
      <c r="L342" s="9"/>
      <c r="N342" s="6"/>
      <c r="O342" s="6"/>
      <c r="Q342" s="9"/>
      <c r="R342" s="9"/>
      <c r="T342" s="6"/>
      <c r="U342" s="7"/>
      <c r="X342" s="9"/>
    </row>
    <row r="343">
      <c r="B343" s="10" t="str">
        <f t="shared" ref="B343:C343" si="95">H343</f>
        <v/>
      </c>
      <c r="C343" s="13" t="str">
        <f t="shared" si="95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96">H344</f>
        <v/>
      </c>
      <c r="C344" s="13" t="str">
        <f t="shared" si="96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97">H345</f>
        <v/>
      </c>
      <c r="C345" s="13" t="str">
        <f t="shared" si="97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98">H346</f>
        <v/>
      </c>
      <c r="C346" s="13" t="str">
        <f t="shared" si="98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X346" s="9"/>
    </row>
    <row r="347">
      <c r="B347" s="10" t="str">
        <f t="shared" ref="B347:C347" si="99">H347</f>
        <v/>
      </c>
      <c r="C347" s="13" t="str">
        <f t="shared" si="99"/>
        <v/>
      </c>
      <c r="D347" s="10"/>
      <c r="E347" s="10"/>
      <c r="F347" s="10"/>
      <c r="H347" s="6"/>
      <c r="I347" s="7"/>
      <c r="K347" s="9"/>
      <c r="L347" s="9"/>
      <c r="N347" s="6"/>
      <c r="O347" s="7"/>
      <c r="Q347" s="9"/>
      <c r="R347" s="9"/>
      <c r="T347" s="6"/>
      <c r="U347" s="7"/>
      <c r="W347" s="9"/>
      <c r="X347" s="9"/>
    </row>
    <row r="348">
      <c r="B348" s="10" t="str">
        <f t="shared" ref="B348:C348" si="100">H348</f>
        <v/>
      </c>
      <c r="C348" s="14" t="str">
        <f t="shared" si="100"/>
        <v/>
      </c>
      <c r="D348" s="10"/>
      <c r="E348" s="10"/>
      <c r="F348" s="10"/>
      <c r="H348" s="6"/>
      <c r="I348" s="11"/>
      <c r="K348" s="9"/>
      <c r="L348" s="9"/>
      <c r="N348" s="6"/>
      <c r="O348" s="11"/>
      <c r="Q348" s="9"/>
      <c r="R348" s="9"/>
      <c r="T348" s="6"/>
      <c r="U348" s="11"/>
      <c r="W348" s="9"/>
      <c r="X348" s="9"/>
    </row>
    <row r="349">
      <c r="B349" s="10" t="str">
        <f t="shared" ref="B349:C349" si="101">H349</f>
        <v/>
      </c>
      <c r="C349" s="14" t="str">
        <f t="shared" si="101"/>
        <v/>
      </c>
      <c r="D349" s="10"/>
      <c r="E349" s="10"/>
      <c r="F349" s="10"/>
      <c r="H349" s="6"/>
      <c r="I349" s="11"/>
      <c r="K349" s="9"/>
      <c r="L349" s="9"/>
      <c r="N349" s="6"/>
      <c r="O349" s="11"/>
      <c r="Q349" s="9"/>
      <c r="R349" s="9"/>
      <c r="T349" s="6"/>
      <c r="U349" s="11"/>
      <c r="W349" s="9"/>
      <c r="X349" s="9"/>
    </row>
    <row r="350">
      <c r="B350" s="10" t="str">
        <f t="shared" ref="B350:C350" si="102">H350</f>
        <v/>
      </c>
      <c r="C350" s="13" t="str">
        <f t="shared" si="102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6"/>
      <c r="W350" s="9"/>
      <c r="X350" s="9"/>
    </row>
    <row r="351">
      <c r="B351" s="10" t="str">
        <f t="shared" ref="B351:C351" si="103">H351</f>
        <v/>
      </c>
      <c r="C351" s="13" t="str">
        <f t="shared" si="103"/>
        <v/>
      </c>
      <c r="D351" s="10"/>
      <c r="E351" s="10"/>
      <c r="F351" s="10"/>
      <c r="H351" s="6"/>
      <c r="I351" s="7"/>
      <c r="K351" s="9"/>
      <c r="L351" s="9"/>
      <c r="N351" s="6"/>
      <c r="O351" s="7"/>
      <c r="Q351" s="9"/>
      <c r="R351" s="9"/>
      <c r="T351" s="6"/>
      <c r="U351" s="6"/>
      <c r="W351" s="9"/>
      <c r="X351" s="9"/>
    </row>
    <row r="352">
      <c r="B352" s="10" t="str">
        <f t="shared" ref="B352:C352" si="104">H352</f>
        <v/>
      </c>
      <c r="C352" s="13" t="str">
        <f t="shared" si="104"/>
        <v/>
      </c>
      <c r="D352" s="10"/>
      <c r="E352" s="10"/>
      <c r="F352" s="10"/>
      <c r="H352" s="6"/>
      <c r="I352" s="7"/>
      <c r="K352" s="9"/>
      <c r="L352" s="9"/>
      <c r="N352" s="6"/>
      <c r="O352" s="7"/>
      <c r="Q352" s="9"/>
      <c r="R352" s="9"/>
      <c r="T352" s="6"/>
      <c r="U352" s="7"/>
      <c r="X352" s="9"/>
    </row>
    <row r="353">
      <c r="B353" s="10" t="str">
        <f t="shared" ref="B353:C353" si="105">H353</f>
        <v/>
      </c>
      <c r="C353" s="13" t="str">
        <f t="shared" si="105"/>
        <v/>
      </c>
      <c r="D353" s="10"/>
      <c r="E353" s="10"/>
      <c r="F353" s="10"/>
      <c r="H353" s="6"/>
      <c r="I353" s="6"/>
      <c r="K353" s="9"/>
      <c r="L353" s="9"/>
      <c r="N353" s="6"/>
      <c r="O353" s="6"/>
      <c r="Q353" s="9"/>
      <c r="R353" s="9"/>
      <c r="T353" s="6"/>
      <c r="U353" s="7"/>
      <c r="X353" s="9"/>
    </row>
    <row r="354">
      <c r="B354" s="10" t="str">
        <f t="shared" ref="B354:C354" si="106">H354</f>
        <v/>
      </c>
      <c r="C354" s="13" t="str">
        <f t="shared" si="106"/>
        <v/>
      </c>
      <c r="D354" s="10"/>
      <c r="E354" s="10"/>
      <c r="F354" s="10"/>
      <c r="H354" s="6"/>
      <c r="I354" s="6"/>
      <c r="K354" s="9"/>
      <c r="L354" s="9"/>
      <c r="N354" s="6"/>
      <c r="O354" s="6"/>
      <c r="Q354" s="9"/>
      <c r="R354" s="9"/>
      <c r="T354" s="6"/>
      <c r="U354" s="7"/>
      <c r="X354" s="9"/>
    </row>
    <row r="355">
      <c r="B355" s="10" t="str">
        <f t="shared" ref="B355:C355" si="107">H355</f>
        <v/>
      </c>
      <c r="C355" s="13" t="str">
        <f t="shared" si="107"/>
        <v/>
      </c>
      <c r="D355" s="10"/>
      <c r="E355" s="10"/>
      <c r="F355" s="10"/>
      <c r="H355" s="6"/>
      <c r="I355" s="6"/>
      <c r="K355" s="9"/>
      <c r="L355" s="9"/>
      <c r="N355" s="6"/>
      <c r="O355" s="6"/>
      <c r="Q355" s="9"/>
      <c r="R355" s="9"/>
      <c r="T355" s="6"/>
      <c r="U355" s="7"/>
      <c r="X355" s="9"/>
    </row>
    <row r="356">
      <c r="B356" s="10" t="str">
        <f t="shared" ref="B356:C356" si="108">H356</f>
        <v/>
      </c>
      <c r="C356" s="13" t="str">
        <f t="shared" si="108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09">H357</f>
        <v/>
      </c>
      <c r="C357" s="13" t="str">
        <f t="shared" si="109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10">H358</f>
        <v/>
      </c>
      <c r="C358" s="13" t="str">
        <f t="shared" si="110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11">H359</f>
        <v/>
      </c>
      <c r="C359" s="13" t="str">
        <f t="shared" si="111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X359" s="9"/>
    </row>
    <row r="360">
      <c r="B360" s="10" t="str">
        <f t="shared" ref="B360:C360" si="112">H360</f>
        <v/>
      </c>
      <c r="C360" s="13" t="str">
        <f t="shared" si="112"/>
        <v/>
      </c>
      <c r="D360" s="10"/>
      <c r="E360" s="10"/>
      <c r="F360" s="10"/>
      <c r="H360" s="6"/>
      <c r="I360" s="7"/>
      <c r="K360" s="9"/>
      <c r="L360" s="9"/>
      <c r="N360" s="6"/>
      <c r="O360" s="7"/>
      <c r="Q360" s="9"/>
      <c r="R360" s="9"/>
      <c r="T360" s="6"/>
      <c r="U360" s="7"/>
      <c r="W360" s="9"/>
      <c r="X360" s="9"/>
    </row>
    <row r="361">
      <c r="B361" s="10" t="str">
        <f t="shared" ref="B361:C361" si="113">H361</f>
        <v/>
      </c>
      <c r="C361" s="14" t="str">
        <f t="shared" si="113"/>
        <v/>
      </c>
      <c r="D361" s="10"/>
      <c r="E361" s="10"/>
      <c r="F361" s="10"/>
      <c r="H361" s="6"/>
      <c r="I361" s="11"/>
      <c r="K361" s="9"/>
      <c r="L361" s="9"/>
      <c r="N361" s="6"/>
      <c r="O361" s="11"/>
      <c r="Q361" s="9"/>
      <c r="R361" s="9"/>
      <c r="T361" s="6"/>
      <c r="U361" s="11"/>
      <c r="W361" s="9"/>
      <c r="X361" s="9"/>
    </row>
    <row r="362">
      <c r="B362" s="10" t="str">
        <f t="shared" ref="B362:C362" si="114">H362</f>
        <v/>
      </c>
      <c r="C362" s="14" t="str">
        <f t="shared" si="114"/>
        <v/>
      </c>
      <c r="D362" s="10"/>
      <c r="E362" s="10"/>
      <c r="F362" s="10"/>
      <c r="H362" s="6"/>
      <c r="I362" s="11"/>
      <c r="K362" s="9"/>
      <c r="L362" s="9"/>
      <c r="N362" s="6"/>
      <c r="O362" s="11"/>
      <c r="Q362" s="9"/>
      <c r="R362" s="9"/>
      <c r="T362" s="6"/>
      <c r="U362" s="11"/>
      <c r="W362" s="9"/>
      <c r="X362" s="9"/>
    </row>
    <row r="363">
      <c r="B363" s="10" t="str">
        <f t="shared" ref="B363:C363" si="115">H363</f>
        <v/>
      </c>
      <c r="C363" s="13" t="str">
        <f t="shared" si="115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6"/>
      <c r="W363" s="9"/>
      <c r="X363" s="9"/>
    </row>
    <row r="364">
      <c r="B364" s="10" t="str">
        <f t="shared" ref="B364:C364" si="116">H364</f>
        <v/>
      </c>
      <c r="C364" s="13" t="str">
        <f t="shared" si="116"/>
        <v/>
      </c>
      <c r="D364" s="10"/>
      <c r="E364" s="10"/>
      <c r="F364" s="10"/>
      <c r="H364" s="6"/>
      <c r="I364" s="7"/>
      <c r="K364" s="9"/>
      <c r="L364" s="9"/>
      <c r="N364" s="6"/>
      <c r="O364" s="7"/>
      <c r="Q364" s="9"/>
      <c r="R364" s="9"/>
      <c r="T364" s="6"/>
      <c r="U364" s="6"/>
      <c r="W364" s="9"/>
      <c r="X364" s="9"/>
    </row>
    <row r="365">
      <c r="B365" s="10" t="str">
        <f t="shared" ref="B365:C365" si="117">H365</f>
        <v/>
      </c>
      <c r="C365" s="13" t="str">
        <f t="shared" si="117"/>
        <v/>
      </c>
      <c r="D365" s="10"/>
      <c r="E365" s="10"/>
      <c r="F365" s="10"/>
      <c r="H365" s="6"/>
      <c r="I365" s="7"/>
      <c r="K365" s="9"/>
      <c r="L365" s="9"/>
      <c r="N365" s="6"/>
      <c r="O365" s="7"/>
      <c r="Q365" s="9"/>
      <c r="R365" s="9"/>
      <c r="T365" s="6"/>
      <c r="U365" s="7"/>
      <c r="X365" s="9"/>
    </row>
    <row r="366">
      <c r="B366" s="10" t="str">
        <f t="shared" ref="B366:C366" si="118">H366</f>
        <v/>
      </c>
      <c r="C366" s="13" t="str">
        <f t="shared" si="118"/>
        <v/>
      </c>
      <c r="D366" s="10"/>
      <c r="E366" s="10"/>
      <c r="F366" s="10"/>
      <c r="H366" s="6"/>
      <c r="I366" s="6"/>
      <c r="K366" s="9"/>
      <c r="L366" s="9"/>
      <c r="N366" s="6"/>
      <c r="O366" s="6"/>
      <c r="Q366" s="9"/>
      <c r="R366" s="9"/>
      <c r="T366" s="6"/>
      <c r="U366" s="7"/>
      <c r="X366" s="9"/>
    </row>
    <row r="367">
      <c r="B367" s="10" t="str">
        <f t="shared" ref="B367:C367" si="119">H367</f>
        <v/>
      </c>
      <c r="C367" s="13" t="str">
        <f t="shared" si="119"/>
        <v/>
      </c>
      <c r="D367" s="10"/>
      <c r="E367" s="10"/>
      <c r="F367" s="10"/>
      <c r="H367" s="6"/>
      <c r="I367" s="6"/>
      <c r="K367" s="9"/>
      <c r="L367" s="9"/>
      <c r="N367" s="6"/>
      <c r="O367" s="6"/>
      <c r="Q367" s="9"/>
      <c r="R367" s="9"/>
      <c r="T367" s="6"/>
      <c r="U367" s="7"/>
      <c r="X367" s="9"/>
    </row>
    <row r="368">
      <c r="B368" s="10" t="str">
        <f t="shared" ref="B368:C368" si="120">H368</f>
        <v/>
      </c>
      <c r="C368" s="13" t="str">
        <f t="shared" si="120"/>
        <v/>
      </c>
      <c r="D368" s="10"/>
      <c r="E368" s="10"/>
      <c r="F368" s="10"/>
      <c r="H368" s="6"/>
      <c r="I368" s="6"/>
      <c r="K368" s="9"/>
      <c r="L368" s="9"/>
      <c r="N368" s="6"/>
      <c r="O368" s="6"/>
      <c r="Q368" s="9"/>
      <c r="R368" s="9"/>
      <c r="T368" s="6"/>
      <c r="U368" s="7"/>
      <c r="X368" s="9"/>
    </row>
    <row r="369">
      <c r="B369" s="10" t="str">
        <f t="shared" ref="B369:C369" si="121">H369</f>
        <v/>
      </c>
      <c r="C369" s="13" t="str">
        <f t="shared" si="121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22">H370</f>
        <v/>
      </c>
      <c r="C370" s="13" t="str">
        <f t="shared" si="122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23">H371</f>
        <v/>
      </c>
      <c r="C371" s="13" t="str">
        <f t="shared" si="123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24">H372</f>
        <v/>
      </c>
      <c r="C372" s="13" t="str">
        <f t="shared" si="124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X372" s="9"/>
    </row>
    <row r="373">
      <c r="B373" s="10" t="str">
        <f t="shared" ref="B373:C373" si="125">H373</f>
        <v/>
      </c>
      <c r="C373" s="13" t="str">
        <f t="shared" si="125"/>
        <v/>
      </c>
      <c r="D373" s="10"/>
      <c r="E373" s="10"/>
      <c r="F373" s="10"/>
      <c r="H373" s="6"/>
      <c r="I373" s="7"/>
      <c r="K373" s="9"/>
      <c r="L373" s="9"/>
      <c r="N373" s="6"/>
      <c r="O373" s="7"/>
      <c r="Q373" s="9"/>
      <c r="R373" s="9"/>
      <c r="T373" s="6"/>
      <c r="U373" s="7"/>
      <c r="W373" s="9"/>
      <c r="X373" s="9"/>
    </row>
    <row r="374">
      <c r="B374" s="10" t="str">
        <f t="shared" ref="B374:C374" si="126">H374</f>
        <v/>
      </c>
      <c r="C374" s="14" t="str">
        <f t="shared" si="126"/>
        <v/>
      </c>
      <c r="D374" s="10"/>
      <c r="E374" s="10"/>
      <c r="F374" s="10"/>
      <c r="H374" s="6"/>
      <c r="I374" s="11"/>
      <c r="K374" s="9"/>
      <c r="L374" s="9"/>
      <c r="N374" s="6"/>
      <c r="O374" s="11"/>
      <c r="Q374" s="9"/>
      <c r="R374" s="9"/>
      <c r="T374" s="6"/>
      <c r="U374" s="11"/>
      <c r="W374" s="9"/>
      <c r="X374" s="9"/>
    </row>
    <row r="375">
      <c r="B375" s="10" t="str">
        <f t="shared" ref="B375:C375" si="127">H375</f>
        <v/>
      </c>
      <c r="C375" s="14" t="str">
        <f t="shared" si="127"/>
        <v/>
      </c>
      <c r="D375" s="10"/>
      <c r="E375" s="10"/>
      <c r="F375" s="10"/>
      <c r="H375" s="6"/>
      <c r="I375" s="11"/>
      <c r="K375" s="9"/>
      <c r="L375" s="9"/>
      <c r="N375" s="6"/>
      <c r="O375" s="11"/>
      <c r="Q375" s="9"/>
      <c r="R375" s="9"/>
      <c r="T375" s="6"/>
      <c r="U375" s="11"/>
      <c r="W375" s="9"/>
      <c r="X375" s="9"/>
    </row>
    <row r="376">
      <c r="B376" s="10" t="str">
        <f t="shared" ref="B376:C376" si="128">H376</f>
        <v/>
      </c>
      <c r="C376" s="13" t="str">
        <f t="shared" si="128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6"/>
      <c r="W376" s="9"/>
      <c r="X376" s="9"/>
    </row>
    <row r="377">
      <c r="B377" s="10" t="str">
        <f t="shared" ref="B377:C377" si="129">H377</f>
        <v/>
      </c>
      <c r="C377" s="13" t="str">
        <f t="shared" si="129"/>
        <v/>
      </c>
      <c r="D377" s="10"/>
      <c r="E377" s="10"/>
      <c r="F377" s="10"/>
      <c r="H377" s="6"/>
      <c r="I377" s="7"/>
      <c r="K377" s="9"/>
      <c r="L377" s="9"/>
      <c r="N377" s="6"/>
      <c r="O377" s="7"/>
      <c r="R377" s="9"/>
      <c r="T377" s="6"/>
      <c r="U377" s="6"/>
      <c r="W377" s="9"/>
      <c r="X377" s="9"/>
    </row>
    <row r="378">
      <c r="B378" s="10" t="str">
        <f t="shared" ref="B378:C378" si="130">H378</f>
        <v/>
      </c>
      <c r="C378" s="13" t="str">
        <f t="shared" si="130"/>
        <v/>
      </c>
      <c r="D378" s="10"/>
      <c r="E378" s="10"/>
      <c r="F378" s="10"/>
      <c r="H378" s="6"/>
      <c r="I378" s="7"/>
      <c r="K378" s="9"/>
      <c r="L378" s="9"/>
      <c r="N378" s="6"/>
      <c r="O378" s="7"/>
      <c r="Q378" s="9"/>
      <c r="R378" s="9"/>
      <c r="T378" s="6"/>
      <c r="U378" s="7"/>
      <c r="X378" s="9"/>
    </row>
    <row r="379">
      <c r="B379" s="10" t="str">
        <f t="shared" ref="B379:C379" si="131">H379</f>
        <v/>
      </c>
      <c r="C379" s="13" t="str">
        <f t="shared" si="131"/>
        <v/>
      </c>
      <c r="D379" s="10"/>
      <c r="E379" s="10"/>
      <c r="F379" s="10"/>
      <c r="H379" s="6"/>
      <c r="I379" s="6"/>
      <c r="K379" s="9"/>
      <c r="L379" s="9"/>
      <c r="N379" s="6"/>
      <c r="O379" s="6"/>
      <c r="Q379" s="9"/>
      <c r="R379" s="9"/>
      <c r="T379" s="6"/>
      <c r="U379" s="7"/>
      <c r="X379" s="9"/>
    </row>
    <row r="380">
      <c r="B380" s="10" t="str">
        <f t="shared" ref="B380:C380" si="132">H380</f>
        <v/>
      </c>
      <c r="C380" s="13" t="str">
        <f t="shared" si="132"/>
        <v/>
      </c>
      <c r="D380" s="10"/>
      <c r="E380" s="10"/>
      <c r="F380" s="10"/>
      <c r="H380" s="6"/>
      <c r="I380" s="6"/>
      <c r="K380" s="9"/>
      <c r="L380" s="9"/>
      <c r="N380" s="6"/>
      <c r="O380" s="6"/>
      <c r="Q380" s="9"/>
      <c r="R380" s="9"/>
      <c r="T380" s="6"/>
      <c r="U380" s="7"/>
      <c r="X380" s="9"/>
    </row>
    <row r="381">
      <c r="B381" s="10" t="str">
        <f t="shared" ref="B381:C381" si="133">H381</f>
        <v/>
      </c>
      <c r="C381" s="13" t="str">
        <f t="shared" si="133"/>
        <v/>
      </c>
      <c r="D381" s="10"/>
      <c r="E381" s="10"/>
      <c r="F381" s="10"/>
      <c r="H381" s="6"/>
      <c r="I381" s="6"/>
      <c r="K381" s="9"/>
      <c r="L381" s="9"/>
      <c r="N381" s="6"/>
      <c r="O381" s="6"/>
      <c r="Q381" s="9"/>
      <c r="R381" s="9"/>
      <c r="T381" s="6"/>
      <c r="U381" s="7"/>
      <c r="X381" s="9"/>
    </row>
    <row r="382">
      <c r="B382" s="10" t="str">
        <f t="shared" ref="B382:C382" si="134">H382</f>
        <v/>
      </c>
      <c r="C382" s="13" t="str">
        <f t="shared" si="134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35">H383</f>
        <v/>
      </c>
      <c r="C383" s="13" t="str">
        <f t="shared" si="135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36">H384</f>
        <v/>
      </c>
      <c r="C384" s="13" t="str">
        <f t="shared" si="136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37">H385</f>
        <v/>
      </c>
      <c r="C385" s="13" t="str">
        <f t="shared" si="137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6"/>
      <c r="X385" s="9"/>
    </row>
    <row r="386">
      <c r="B386" s="10" t="str">
        <f t="shared" ref="B386:C386" si="138">H386</f>
        <v/>
      </c>
      <c r="C386" s="13" t="str">
        <f t="shared" si="138"/>
        <v/>
      </c>
      <c r="D386" s="10"/>
      <c r="E386" s="10"/>
      <c r="F386" s="10"/>
      <c r="H386" s="6"/>
      <c r="I386" s="7"/>
      <c r="K386" s="9"/>
      <c r="L386" s="9"/>
      <c r="N386" s="6"/>
      <c r="O386" s="7"/>
      <c r="Q386" s="9"/>
      <c r="R386" s="9"/>
      <c r="T386" s="6"/>
      <c r="U386" s="7"/>
      <c r="W386" s="9"/>
      <c r="X386" s="9"/>
    </row>
    <row r="387">
      <c r="B387" s="10" t="str">
        <f t="shared" ref="B387:C387" si="139">H387</f>
        <v/>
      </c>
      <c r="C387" s="14" t="str">
        <f t="shared" si="139"/>
        <v/>
      </c>
      <c r="D387" s="10"/>
      <c r="E387" s="10"/>
      <c r="F387" s="10"/>
      <c r="H387" s="6"/>
      <c r="I387" s="11"/>
      <c r="K387" s="9"/>
      <c r="L387" s="9"/>
      <c r="N387" s="6"/>
      <c r="O387" s="11"/>
      <c r="Q387" s="9"/>
      <c r="R387" s="9"/>
      <c r="T387" s="6"/>
      <c r="U387" s="11"/>
      <c r="W387" s="9"/>
      <c r="X387" s="9"/>
    </row>
    <row r="388">
      <c r="B388" s="10" t="str">
        <f t="shared" ref="B388:C388" si="140">H388</f>
        <v/>
      </c>
      <c r="C388" s="14" t="str">
        <f t="shared" si="140"/>
        <v/>
      </c>
      <c r="D388" s="10"/>
      <c r="E388" s="10"/>
      <c r="F388" s="10"/>
      <c r="H388" s="6"/>
      <c r="I388" s="11"/>
      <c r="K388" s="9"/>
      <c r="L388" s="9"/>
      <c r="N388" s="6"/>
      <c r="O388" s="11"/>
      <c r="Q388" s="9"/>
      <c r="R388" s="9"/>
      <c r="T388" s="6"/>
      <c r="U388" s="11"/>
      <c r="W388" s="9"/>
      <c r="X388" s="9"/>
    </row>
    <row r="389">
      <c r="B389" s="10" t="str">
        <f t="shared" ref="B389:C389" si="141">H389</f>
        <v/>
      </c>
      <c r="C389" s="13" t="str">
        <f t="shared" si="141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42">H390</f>
        <v/>
      </c>
      <c r="C390" s="13" t="str">
        <f t="shared" si="142"/>
        <v/>
      </c>
      <c r="D390" s="10"/>
      <c r="E390" s="10"/>
      <c r="F390" s="10"/>
      <c r="H390" s="6"/>
      <c r="I390" s="7"/>
      <c r="K390" s="9"/>
      <c r="L390" s="9"/>
      <c r="N390" s="6"/>
      <c r="O390" s="7"/>
      <c r="Q390" s="9"/>
      <c r="R390" s="9"/>
      <c r="T390" s="6"/>
      <c r="U390" s="7"/>
      <c r="W390" s="9"/>
      <c r="X390" s="9"/>
    </row>
    <row r="391">
      <c r="B391" s="10" t="str">
        <f t="shared" ref="B391:C391" si="143">H391</f>
        <v/>
      </c>
      <c r="C391" s="13" t="str">
        <f t="shared" si="143"/>
        <v/>
      </c>
      <c r="D391" s="10"/>
      <c r="E391" s="10"/>
      <c r="F391" s="10"/>
      <c r="H391" s="6"/>
      <c r="I391" s="7"/>
      <c r="K391" s="9"/>
      <c r="L391" s="9"/>
      <c r="N391" s="6"/>
      <c r="O391" s="7"/>
      <c r="Q391" s="9"/>
      <c r="R391" s="9"/>
    </row>
    <row r="392">
      <c r="B392" s="10" t="str">
        <f t="shared" ref="B392:C392" si="144">H392</f>
        <v/>
      </c>
      <c r="C392" s="13" t="str">
        <f t="shared" si="144"/>
        <v/>
      </c>
      <c r="D392" s="10"/>
      <c r="E392" s="10"/>
      <c r="F392" s="10"/>
      <c r="H392" s="6"/>
      <c r="I392" s="6"/>
      <c r="K392" s="9"/>
      <c r="L392" s="9"/>
      <c r="N392" s="6"/>
      <c r="O392" s="6"/>
      <c r="Q392" s="9"/>
      <c r="R392" s="9"/>
    </row>
    <row r="393">
      <c r="B393" s="10" t="str">
        <f t="shared" ref="B393:C393" si="145">H393</f>
        <v/>
      </c>
      <c r="C393" s="13" t="str">
        <f t="shared" si="145"/>
        <v/>
      </c>
      <c r="D393" s="10"/>
      <c r="E393" s="10"/>
      <c r="F393" s="10"/>
      <c r="H393" s="6"/>
      <c r="I393" s="6"/>
      <c r="K393" s="9"/>
      <c r="L393" s="9"/>
      <c r="N393" s="6"/>
      <c r="O393" s="6"/>
      <c r="Q393" s="9"/>
      <c r="R393" s="9"/>
    </row>
    <row r="394">
      <c r="B394" s="10" t="str">
        <f t="shared" ref="B394:C394" si="146">H394</f>
        <v/>
      </c>
      <c r="C394" s="13" t="str">
        <f t="shared" si="146"/>
        <v/>
      </c>
      <c r="D394" s="10"/>
      <c r="E394" s="10"/>
      <c r="F394" s="10"/>
      <c r="H394" s="6"/>
      <c r="I394" s="6"/>
      <c r="K394" s="9"/>
      <c r="L394" s="9"/>
      <c r="N394" s="6"/>
      <c r="O394" s="6"/>
      <c r="Q394" s="9"/>
      <c r="R394" s="9"/>
    </row>
    <row r="395">
      <c r="B395" s="10" t="str">
        <f t="shared" ref="B395:C395" si="147">H395</f>
        <v/>
      </c>
      <c r="C395" s="13" t="str">
        <f t="shared" si="147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48">H396</f>
        <v/>
      </c>
      <c r="C396" s="13" t="str">
        <f t="shared" si="148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49">H397</f>
        <v/>
      </c>
      <c r="C397" s="13" t="str">
        <f t="shared" si="149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50">H398</f>
        <v/>
      </c>
      <c r="C398" s="13" t="str">
        <f t="shared" si="150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51">H399</f>
        <v/>
      </c>
      <c r="C399" s="13" t="str">
        <f t="shared" si="151"/>
        <v/>
      </c>
      <c r="D399" s="10"/>
      <c r="E399" s="10"/>
      <c r="F399" s="10"/>
      <c r="H399" s="6"/>
      <c r="I399" s="7"/>
      <c r="K399" s="9"/>
      <c r="L399" s="9"/>
      <c r="N399" s="6"/>
      <c r="O399" s="7"/>
      <c r="Q399" s="9"/>
      <c r="R399" s="9"/>
      <c r="T399" s="6"/>
      <c r="U399" s="7"/>
      <c r="W399" s="9"/>
      <c r="X399" s="9"/>
    </row>
    <row r="400">
      <c r="B400" s="10" t="str">
        <f t="shared" ref="B400:C400" si="152">H400</f>
        <v/>
      </c>
      <c r="C400" s="14" t="str">
        <f t="shared" si="152"/>
        <v/>
      </c>
      <c r="D400" s="10"/>
      <c r="E400" s="10"/>
      <c r="F400" s="10"/>
      <c r="H400" s="6"/>
      <c r="I400" s="11"/>
      <c r="K400" s="9"/>
      <c r="L400" s="9"/>
      <c r="N400" s="6"/>
      <c r="O400" s="11"/>
      <c r="Q400" s="9"/>
      <c r="R400" s="9"/>
      <c r="T400" s="6"/>
      <c r="U400" s="11"/>
      <c r="W400" s="9"/>
      <c r="X400" s="9"/>
    </row>
    <row r="401">
      <c r="B401" s="10" t="str">
        <f t="shared" ref="B401:C401" si="153">H401</f>
        <v/>
      </c>
      <c r="C401" s="14" t="str">
        <f t="shared" si="153"/>
        <v/>
      </c>
      <c r="D401" s="10"/>
      <c r="E401" s="10"/>
      <c r="F401" s="10"/>
      <c r="H401" s="6"/>
      <c r="I401" s="11"/>
      <c r="K401" s="9"/>
      <c r="L401" s="9"/>
      <c r="N401" s="6"/>
      <c r="O401" s="11"/>
      <c r="Q401" s="9"/>
      <c r="R401" s="9"/>
      <c r="T401" s="6"/>
      <c r="U401" s="11"/>
      <c r="W401" s="9"/>
      <c r="X401" s="9"/>
    </row>
    <row r="402">
      <c r="B402" s="10" t="str">
        <f t="shared" ref="B402:C402" si="154">H402</f>
        <v/>
      </c>
      <c r="C402" s="13" t="str">
        <f t="shared" si="154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55">H403</f>
        <v/>
      </c>
      <c r="C403" s="13" t="str">
        <f t="shared" si="155"/>
        <v/>
      </c>
      <c r="D403" s="10"/>
      <c r="E403" s="10"/>
      <c r="F403" s="10"/>
      <c r="H403" s="6"/>
      <c r="I403" s="7"/>
      <c r="K403" s="9"/>
      <c r="L403" s="9"/>
      <c r="N403" s="6"/>
      <c r="O403" s="7"/>
      <c r="Q403" s="9"/>
      <c r="R403" s="9"/>
      <c r="T403" s="6"/>
      <c r="U403" s="7"/>
      <c r="W403" s="9"/>
      <c r="X403" s="9"/>
    </row>
    <row r="404">
      <c r="B404" s="10" t="str">
        <f t="shared" ref="B404:C404" si="156">H404</f>
        <v/>
      </c>
      <c r="C404" s="13" t="str">
        <f t="shared" si="156"/>
        <v/>
      </c>
      <c r="D404" s="10"/>
      <c r="E404" s="10"/>
      <c r="F404" s="10"/>
      <c r="H404" s="6"/>
      <c r="I404" s="7"/>
      <c r="K404" s="9"/>
      <c r="L404" s="9"/>
      <c r="N404" s="6"/>
      <c r="O404" s="7"/>
      <c r="Q404" s="9"/>
      <c r="R404" s="9"/>
    </row>
    <row r="405">
      <c r="B405" s="10" t="str">
        <f t="shared" ref="B405:C405" si="157">H405</f>
        <v/>
      </c>
      <c r="C405" s="13" t="str">
        <f t="shared" si="157"/>
        <v/>
      </c>
      <c r="D405" s="10"/>
      <c r="E405" s="10"/>
      <c r="F405" s="10"/>
      <c r="H405" s="6"/>
      <c r="I405" s="6"/>
      <c r="K405" s="9"/>
      <c r="L405" s="9"/>
      <c r="N405" s="6"/>
      <c r="O405" s="6"/>
      <c r="Q405" s="9"/>
      <c r="R405" s="9"/>
    </row>
    <row r="406">
      <c r="B406" s="10" t="str">
        <f t="shared" ref="B406:C406" si="158">H406</f>
        <v/>
      </c>
      <c r="C406" s="13" t="str">
        <f t="shared" si="158"/>
        <v/>
      </c>
      <c r="D406" s="10"/>
      <c r="E406" s="10"/>
      <c r="F406" s="10"/>
      <c r="H406" s="6"/>
      <c r="I406" s="6"/>
      <c r="K406" s="9"/>
      <c r="L406" s="9"/>
      <c r="N406" s="6"/>
      <c r="O406" s="6"/>
      <c r="Q406" s="9"/>
      <c r="R406" s="9"/>
    </row>
    <row r="407">
      <c r="B407" s="10" t="str">
        <f t="shared" ref="B407:C407" si="159">H407</f>
        <v/>
      </c>
      <c r="C407" s="13" t="str">
        <f t="shared" si="159"/>
        <v/>
      </c>
      <c r="D407" s="10"/>
      <c r="E407" s="10"/>
      <c r="F407" s="10"/>
      <c r="H407" s="6"/>
      <c r="I407" s="6"/>
      <c r="K407" s="9"/>
      <c r="L407" s="9"/>
      <c r="N407" s="6"/>
      <c r="O407" s="6"/>
      <c r="Q407" s="9"/>
      <c r="R407" s="9"/>
    </row>
    <row r="408">
      <c r="B408" s="10" t="str">
        <f t="shared" ref="B408:C408" si="160">H408</f>
        <v/>
      </c>
      <c r="C408" s="13" t="str">
        <f t="shared" si="160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61">H409</f>
        <v/>
      </c>
      <c r="C409" s="13" t="str">
        <f t="shared" si="161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62">H410</f>
        <v/>
      </c>
      <c r="C410" s="13" t="str">
        <f t="shared" si="162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63">H411</f>
        <v/>
      </c>
      <c r="C411" s="13" t="str">
        <f t="shared" si="163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64">H412</f>
        <v/>
      </c>
      <c r="C412" s="13" t="str">
        <f t="shared" si="164"/>
        <v/>
      </c>
      <c r="D412" s="10"/>
      <c r="E412" s="10"/>
      <c r="F412" s="10"/>
      <c r="H412" s="6"/>
      <c r="I412" s="7"/>
      <c r="K412" s="9"/>
      <c r="L412" s="9"/>
      <c r="N412" s="6"/>
      <c r="O412" s="7"/>
      <c r="Q412" s="9"/>
      <c r="R412" s="9"/>
      <c r="T412" s="6"/>
      <c r="U412" s="7"/>
      <c r="W412" s="9"/>
      <c r="X412" s="9"/>
    </row>
    <row r="413">
      <c r="B413" s="10" t="str">
        <f t="shared" ref="B413:C413" si="165">H413</f>
        <v/>
      </c>
      <c r="C413" s="14" t="str">
        <f t="shared" si="165"/>
        <v/>
      </c>
      <c r="D413" s="10"/>
      <c r="E413" s="10"/>
      <c r="F413" s="10"/>
      <c r="H413" s="6"/>
      <c r="I413" s="11"/>
      <c r="K413" s="9"/>
      <c r="L413" s="9"/>
      <c r="N413" s="6"/>
      <c r="O413" s="11"/>
      <c r="Q413" s="9"/>
      <c r="R413" s="9"/>
      <c r="T413" s="6"/>
      <c r="U413" s="11"/>
      <c r="W413" s="9"/>
      <c r="X413" s="9"/>
    </row>
    <row r="414">
      <c r="B414" s="10" t="str">
        <f t="shared" ref="B414:C414" si="166">H414</f>
        <v/>
      </c>
      <c r="C414" s="14" t="str">
        <f t="shared" si="166"/>
        <v/>
      </c>
      <c r="D414" s="10"/>
      <c r="E414" s="10"/>
      <c r="F414" s="10"/>
      <c r="H414" s="6"/>
      <c r="I414" s="11"/>
      <c r="K414" s="9"/>
      <c r="L414" s="9"/>
      <c r="N414" s="6"/>
      <c r="O414" s="11"/>
      <c r="Q414" s="9"/>
      <c r="R414" s="9"/>
      <c r="T414" s="6"/>
      <c r="U414" s="11"/>
      <c r="W414" s="9"/>
      <c r="X414" s="9"/>
    </row>
    <row r="415">
      <c r="B415" s="10" t="str">
        <f t="shared" ref="B415:C415" si="167">H415</f>
        <v/>
      </c>
      <c r="C415" s="13" t="str">
        <f t="shared" si="167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68">H416</f>
        <v/>
      </c>
      <c r="C416" s="13" t="str">
        <f t="shared" si="168"/>
        <v/>
      </c>
      <c r="D416" s="10"/>
      <c r="E416" s="10"/>
      <c r="F416" s="10"/>
      <c r="H416" s="6"/>
      <c r="I416" s="7"/>
      <c r="K416" s="9"/>
      <c r="L416" s="9"/>
      <c r="N416" s="6"/>
      <c r="O416" s="7"/>
      <c r="Q416" s="9"/>
      <c r="R416" s="9"/>
      <c r="T416" s="6"/>
      <c r="U416" s="7"/>
      <c r="W416" s="9"/>
      <c r="X416" s="9"/>
    </row>
    <row r="417">
      <c r="B417" s="10" t="str">
        <f t="shared" ref="B417:C417" si="169">H417</f>
        <v/>
      </c>
      <c r="C417" s="13" t="str">
        <f t="shared" si="169"/>
        <v/>
      </c>
      <c r="D417" s="10"/>
      <c r="E417" s="10"/>
      <c r="F417" s="10"/>
      <c r="H417" s="6"/>
      <c r="I417" s="7"/>
      <c r="K417" s="9"/>
      <c r="L417" s="9"/>
      <c r="N417" s="6"/>
      <c r="O417" s="7"/>
      <c r="Q417" s="9"/>
      <c r="R417" s="9"/>
    </row>
    <row r="418">
      <c r="B418" s="10" t="str">
        <f t="shared" ref="B418:C418" si="170">H418</f>
        <v/>
      </c>
      <c r="C418" s="13" t="str">
        <f t="shared" si="170"/>
        <v/>
      </c>
      <c r="D418" s="10"/>
      <c r="E418" s="10"/>
      <c r="F418" s="10"/>
      <c r="H418" s="6"/>
      <c r="I418" s="6"/>
      <c r="K418" s="9"/>
      <c r="L418" s="9"/>
      <c r="N418" s="6"/>
      <c r="O418" s="6"/>
      <c r="Q418" s="9"/>
      <c r="R418" s="9"/>
    </row>
    <row r="419">
      <c r="B419" s="10" t="str">
        <f t="shared" ref="B419:C419" si="171">H419</f>
        <v/>
      </c>
      <c r="C419" s="13" t="str">
        <f t="shared" si="171"/>
        <v/>
      </c>
      <c r="D419" s="10"/>
      <c r="E419" s="10"/>
      <c r="F419" s="10"/>
      <c r="H419" s="6"/>
      <c r="I419" s="6"/>
      <c r="K419" s="9"/>
      <c r="L419" s="9"/>
      <c r="N419" s="6"/>
      <c r="O419" s="6"/>
      <c r="Q419" s="9"/>
      <c r="R419" s="9"/>
    </row>
    <row r="420">
      <c r="B420" s="10" t="str">
        <f t="shared" ref="B420:C420" si="172">H420</f>
        <v/>
      </c>
      <c r="C420" s="13" t="str">
        <f t="shared" si="172"/>
        <v/>
      </c>
      <c r="D420" s="10"/>
      <c r="E420" s="10"/>
      <c r="F420" s="10"/>
      <c r="H420" s="6"/>
      <c r="I420" s="6"/>
      <c r="K420" s="9"/>
      <c r="L420" s="9"/>
      <c r="N420" s="6"/>
      <c r="O420" s="6"/>
      <c r="Q420" s="9"/>
      <c r="R420" s="9"/>
    </row>
    <row r="421">
      <c r="B421" s="10" t="str">
        <f t="shared" ref="B421:C421" si="173">H421</f>
        <v/>
      </c>
      <c r="C421" s="13" t="str">
        <f t="shared" si="173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74">H422</f>
        <v/>
      </c>
      <c r="C422" s="13" t="str">
        <f t="shared" si="174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75">H423</f>
        <v/>
      </c>
      <c r="C423" s="13" t="str">
        <f t="shared" si="175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76">H424</f>
        <v/>
      </c>
      <c r="C424" s="13" t="str">
        <f t="shared" si="176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</sheetData>
  <drawing r:id="rId1"/>
</worksheet>
</file>