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rar_1901" sheetId="1" r:id="rId5"/>
  </sheets>
  <definedNames/>
  <calcPr/>
</workbook>
</file>

<file path=xl/sharedStrings.xml><?xml version="1.0" encoding="utf-8"?>
<sst xmlns="http://schemas.openxmlformats.org/spreadsheetml/2006/main" count="276" uniqueCount="22">
  <si>
    <t>Total</t>
  </si>
  <si>
    <t>Unmarried</t>
  </si>
  <si>
    <t>Married</t>
  </si>
  <si>
    <t>Widowed</t>
  </si>
  <si>
    <t>District</t>
  </si>
  <si>
    <t>Age</t>
  </si>
  <si>
    <t>Persons</t>
  </si>
  <si>
    <t>Males</t>
  </si>
  <si>
    <t>Females</t>
  </si>
  <si>
    <t>Amraoti</t>
  </si>
  <si>
    <t>0–5</t>
  </si>
  <si>
    <t>5–10</t>
  </si>
  <si>
    <t>10–15</t>
  </si>
  <si>
    <t>15–20</t>
  </si>
  <si>
    <t>20–40</t>
  </si>
  <si>
    <t>40–60</t>
  </si>
  <si>
    <t>60 and over</t>
  </si>
  <si>
    <t>Akola</t>
  </si>
  <si>
    <t>Ellichpur</t>
  </si>
  <si>
    <t>Buldana</t>
  </si>
  <si>
    <t>Wun</t>
  </si>
  <si>
    <t>Basim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</si>
</sst>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top"/>
    </xf>
    <xf borderId="1" fillId="0" fontId="2" numFmtId="0" xfId="0" applyAlignment="1" applyBorder="1" applyFont="1">
      <alignment horizontal="center" vertical="top"/>
    </xf>
    <xf borderId="2" fillId="0" fontId="2" numFmtId="0" xfId="0" applyAlignment="1" applyBorder="1" applyFont="1">
      <alignment horizontal="center" vertical="top"/>
    </xf>
    <xf borderId="0" fillId="0" fontId="1" numFmtId="0" xfId="0" applyAlignment="1" applyFont="1">
      <alignment vertical="top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readingOrder="0" shrinkToFit="0" vertical="bottom" wrapText="0"/>
    </xf>
    <xf borderId="0" fillId="0" fontId="5" numFmtId="0" xfId="0" applyFont="1"/>
    <xf borderId="0" fillId="0" fontId="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</cols>
  <sheetData>
    <row r="1">
      <c r="A1" s="1"/>
      <c r="B1" s="1" t="s">
        <v>0</v>
      </c>
      <c r="C1" s="1"/>
      <c r="D1" s="1"/>
      <c r="E1" s="1"/>
      <c r="F1" s="1"/>
      <c r="G1" s="1"/>
      <c r="H1" s="1" t="s">
        <v>1</v>
      </c>
      <c r="I1" s="1"/>
      <c r="J1" s="1"/>
      <c r="K1" s="1"/>
      <c r="L1" s="1"/>
      <c r="M1" s="1"/>
      <c r="N1" s="1" t="s">
        <v>2</v>
      </c>
      <c r="O1" s="1"/>
      <c r="P1" s="1"/>
      <c r="Q1" s="1"/>
      <c r="R1" s="1"/>
      <c r="S1" s="1"/>
      <c r="T1" s="1" t="s">
        <v>3</v>
      </c>
      <c r="U1" s="1"/>
      <c r="V1" s="1"/>
      <c r="W1" s="1"/>
      <c r="X1" s="1"/>
    </row>
    <row r="2">
      <c r="A2" s="2"/>
      <c r="B2" s="3" t="s">
        <v>4</v>
      </c>
      <c r="C2" s="3" t="s">
        <v>5</v>
      </c>
      <c r="D2" s="4" t="s">
        <v>6</v>
      </c>
      <c r="E2" s="4" t="s">
        <v>7</v>
      </c>
      <c r="F2" s="4" t="s">
        <v>8</v>
      </c>
      <c r="G2" s="5"/>
      <c r="H2" s="3" t="s">
        <v>4</v>
      </c>
      <c r="I2" s="3" t="s">
        <v>5</v>
      </c>
      <c r="J2" s="4" t="s">
        <v>6</v>
      </c>
      <c r="K2" s="4" t="s">
        <v>7</v>
      </c>
      <c r="L2" s="4" t="s">
        <v>8</v>
      </c>
      <c r="M2" s="1"/>
      <c r="N2" s="3" t="s">
        <v>4</v>
      </c>
      <c r="O2" s="3" t="s">
        <v>5</v>
      </c>
      <c r="P2" s="4" t="s">
        <v>6</v>
      </c>
      <c r="Q2" s="4" t="s">
        <v>7</v>
      </c>
      <c r="R2" s="4" t="s">
        <v>8</v>
      </c>
      <c r="S2" s="1"/>
      <c r="T2" s="3" t="s">
        <v>4</v>
      </c>
      <c r="U2" s="3" t="s">
        <v>5</v>
      </c>
      <c r="V2" s="4" t="s">
        <v>6</v>
      </c>
      <c r="W2" s="4" t="s">
        <v>7</v>
      </c>
      <c r="X2" s="4" t="s">
        <v>8</v>
      </c>
    </row>
    <row r="3">
      <c r="A3" s="6"/>
      <c r="B3" s="6" t="str">
        <f t="shared" ref="B3:C3" si="1">H3</f>
        <v>Amraoti</v>
      </c>
      <c r="C3" s="6" t="str">
        <f t="shared" si="1"/>
        <v>0–5</v>
      </c>
      <c r="D3" s="7">
        <f t="shared" ref="D3:F3" si="2">J3+P3+V3</f>
        <v>61826</v>
      </c>
      <c r="E3" s="7">
        <f t="shared" si="2"/>
        <v>29912</v>
      </c>
      <c r="F3" s="7">
        <f t="shared" si="2"/>
        <v>31914</v>
      </c>
      <c r="H3" s="8" t="s">
        <v>9</v>
      </c>
      <c r="I3" s="8" t="s">
        <v>10</v>
      </c>
      <c r="J3" s="9">
        <f t="shared" ref="J3:J44" si="5">SUM(K3+L3)</f>
        <v>60762</v>
      </c>
      <c r="K3" s="10">
        <v>29591.0</v>
      </c>
      <c r="L3" s="10">
        <v>31171.0</v>
      </c>
      <c r="N3" s="8" t="s">
        <v>9</v>
      </c>
      <c r="O3" s="8" t="s">
        <v>10</v>
      </c>
      <c r="P3" s="9">
        <f t="shared" ref="P3:P44" si="6">SUM(Q3+R3)</f>
        <v>1022</v>
      </c>
      <c r="Q3" s="10">
        <v>306.0</v>
      </c>
      <c r="R3" s="10">
        <v>716.0</v>
      </c>
      <c r="T3" s="8" t="s">
        <v>9</v>
      </c>
      <c r="U3" s="8" t="s">
        <v>10</v>
      </c>
      <c r="V3" s="9">
        <f t="shared" ref="V3:V44" si="7">SUM(W3+X3)</f>
        <v>42</v>
      </c>
      <c r="W3" s="10">
        <v>15.0</v>
      </c>
      <c r="X3" s="10">
        <v>27.0</v>
      </c>
    </row>
    <row r="4">
      <c r="B4" s="6" t="str">
        <f t="shared" ref="B4:C4" si="3">H4</f>
        <v>Amraoti</v>
      </c>
      <c r="C4" s="6" t="str">
        <f t="shared" si="3"/>
        <v>5–10</v>
      </c>
      <c r="D4" s="7">
        <f t="shared" ref="D4:F4" si="4">J4+P4+V4</f>
        <v>79683</v>
      </c>
      <c r="E4" s="7">
        <f t="shared" si="4"/>
        <v>38756</v>
      </c>
      <c r="F4" s="7">
        <f t="shared" si="4"/>
        <v>40927</v>
      </c>
      <c r="H4" s="8" t="s">
        <v>9</v>
      </c>
      <c r="I4" s="8" t="s">
        <v>11</v>
      </c>
      <c r="J4" s="9">
        <f t="shared" si="5"/>
        <v>70010</v>
      </c>
      <c r="K4" s="10">
        <v>37623.0</v>
      </c>
      <c r="L4" s="10">
        <v>32387.0</v>
      </c>
      <c r="N4" s="8" t="s">
        <v>9</v>
      </c>
      <c r="O4" s="8" t="s">
        <v>11</v>
      </c>
      <c r="P4" s="9">
        <f t="shared" si="6"/>
        <v>9365</v>
      </c>
      <c r="Q4" s="10">
        <v>1067.0</v>
      </c>
      <c r="R4" s="10">
        <v>8298.0</v>
      </c>
      <c r="T4" s="8" t="s">
        <v>9</v>
      </c>
      <c r="U4" s="8" t="s">
        <v>11</v>
      </c>
      <c r="V4" s="9">
        <f t="shared" si="7"/>
        <v>308</v>
      </c>
      <c r="W4" s="10">
        <v>66.0</v>
      </c>
      <c r="X4" s="10">
        <v>242.0</v>
      </c>
    </row>
    <row r="5">
      <c r="B5" s="6" t="str">
        <f t="shared" ref="B5:C5" si="8">H5</f>
        <v>Amraoti</v>
      </c>
      <c r="C5" s="6" t="str">
        <f t="shared" si="8"/>
        <v>10–15</v>
      </c>
      <c r="D5" s="7">
        <f t="shared" ref="D5:F5" si="9">J5+P5+V5</f>
        <v>75944</v>
      </c>
      <c r="E5" s="7">
        <f t="shared" si="9"/>
        <v>40306</v>
      </c>
      <c r="F5" s="7">
        <f t="shared" si="9"/>
        <v>35638</v>
      </c>
      <c r="H5" s="8" t="s">
        <v>9</v>
      </c>
      <c r="I5" s="8" t="s">
        <v>12</v>
      </c>
      <c r="J5" s="9">
        <f t="shared" si="5"/>
        <v>45376</v>
      </c>
      <c r="K5" s="10">
        <v>33142.0</v>
      </c>
      <c r="L5" s="10">
        <v>12234.0</v>
      </c>
      <c r="N5" s="8" t="s">
        <v>9</v>
      </c>
      <c r="O5" s="8" t="s">
        <v>12</v>
      </c>
      <c r="P5" s="9">
        <f t="shared" si="6"/>
        <v>29315</v>
      </c>
      <c r="Q5" s="10">
        <v>6847.0</v>
      </c>
      <c r="R5" s="10">
        <v>22468.0</v>
      </c>
      <c r="T5" s="8" t="s">
        <v>9</v>
      </c>
      <c r="U5" s="8" t="s">
        <v>12</v>
      </c>
      <c r="V5" s="9">
        <f t="shared" si="7"/>
        <v>1253</v>
      </c>
      <c r="W5" s="10">
        <v>317.0</v>
      </c>
      <c r="X5" s="10">
        <v>936.0</v>
      </c>
    </row>
    <row r="6">
      <c r="B6" s="6" t="str">
        <f t="shared" ref="B6:C6" si="10">H6</f>
        <v>Amraoti</v>
      </c>
      <c r="C6" s="6" t="str">
        <f t="shared" si="10"/>
        <v>15–20</v>
      </c>
      <c r="D6" s="7">
        <f t="shared" ref="D6:F6" si="11">J6+P6+V6</f>
        <v>48657</v>
      </c>
      <c r="E6" s="7">
        <f t="shared" si="11"/>
        <v>24646</v>
      </c>
      <c r="F6" s="7">
        <f t="shared" si="11"/>
        <v>24011</v>
      </c>
      <c r="H6" s="8" t="s">
        <v>9</v>
      </c>
      <c r="I6" s="8" t="s">
        <v>13</v>
      </c>
      <c r="J6" s="9">
        <f t="shared" si="5"/>
        <v>14858</v>
      </c>
      <c r="K6" s="10">
        <v>13240.0</v>
      </c>
      <c r="L6" s="10">
        <v>1618.0</v>
      </c>
      <c r="N6" s="8" t="s">
        <v>9</v>
      </c>
      <c r="O6" s="8" t="s">
        <v>13</v>
      </c>
      <c r="P6" s="9">
        <f t="shared" si="6"/>
        <v>32343</v>
      </c>
      <c r="Q6" s="10">
        <v>10982.0</v>
      </c>
      <c r="R6" s="10">
        <v>21361.0</v>
      </c>
      <c r="T6" s="8" t="s">
        <v>9</v>
      </c>
      <c r="U6" s="8" t="s">
        <v>13</v>
      </c>
      <c r="V6" s="9">
        <f t="shared" si="7"/>
        <v>1456</v>
      </c>
      <c r="W6" s="10">
        <v>424.0</v>
      </c>
      <c r="X6" s="10">
        <v>1032.0</v>
      </c>
    </row>
    <row r="7">
      <c r="B7" s="6" t="str">
        <f t="shared" ref="B7:C7" si="12">H7</f>
        <v>Amraoti</v>
      </c>
      <c r="C7" s="6" t="str">
        <f t="shared" si="12"/>
        <v>20–40</v>
      </c>
      <c r="D7" s="7">
        <f t="shared" ref="D7:F7" si="13">J7+P7+V7</f>
        <v>217461</v>
      </c>
      <c r="E7" s="7">
        <f t="shared" si="13"/>
        <v>110759</v>
      </c>
      <c r="F7" s="7">
        <f t="shared" si="13"/>
        <v>106702</v>
      </c>
      <c r="H7" s="8" t="s">
        <v>9</v>
      </c>
      <c r="I7" s="8" t="s">
        <v>14</v>
      </c>
      <c r="J7" s="9">
        <f t="shared" si="5"/>
        <v>15134</v>
      </c>
      <c r="K7" s="10">
        <v>13534.0</v>
      </c>
      <c r="L7" s="10">
        <v>1600.0</v>
      </c>
      <c r="N7" s="8" t="s">
        <v>9</v>
      </c>
      <c r="O7" s="8" t="s">
        <v>14</v>
      </c>
      <c r="P7" s="9">
        <f t="shared" si="6"/>
        <v>181009</v>
      </c>
      <c r="Q7" s="10">
        <v>90448.0</v>
      </c>
      <c r="R7" s="10">
        <v>90561.0</v>
      </c>
      <c r="T7" s="8" t="s">
        <v>9</v>
      </c>
      <c r="U7" s="8" t="s">
        <v>14</v>
      </c>
      <c r="V7" s="9">
        <f t="shared" si="7"/>
        <v>21318</v>
      </c>
      <c r="W7" s="10">
        <v>6777.0</v>
      </c>
      <c r="X7" s="10">
        <v>14541.0</v>
      </c>
    </row>
    <row r="8">
      <c r="B8" s="6" t="str">
        <f t="shared" ref="B8:C8" si="14">H8</f>
        <v>Amraoti</v>
      </c>
      <c r="C8" s="6" t="str">
        <f t="shared" si="14"/>
        <v>40–60</v>
      </c>
      <c r="D8" s="7">
        <f t="shared" ref="D8:F8" si="15">J8+P8+V8</f>
        <v>115868</v>
      </c>
      <c r="E8" s="7">
        <f t="shared" si="15"/>
        <v>63629</v>
      </c>
      <c r="F8" s="7">
        <f t="shared" si="15"/>
        <v>52239</v>
      </c>
      <c r="H8" s="8" t="s">
        <v>9</v>
      </c>
      <c r="I8" s="8" t="s">
        <v>15</v>
      </c>
      <c r="J8" s="9">
        <f t="shared" si="5"/>
        <v>2302</v>
      </c>
      <c r="K8" s="10">
        <v>1961.0</v>
      </c>
      <c r="L8" s="10">
        <v>341.0</v>
      </c>
      <c r="N8" s="8" t="s">
        <v>9</v>
      </c>
      <c r="O8" s="8" t="s">
        <v>15</v>
      </c>
      <c r="P8" s="9">
        <f t="shared" si="6"/>
        <v>75785</v>
      </c>
      <c r="Q8" s="10">
        <v>52036.0</v>
      </c>
      <c r="R8" s="10">
        <v>23749.0</v>
      </c>
      <c r="T8" s="8" t="s">
        <v>9</v>
      </c>
      <c r="U8" s="8" t="s">
        <v>15</v>
      </c>
      <c r="V8" s="9">
        <f t="shared" si="7"/>
        <v>37781</v>
      </c>
      <c r="W8" s="10">
        <v>9632.0</v>
      </c>
      <c r="X8" s="10">
        <v>28149.0</v>
      </c>
    </row>
    <row r="9">
      <c r="B9" s="6" t="str">
        <f t="shared" ref="B9:C9" si="16">H9</f>
        <v>Amraoti</v>
      </c>
      <c r="C9" s="6" t="str">
        <f t="shared" si="16"/>
        <v>60 and over</v>
      </c>
      <c r="D9" s="7">
        <f t="shared" ref="D9:F9" si="17">J9+P9+V9</f>
        <v>30619</v>
      </c>
      <c r="E9" s="7">
        <f t="shared" si="17"/>
        <v>14916</v>
      </c>
      <c r="F9" s="7">
        <f t="shared" si="17"/>
        <v>15703</v>
      </c>
      <c r="H9" s="8" t="s">
        <v>9</v>
      </c>
      <c r="I9" s="8" t="s">
        <v>16</v>
      </c>
      <c r="J9" s="9">
        <f t="shared" si="5"/>
        <v>431</v>
      </c>
      <c r="K9" s="10">
        <v>371.0</v>
      </c>
      <c r="L9" s="10">
        <v>60.0</v>
      </c>
      <c r="N9" s="8" t="s">
        <v>9</v>
      </c>
      <c r="O9" s="8" t="s">
        <v>16</v>
      </c>
      <c r="P9" s="9">
        <f t="shared" si="6"/>
        <v>11757</v>
      </c>
      <c r="Q9" s="10">
        <v>10056.0</v>
      </c>
      <c r="R9" s="10">
        <v>1701.0</v>
      </c>
      <c r="T9" s="8" t="s">
        <v>9</v>
      </c>
      <c r="U9" s="8" t="s">
        <v>16</v>
      </c>
      <c r="V9" s="9">
        <f t="shared" si="7"/>
        <v>18431</v>
      </c>
      <c r="W9" s="10">
        <v>4489.0</v>
      </c>
      <c r="X9" s="10">
        <v>13942.0</v>
      </c>
    </row>
    <row r="10">
      <c r="B10" s="6" t="str">
        <f t="shared" ref="B10:C10" si="18">H10</f>
        <v>Akola</v>
      </c>
      <c r="C10" s="6" t="str">
        <f t="shared" si="18"/>
        <v>0–5</v>
      </c>
      <c r="D10" s="7">
        <f t="shared" ref="D10:F10" si="19">J10+P10+V10</f>
        <v>60612</v>
      </c>
      <c r="E10" s="7">
        <f t="shared" si="19"/>
        <v>29109</v>
      </c>
      <c r="F10" s="7">
        <f t="shared" si="19"/>
        <v>31503</v>
      </c>
      <c r="H10" s="8" t="s">
        <v>17</v>
      </c>
      <c r="I10" s="8" t="s">
        <v>10</v>
      </c>
      <c r="J10" s="9">
        <f t="shared" si="5"/>
        <v>59296</v>
      </c>
      <c r="K10" s="10">
        <v>28738.0</v>
      </c>
      <c r="L10" s="10">
        <v>30558.0</v>
      </c>
      <c r="N10" s="8" t="s">
        <v>17</v>
      </c>
      <c r="O10" s="8" t="s">
        <v>10</v>
      </c>
      <c r="P10" s="9">
        <f t="shared" si="6"/>
        <v>1280</v>
      </c>
      <c r="Q10" s="10">
        <v>365.0</v>
      </c>
      <c r="R10" s="10">
        <v>915.0</v>
      </c>
      <c r="T10" s="8" t="s">
        <v>17</v>
      </c>
      <c r="U10" s="8" t="s">
        <v>10</v>
      </c>
      <c r="V10" s="9">
        <f t="shared" si="7"/>
        <v>36</v>
      </c>
      <c r="W10" s="10">
        <v>6.0</v>
      </c>
      <c r="X10" s="10">
        <v>30.0</v>
      </c>
    </row>
    <row r="11">
      <c r="B11" s="6" t="str">
        <f t="shared" ref="B11:C11" si="20">H11</f>
        <v>Akola</v>
      </c>
      <c r="C11" s="6" t="str">
        <f t="shared" si="20"/>
        <v>5–10</v>
      </c>
      <c r="D11" s="7">
        <f t="shared" ref="D11:F11" si="21">J11+P11+V11</f>
        <v>73709</v>
      </c>
      <c r="E11" s="7">
        <f t="shared" si="21"/>
        <v>36373</v>
      </c>
      <c r="F11" s="7">
        <f t="shared" si="21"/>
        <v>37336</v>
      </c>
      <c r="H11" s="8" t="s">
        <v>17</v>
      </c>
      <c r="I11" s="8" t="s">
        <v>11</v>
      </c>
      <c r="J11" s="9">
        <f t="shared" si="5"/>
        <v>59458</v>
      </c>
      <c r="K11" s="10">
        <v>34733.0</v>
      </c>
      <c r="L11" s="10">
        <v>24725.0</v>
      </c>
      <c r="N11" s="8" t="s">
        <v>17</v>
      </c>
      <c r="O11" s="8" t="s">
        <v>11</v>
      </c>
      <c r="P11" s="9">
        <f t="shared" si="6"/>
        <v>13803</v>
      </c>
      <c r="Q11" s="10">
        <v>1534.0</v>
      </c>
      <c r="R11" s="10">
        <v>12269.0</v>
      </c>
      <c r="T11" s="8" t="s">
        <v>17</v>
      </c>
      <c r="U11" s="8" t="s">
        <v>11</v>
      </c>
      <c r="V11" s="9">
        <f t="shared" si="7"/>
        <v>448</v>
      </c>
      <c r="W11" s="10">
        <v>106.0</v>
      </c>
      <c r="X11" s="10">
        <v>342.0</v>
      </c>
    </row>
    <row r="12">
      <c r="B12" s="6" t="str">
        <f t="shared" ref="B12:C12" si="22">H12</f>
        <v>Akola</v>
      </c>
      <c r="C12" s="6" t="str">
        <f t="shared" si="22"/>
        <v>10–15</v>
      </c>
      <c r="D12" s="7">
        <f t="shared" ref="D12:F12" si="23">J12+P12+V12</f>
        <v>66927</v>
      </c>
      <c r="E12" s="7">
        <f t="shared" si="23"/>
        <v>34996</v>
      </c>
      <c r="F12" s="7">
        <f t="shared" si="23"/>
        <v>31931</v>
      </c>
      <c r="H12" s="8" t="s">
        <v>17</v>
      </c>
      <c r="I12" s="8" t="s">
        <v>12</v>
      </c>
      <c r="J12" s="9">
        <f t="shared" si="5"/>
        <v>31931</v>
      </c>
      <c r="K12" s="10">
        <v>25115.0</v>
      </c>
      <c r="L12" s="10">
        <v>6816.0</v>
      </c>
      <c r="N12" s="8" t="s">
        <v>17</v>
      </c>
      <c r="O12" s="8" t="s">
        <v>12</v>
      </c>
      <c r="P12" s="9">
        <f t="shared" si="6"/>
        <v>33446</v>
      </c>
      <c r="Q12" s="10">
        <v>9368.0</v>
      </c>
      <c r="R12" s="10">
        <v>24078.0</v>
      </c>
      <c r="T12" s="8" t="s">
        <v>17</v>
      </c>
      <c r="U12" s="8" t="s">
        <v>12</v>
      </c>
      <c r="V12" s="9">
        <f t="shared" si="7"/>
        <v>1550</v>
      </c>
      <c r="W12" s="10">
        <v>513.0</v>
      </c>
      <c r="X12" s="10">
        <v>1037.0</v>
      </c>
    </row>
    <row r="13">
      <c r="B13" s="6" t="str">
        <f t="shared" ref="B13:C13" si="24">H13</f>
        <v>Akola</v>
      </c>
      <c r="C13" s="6" t="str">
        <f t="shared" si="24"/>
        <v>15–20</v>
      </c>
      <c r="D13" s="7">
        <f t="shared" ref="D13:F13" si="25">J13+P13+V13</f>
        <v>43371</v>
      </c>
      <c r="E13" s="7">
        <f t="shared" si="25"/>
        <v>21125</v>
      </c>
      <c r="F13" s="7">
        <f t="shared" si="25"/>
        <v>22246</v>
      </c>
      <c r="H13" s="8" t="s">
        <v>17</v>
      </c>
      <c r="I13" s="8" t="s">
        <v>13</v>
      </c>
      <c r="J13" s="9">
        <f t="shared" si="5"/>
        <v>8750</v>
      </c>
      <c r="K13" s="10">
        <v>7788.0</v>
      </c>
      <c r="L13" s="10">
        <v>962.0</v>
      </c>
      <c r="N13" s="8" t="s">
        <v>17</v>
      </c>
      <c r="O13" s="8" t="s">
        <v>13</v>
      </c>
      <c r="P13" s="9">
        <f t="shared" si="6"/>
        <v>33175</v>
      </c>
      <c r="Q13" s="10">
        <v>12759.0</v>
      </c>
      <c r="R13" s="10">
        <v>20416.0</v>
      </c>
      <c r="T13" s="8" t="s">
        <v>17</v>
      </c>
      <c r="U13" s="8" t="s">
        <v>13</v>
      </c>
      <c r="V13" s="9">
        <f t="shared" si="7"/>
        <v>1446</v>
      </c>
      <c r="W13" s="10">
        <v>578.0</v>
      </c>
      <c r="X13" s="10">
        <v>868.0</v>
      </c>
    </row>
    <row r="14">
      <c r="B14" s="6" t="str">
        <f t="shared" ref="B14:C14" si="26">H14</f>
        <v>Akola</v>
      </c>
      <c r="C14" s="6" t="str">
        <f t="shared" si="26"/>
        <v>20–40</v>
      </c>
      <c r="D14" s="7">
        <f t="shared" ref="D14:F14" si="27">J14+P14+V14</f>
        <v>204455</v>
      </c>
      <c r="E14" s="7">
        <f t="shared" si="27"/>
        <v>104959</v>
      </c>
      <c r="F14" s="7">
        <f t="shared" si="27"/>
        <v>99496</v>
      </c>
      <c r="H14" s="8" t="s">
        <v>17</v>
      </c>
      <c r="I14" s="8" t="s">
        <v>14</v>
      </c>
      <c r="J14" s="9">
        <f t="shared" si="5"/>
        <v>9739</v>
      </c>
      <c r="K14" s="10">
        <v>8549.0</v>
      </c>
      <c r="L14" s="10">
        <v>1190.0</v>
      </c>
      <c r="N14" s="8" t="s">
        <v>17</v>
      </c>
      <c r="O14" s="8" t="s">
        <v>14</v>
      </c>
      <c r="P14" s="9">
        <f t="shared" si="6"/>
        <v>175692</v>
      </c>
      <c r="Q14" s="10">
        <v>89574.0</v>
      </c>
      <c r="R14" s="10">
        <v>86118.0</v>
      </c>
      <c r="T14" s="8" t="s">
        <v>17</v>
      </c>
      <c r="U14" s="8" t="s">
        <v>14</v>
      </c>
      <c r="V14" s="9">
        <f t="shared" si="7"/>
        <v>19024</v>
      </c>
      <c r="W14" s="10">
        <v>6836.0</v>
      </c>
      <c r="X14" s="10">
        <v>12188.0</v>
      </c>
    </row>
    <row r="15">
      <c r="B15" s="6" t="str">
        <f t="shared" ref="B15:C15" si="28">H15</f>
        <v>Akola</v>
      </c>
      <c r="C15" s="6" t="str">
        <f t="shared" si="28"/>
        <v>40–60</v>
      </c>
      <c r="D15" s="7">
        <f t="shared" ref="D15:F15" si="29">J15+P15+V15</f>
        <v>105106</v>
      </c>
      <c r="E15" s="7">
        <f t="shared" si="29"/>
        <v>55678</v>
      </c>
      <c r="F15" s="7">
        <f t="shared" si="29"/>
        <v>49428</v>
      </c>
      <c r="H15" s="8" t="s">
        <v>17</v>
      </c>
      <c r="I15" s="8" t="s">
        <v>15</v>
      </c>
      <c r="J15" s="9">
        <f t="shared" si="5"/>
        <v>1643</v>
      </c>
      <c r="K15" s="10">
        <v>1348.0</v>
      </c>
      <c r="L15" s="10">
        <v>295.0</v>
      </c>
      <c r="N15" s="8" t="s">
        <v>17</v>
      </c>
      <c r="O15" s="8" t="s">
        <v>15</v>
      </c>
      <c r="P15" s="9">
        <f t="shared" si="6"/>
        <v>69971</v>
      </c>
      <c r="Q15" s="10">
        <v>46498.0</v>
      </c>
      <c r="R15" s="10">
        <v>23473.0</v>
      </c>
      <c r="T15" s="8" t="s">
        <v>17</v>
      </c>
      <c r="U15" s="8" t="s">
        <v>15</v>
      </c>
      <c r="V15" s="9">
        <f t="shared" si="7"/>
        <v>33492</v>
      </c>
      <c r="W15" s="10">
        <v>7832.0</v>
      </c>
      <c r="X15" s="10">
        <v>25660.0</v>
      </c>
    </row>
    <row r="16">
      <c r="B16" s="6" t="str">
        <f t="shared" ref="B16:C16" si="30">H16</f>
        <v>Akola</v>
      </c>
      <c r="C16" s="6" t="str">
        <f t="shared" si="30"/>
        <v>60 and over</v>
      </c>
      <c r="D16" s="7">
        <f t="shared" ref="D16:F16" si="31">J16+P16+V16</f>
        <v>27764</v>
      </c>
      <c r="E16" s="7">
        <f t="shared" si="31"/>
        <v>13081</v>
      </c>
      <c r="F16" s="7">
        <f t="shared" si="31"/>
        <v>14683</v>
      </c>
      <c r="H16" s="8" t="s">
        <v>17</v>
      </c>
      <c r="I16" s="8" t="s">
        <v>16</v>
      </c>
      <c r="J16" s="9">
        <f t="shared" si="5"/>
        <v>300</v>
      </c>
      <c r="K16" s="10">
        <v>246.0</v>
      </c>
      <c r="L16" s="10">
        <v>54.0</v>
      </c>
      <c r="N16" s="8" t="s">
        <v>17</v>
      </c>
      <c r="O16" s="8" t="s">
        <v>16</v>
      </c>
      <c r="P16" s="9">
        <f t="shared" si="6"/>
        <v>11374</v>
      </c>
      <c r="Q16" s="10">
        <v>9242.0</v>
      </c>
      <c r="R16" s="10">
        <v>2132.0</v>
      </c>
      <c r="T16" s="8" t="s">
        <v>17</v>
      </c>
      <c r="U16" s="8" t="s">
        <v>16</v>
      </c>
      <c r="V16" s="9">
        <f t="shared" si="7"/>
        <v>16090</v>
      </c>
      <c r="W16" s="10">
        <v>3593.0</v>
      </c>
      <c r="X16" s="10">
        <v>12497.0</v>
      </c>
    </row>
    <row r="17">
      <c r="B17" s="6" t="str">
        <f t="shared" ref="B17:C17" si="32">H17</f>
        <v>Ellichpur</v>
      </c>
      <c r="C17" s="6" t="str">
        <f t="shared" si="32"/>
        <v>0–5</v>
      </c>
      <c r="D17" s="7">
        <f t="shared" ref="D17:F17" si="33">J17+P17+V17</f>
        <v>31005</v>
      </c>
      <c r="E17" s="7">
        <f t="shared" si="33"/>
        <v>15095</v>
      </c>
      <c r="F17" s="7">
        <f t="shared" si="33"/>
        <v>15910</v>
      </c>
      <c r="H17" s="8" t="s">
        <v>18</v>
      </c>
      <c r="I17" s="8" t="s">
        <v>10</v>
      </c>
      <c r="J17" s="9">
        <f t="shared" si="5"/>
        <v>30532</v>
      </c>
      <c r="K17" s="10">
        <v>14923.0</v>
      </c>
      <c r="L17" s="10">
        <v>15609.0</v>
      </c>
      <c r="N17" s="8" t="s">
        <v>18</v>
      </c>
      <c r="O17" s="8" t="s">
        <v>10</v>
      </c>
      <c r="P17" s="9">
        <f t="shared" si="6"/>
        <v>458</v>
      </c>
      <c r="Q17" s="10">
        <v>169.0</v>
      </c>
      <c r="R17" s="10">
        <v>289.0</v>
      </c>
      <c r="T17" s="8" t="s">
        <v>18</v>
      </c>
      <c r="U17" s="8" t="s">
        <v>10</v>
      </c>
      <c r="V17" s="9">
        <f t="shared" si="7"/>
        <v>15</v>
      </c>
      <c r="W17" s="10">
        <v>3.0</v>
      </c>
      <c r="X17" s="10">
        <v>12.0</v>
      </c>
    </row>
    <row r="18">
      <c r="B18" s="6" t="str">
        <f t="shared" ref="B18:C18" si="34">H18</f>
        <v>Ellichpur</v>
      </c>
      <c r="C18" s="6" t="str">
        <f t="shared" si="34"/>
        <v>5–10</v>
      </c>
      <c r="D18" s="7">
        <f t="shared" ref="D18:F18" si="35">J18+P18+V18</f>
        <v>38082</v>
      </c>
      <c r="E18" s="7">
        <f t="shared" si="35"/>
        <v>18406</v>
      </c>
      <c r="F18" s="7">
        <f t="shared" si="35"/>
        <v>19676</v>
      </c>
      <c r="H18" s="8" t="s">
        <v>18</v>
      </c>
      <c r="I18" s="8" t="s">
        <v>11</v>
      </c>
      <c r="J18" s="9">
        <f t="shared" si="5"/>
        <v>34138</v>
      </c>
      <c r="K18" s="10">
        <v>17959.0</v>
      </c>
      <c r="L18" s="10">
        <v>16179.0</v>
      </c>
      <c r="N18" s="8" t="s">
        <v>18</v>
      </c>
      <c r="O18" s="8" t="s">
        <v>11</v>
      </c>
      <c r="P18" s="9">
        <f t="shared" si="6"/>
        <v>3856</v>
      </c>
      <c r="Q18" s="10">
        <v>431.0</v>
      </c>
      <c r="R18" s="10">
        <v>3425.0</v>
      </c>
      <c r="T18" s="8" t="s">
        <v>18</v>
      </c>
      <c r="U18" s="8" t="s">
        <v>11</v>
      </c>
      <c r="V18" s="9">
        <f t="shared" si="7"/>
        <v>88</v>
      </c>
      <c r="W18" s="10">
        <v>16.0</v>
      </c>
      <c r="X18" s="10">
        <v>72.0</v>
      </c>
    </row>
    <row r="19">
      <c r="B19" s="6" t="str">
        <f t="shared" ref="B19:C19" si="36">H19</f>
        <v>Ellichpur</v>
      </c>
      <c r="C19" s="6" t="str">
        <f t="shared" si="36"/>
        <v>10–15</v>
      </c>
      <c r="D19" s="7">
        <f t="shared" ref="D19:F19" si="37">J19+P19+V19</f>
        <v>35393</v>
      </c>
      <c r="E19" s="7">
        <f t="shared" si="37"/>
        <v>18882</v>
      </c>
      <c r="F19" s="7">
        <f t="shared" si="37"/>
        <v>16511</v>
      </c>
      <c r="H19" s="8" t="s">
        <v>18</v>
      </c>
      <c r="I19" s="8" t="s">
        <v>12</v>
      </c>
      <c r="J19" s="9">
        <f t="shared" si="5"/>
        <v>22032</v>
      </c>
      <c r="K19" s="10">
        <v>15791.0</v>
      </c>
      <c r="L19" s="10">
        <v>6241.0</v>
      </c>
      <c r="N19" s="8" t="s">
        <v>18</v>
      </c>
      <c r="O19" s="8" t="s">
        <v>12</v>
      </c>
      <c r="P19" s="9">
        <f t="shared" si="6"/>
        <v>12907</v>
      </c>
      <c r="Q19" s="10">
        <v>2975.0</v>
      </c>
      <c r="R19" s="10">
        <v>9932.0</v>
      </c>
      <c r="T19" s="8" t="s">
        <v>18</v>
      </c>
      <c r="U19" s="8" t="s">
        <v>12</v>
      </c>
      <c r="V19" s="9">
        <f t="shared" si="7"/>
        <v>454</v>
      </c>
      <c r="W19" s="10">
        <v>116.0</v>
      </c>
      <c r="X19" s="10">
        <v>338.0</v>
      </c>
    </row>
    <row r="20">
      <c r="B20" s="6" t="str">
        <f t="shared" ref="B20:C20" si="38">H20</f>
        <v>Ellichpur</v>
      </c>
      <c r="C20" s="6" t="str">
        <f t="shared" si="38"/>
        <v>15–20</v>
      </c>
      <c r="D20" s="7">
        <f t="shared" ref="D20:F20" si="39">J20+P20+V20</f>
        <v>23055</v>
      </c>
      <c r="E20" s="7">
        <f t="shared" si="39"/>
        <v>11215</v>
      </c>
      <c r="F20" s="7">
        <f t="shared" si="39"/>
        <v>11840</v>
      </c>
      <c r="H20" s="8" t="s">
        <v>18</v>
      </c>
      <c r="I20" s="8" t="s">
        <v>13</v>
      </c>
      <c r="J20" s="9">
        <f t="shared" si="5"/>
        <v>7350</v>
      </c>
      <c r="K20" s="10">
        <v>6141.0</v>
      </c>
      <c r="L20" s="10">
        <v>1209.0</v>
      </c>
      <c r="N20" s="8" t="s">
        <v>18</v>
      </c>
      <c r="O20" s="8" t="s">
        <v>13</v>
      </c>
      <c r="P20" s="9">
        <f t="shared" si="6"/>
        <v>15031</v>
      </c>
      <c r="Q20" s="10">
        <v>4904.0</v>
      </c>
      <c r="R20" s="10">
        <v>10127.0</v>
      </c>
      <c r="T20" s="8" t="s">
        <v>18</v>
      </c>
      <c r="U20" s="8" t="s">
        <v>13</v>
      </c>
      <c r="V20" s="9">
        <f t="shared" si="7"/>
        <v>674</v>
      </c>
      <c r="W20" s="10">
        <v>170.0</v>
      </c>
      <c r="X20" s="10">
        <v>504.0</v>
      </c>
    </row>
    <row r="21">
      <c r="B21" s="6" t="str">
        <f t="shared" ref="B21:C21" si="40">H21</f>
        <v>Ellichpur</v>
      </c>
      <c r="C21" s="6" t="str">
        <f t="shared" si="40"/>
        <v>20–40</v>
      </c>
      <c r="D21" s="7">
        <f t="shared" ref="D21:F21" si="41">J21+P21+V21</f>
        <v>102738</v>
      </c>
      <c r="E21" s="7">
        <f t="shared" si="41"/>
        <v>52232</v>
      </c>
      <c r="F21" s="7">
        <f t="shared" si="41"/>
        <v>50506</v>
      </c>
      <c r="H21" s="8" t="s">
        <v>18</v>
      </c>
      <c r="I21" s="8" t="s">
        <v>14</v>
      </c>
      <c r="J21" s="9">
        <f t="shared" si="5"/>
        <v>7409</v>
      </c>
      <c r="K21" s="10">
        <v>6432.0</v>
      </c>
      <c r="L21" s="10">
        <v>977.0</v>
      </c>
      <c r="N21" s="8" t="s">
        <v>18</v>
      </c>
      <c r="O21" s="8" t="s">
        <v>14</v>
      </c>
      <c r="P21" s="9">
        <f t="shared" si="6"/>
        <v>85551</v>
      </c>
      <c r="Q21" s="10">
        <v>42529.0</v>
      </c>
      <c r="R21" s="10">
        <v>43022.0</v>
      </c>
      <c r="T21" s="8" t="s">
        <v>18</v>
      </c>
      <c r="U21" s="8" t="s">
        <v>14</v>
      </c>
      <c r="V21" s="9">
        <f t="shared" si="7"/>
        <v>9778</v>
      </c>
      <c r="W21" s="10">
        <v>3271.0</v>
      </c>
      <c r="X21" s="10">
        <v>6507.0</v>
      </c>
    </row>
    <row r="22">
      <c r="B22" s="6" t="str">
        <f t="shared" ref="B22:C22" si="42">H22</f>
        <v>Ellichpur</v>
      </c>
      <c r="C22" s="6" t="str">
        <f t="shared" si="42"/>
        <v>40–60</v>
      </c>
      <c r="D22" s="7">
        <f t="shared" ref="D22:F22" si="43">J22+P22+V22</f>
        <v>52533</v>
      </c>
      <c r="E22" s="7">
        <f t="shared" si="43"/>
        <v>28158</v>
      </c>
      <c r="F22" s="7">
        <f t="shared" si="43"/>
        <v>24375</v>
      </c>
      <c r="H22" s="8" t="s">
        <v>18</v>
      </c>
      <c r="I22" s="8" t="s">
        <v>15</v>
      </c>
      <c r="J22" s="9">
        <f t="shared" si="5"/>
        <v>1156</v>
      </c>
      <c r="K22" s="10">
        <v>958.0</v>
      </c>
      <c r="L22" s="10">
        <v>198.0</v>
      </c>
      <c r="N22" s="8" t="s">
        <v>18</v>
      </c>
      <c r="O22" s="8" t="s">
        <v>15</v>
      </c>
      <c r="P22" s="9">
        <f t="shared" si="6"/>
        <v>33518</v>
      </c>
      <c r="Q22" s="10">
        <v>22743.0</v>
      </c>
      <c r="R22" s="10">
        <v>10775.0</v>
      </c>
      <c r="T22" s="8" t="s">
        <v>18</v>
      </c>
      <c r="U22" s="8" t="s">
        <v>15</v>
      </c>
      <c r="V22" s="9">
        <f t="shared" si="7"/>
        <v>17859</v>
      </c>
      <c r="W22" s="10">
        <v>4457.0</v>
      </c>
      <c r="X22" s="10">
        <v>13402.0</v>
      </c>
    </row>
    <row r="23">
      <c r="B23" s="6" t="str">
        <f t="shared" ref="B23:C23" si="44">H23</f>
        <v>Ellichpur</v>
      </c>
      <c r="C23" s="6" t="str">
        <f t="shared" si="44"/>
        <v>60 and over</v>
      </c>
      <c r="D23" s="7">
        <f t="shared" ref="D23:F23" si="45">J23+P23+V23</f>
        <v>14597</v>
      </c>
      <c r="E23" s="7">
        <f t="shared" si="45"/>
        <v>6832</v>
      </c>
      <c r="F23" s="7">
        <f t="shared" si="45"/>
        <v>7765</v>
      </c>
      <c r="H23" s="8" t="s">
        <v>18</v>
      </c>
      <c r="I23" s="8" t="s">
        <v>16</v>
      </c>
      <c r="J23" s="9">
        <f t="shared" si="5"/>
        <v>210</v>
      </c>
      <c r="K23" s="10">
        <v>162.0</v>
      </c>
      <c r="L23" s="10">
        <v>48.0</v>
      </c>
      <c r="N23" s="8" t="s">
        <v>18</v>
      </c>
      <c r="O23" s="8" t="s">
        <v>16</v>
      </c>
      <c r="P23" s="9">
        <f t="shared" si="6"/>
        <v>5351</v>
      </c>
      <c r="Q23" s="10">
        <v>4497.0</v>
      </c>
      <c r="R23" s="10">
        <v>854.0</v>
      </c>
      <c r="T23" s="8" t="s">
        <v>18</v>
      </c>
      <c r="U23" s="8" t="s">
        <v>16</v>
      </c>
      <c r="V23" s="9">
        <f t="shared" si="7"/>
        <v>9036</v>
      </c>
      <c r="W23" s="10">
        <v>2173.0</v>
      </c>
      <c r="X23" s="10">
        <v>6863.0</v>
      </c>
    </row>
    <row r="24">
      <c r="B24" s="6" t="str">
        <f t="shared" ref="B24:C24" si="46">H24</f>
        <v>Buldana</v>
      </c>
      <c r="C24" s="6" t="str">
        <f t="shared" si="46"/>
        <v>0–5</v>
      </c>
      <c r="D24" s="7">
        <f t="shared" ref="D24:F24" si="47">J24+P24+V24</f>
        <v>42746</v>
      </c>
      <c r="E24" s="7">
        <f t="shared" si="47"/>
        <v>20635</v>
      </c>
      <c r="F24" s="7">
        <f t="shared" si="47"/>
        <v>22111</v>
      </c>
      <c r="H24" s="8" t="s">
        <v>19</v>
      </c>
      <c r="I24" s="8" t="s">
        <v>10</v>
      </c>
      <c r="J24" s="9">
        <f t="shared" si="5"/>
        <v>41993</v>
      </c>
      <c r="K24" s="10">
        <v>20414.0</v>
      </c>
      <c r="L24" s="10">
        <v>21579.0</v>
      </c>
      <c r="N24" s="8" t="s">
        <v>19</v>
      </c>
      <c r="O24" s="8" t="s">
        <v>10</v>
      </c>
      <c r="P24" s="9">
        <f t="shared" si="6"/>
        <v>728</v>
      </c>
      <c r="Q24" s="10">
        <v>219.0</v>
      </c>
      <c r="R24" s="10">
        <v>509.0</v>
      </c>
      <c r="T24" s="8" t="s">
        <v>19</v>
      </c>
      <c r="U24" s="8" t="s">
        <v>10</v>
      </c>
      <c r="V24" s="9">
        <f t="shared" si="7"/>
        <v>25</v>
      </c>
      <c r="W24" s="10">
        <v>2.0</v>
      </c>
      <c r="X24" s="10">
        <v>23.0</v>
      </c>
    </row>
    <row r="25">
      <c r="B25" s="6" t="str">
        <f t="shared" ref="B25:C25" si="48">H25</f>
        <v>Buldana</v>
      </c>
      <c r="C25" s="6" t="str">
        <f t="shared" si="48"/>
        <v>5–10</v>
      </c>
      <c r="D25" s="7">
        <f t="shared" ref="D25:F25" si="49">J25+P25+V25</f>
        <v>57805</v>
      </c>
      <c r="E25" s="7">
        <f t="shared" si="49"/>
        <v>28074</v>
      </c>
      <c r="F25" s="7">
        <f t="shared" si="49"/>
        <v>29731</v>
      </c>
      <c r="H25" s="8" t="s">
        <v>19</v>
      </c>
      <c r="I25" s="8" t="s">
        <v>11</v>
      </c>
      <c r="J25" s="9">
        <f t="shared" si="5"/>
        <v>48189</v>
      </c>
      <c r="K25" s="10">
        <v>27054.0</v>
      </c>
      <c r="L25" s="10">
        <v>21135.0</v>
      </c>
      <c r="N25" s="8" t="s">
        <v>19</v>
      </c>
      <c r="O25" s="8" t="s">
        <v>11</v>
      </c>
      <c r="P25" s="9">
        <f t="shared" si="6"/>
        <v>9244</v>
      </c>
      <c r="Q25" s="10">
        <v>961.0</v>
      </c>
      <c r="R25" s="10">
        <v>8283.0</v>
      </c>
      <c r="T25" s="8" t="s">
        <v>19</v>
      </c>
      <c r="U25" s="8" t="s">
        <v>11</v>
      </c>
      <c r="V25" s="9">
        <f t="shared" si="7"/>
        <v>372</v>
      </c>
      <c r="W25" s="10">
        <v>59.0</v>
      </c>
      <c r="X25" s="10">
        <v>313.0</v>
      </c>
    </row>
    <row r="26">
      <c r="B26" s="6" t="str">
        <f t="shared" ref="B26:C26" si="50">H26</f>
        <v>Buldana</v>
      </c>
      <c r="C26" s="6" t="str">
        <f t="shared" si="50"/>
        <v>10–15</v>
      </c>
      <c r="D26" s="7">
        <f t="shared" ref="D26:F26" si="51">J26+P26+V26</f>
        <v>56323</v>
      </c>
      <c r="E26" s="7">
        <f t="shared" si="51"/>
        <v>29891</v>
      </c>
      <c r="F26" s="7">
        <f t="shared" si="51"/>
        <v>26432</v>
      </c>
      <c r="H26" s="8" t="s">
        <v>19</v>
      </c>
      <c r="I26" s="8" t="s">
        <v>12</v>
      </c>
      <c r="J26" s="9">
        <f t="shared" si="5"/>
        <v>27229</v>
      </c>
      <c r="K26" s="10">
        <v>22135.0</v>
      </c>
      <c r="L26" s="10">
        <v>5094.0</v>
      </c>
      <c r="N26" s="8" t="s">
        <v>19</v>
      </c>
      <c r="O26" s="8" t="s">
        <v>12</v>
      </c>
      <c r="P26" s="9">
        <f t="shared" si="6"/>
        <v>27531</v>
      </c>
      <c r="Q26" s="10">
        <v>7287.0</v>
      </c>
      <c r="R26" s="10">
        <v>20244.0</v>
      </c>
      <c r="T26" s="8" t="s">
        <v>19</v>
      </c>
      <c r="U26" s="8" t="s">
        <v>12</v>
      </c>
      <c r="V26" s="9">
        <f t="shared" si="7"/>
        <v>1563</v>
      </c>
      <c r="W26" s="10">
        <v>469.0</v>
      </c>
      <c r="X26" s="10">
        <v>1094.0</v>
      </c>
    </row>
    <row r="27">
      <c r="B27" s="6" t="str">
        <f t="shared" ref="B27:C27" si="52">H27</f>
        <v>Buldana</v>
      </c>
      <c r="C27" s="6" t="str">
        <f t="shared" si="52"/>
        <v>15–20</v>
      </c>
      <c r="D27" s="7">
        <f t="shared" ref="D27:F27" si="53">J27+P27+V27</f>
        <v>34773</v>
      </c>
      <c r="E27" s="7">
        <f t="shared" si="53"/>
        <v>17108</v>
      </c>
      <c r="F27" s="7">
        <f t="shared" si="53"/>
        <v>17665</v>
      </c>
      <c r="H27" s="8" t="s">
        <v>19</v>
      </c>
      <c r="I27" s="8" t="s">
        <v>13</v>
      </c>
      <c r="J27" s="9">
        <f t="shared" si="5"/>
        <v>7107</v>
      </c>
      <c r="K27" s="10">
        <v>6525.0</v>
      </c>
      <c r="L27" s="10">
        <v>582.0</v>
      </c>
      <c r="N27" s="8" t="s">
        <v>19</v>
      </c>
      <c r="O27" s="8" t="s">
        <v>13</v>
      </c>
      <c r="P27" s="9">
        <f t="shared" si="6"/>
        <v>26153</v>
      </c>
      <c r="Q27" s="10">
        <v>10019.0</v>
      </c>
      <c r="R27" s="10">
        <v>16134.0</v>
      </c>
      <c r="T27" s="8" t="s">
        <v>19</v>
      </c>
      <c r="U27" s="8" t="s">
        <v>13</v>
      </c>
      <c r="V27" s="9">
        <f t="shared" si="7"/>
        <v>1513</v>
      </c>
      <c r="W27" s="10">
        <v>564.0</v>
      </c>
      <c r="X27" s="10">
        <v>949.0</v>
      </c>
    </row>
    <row r="28">
      <c r="B28" s="6" t="str">
        <f t="shared" ref="B28:C28" si="54">H28</f>
        <v>Buldana</v>
      </c>
      <c r="C28" s="6" t="str">
        <f t="shared" si="54"/>
        <v>20–40</v>
      </c>
      <c r="D28" s="7">
        <f t="shared" ref="D28:F28" si="55">J28+P28+V28</f>
        <v>145792</v>
      </c>
      <c r="E28" s="7">
        <f t="shared" si="55"/>
        <v>73768</v>
      </c>
      <c r="F28" s="7">
        <f t="shared" si="55"/>
        <v>72024</v>
      </c>
      <c r="H28" s="8" t="s">
        <v>19</v>
      </c>
      <c r="I28" s="8" t="s">
        <v>14</v>
      </c>
      <c r="J28" s="9">
        <f t="shared" si="5"/>
        <v>5669</v>
      </c>
      <c r="K28" s="10">
        <v>5056.0</v>
      </c>
      <c r="L28" s="10">
        <v>613.0</v>
      </c>
      <c r="N28" s="8" t="s">
        <v>19</v>
      </c>
      <c r="O28" s="8" t="s">
        <v>14</v>
      </c>
      <c r="P28" s="9">
        <f t="shared" si="6"/>
        <v>124135</v>
      </c>
      <c r="Q28" s="10">
        <v>64134.0</v>
      </c>
      <c r="R28" s="10">
        <v>60001.0</v>
      </c>
      <c r="T28" s="8" t="s">
        <v>19</v>
      </c>
      <c r="U28" s="8" t="s">
        <v>14</v>
      </c>
      <c r="V28" s="9">
        <f t="shared" si="7"/>
        <v>15988</v>
      </c>
      <c r="W28" s="10">
        <v>4578.0</v>
      </c>
      <c r="X28" s="10">
        <v>11410.0</v>
      </c>
    </row>
    <row r="29">
      <c r="B29" s="6" t="str">
        <f t="shared" ref="B29:C29" si="56">H29</f>
        <v>Buldana</v>
      </c>
      <c r="C29" s="6" t="str">
        <f t="shared" si="56"/>
        <v>40–60</v>
      </c>
      <c r="D29" s="7">
        <f t="shared" ref="D29:F29" si="57">J29+P29+V29</f>
        <v>67669</v>
      </c>
      <c r="E29" s="7">
        <f t="shared" si="57"/>
        <v>34039</v>
      </c>
      <c r="F29" s="7">
        <f t="shared" si="57"/>
        <v>33630</v>
      </c>
      <c r="H29" s="8" t="s">
        <v>19</v>
      </c>
      <c r="I29" s="8" t="s">
        <v>15</v>
      </c>
      <c r="J29" s="9">
        <f t="shared" si="5"/>
        <v>783</v>
      </c>
      <c r="K29" s="10">
        <v>643.0</v>
      </c>
      <c r="L29" s="10">
        <v>140.0</v>
      </c>
      <c r="N29" s="8" t="s">
        <v>19</v>
      </c>
      <c r="O29" s="8" t="s">
        <v>15</v>
      </c>
      <c r="P29" s="9">
        <f t="shared" si="6"/>
        <v>43106</v>
      </c>
      <c r="Q29" s="10">
        <v>28930.0</v>
      </c>
      <c r="R29" s="10">
        <v>14176.0</v>
      </c>
      <c r="T29" s="8" t="s">
        <v>19</v>
      </c>
      <c r="U29" s="8" t="s">
        <v>15</v>
      </c>
      <c r="V29" s="9">
        <f t="shared" si="7"/>
        <v>23780</v>
      </c>
      <c r="W29" s="10">
        <v>4466.0</v>
      </c>
      <c r="X29" s="10">
        <v>19314.0</v>
      </c>
    </row>
    <row r="30">
      <c r="B30" s="6" t="str">
        <f t="shared" ref="B30:C30" si="58">H30</f>
        <v>Buldana</v>
      </c>
      <c r="C30" s="6" t="str">
        <f t="shared" si="58"/>
        <v>60 and over</v>
      </c>
      <c r="D30" s="7">
        <f t="shared" ref="D30:F30" si="59">J30+P30+V30</f>
        <v>18012</v>
      </c>
      <c r="E30" s="7">
        <f t="shared" si="59"/>
        <v>8224</v>
      </c>
      <c r="F30" s="7">
        <f t="shared" si="59"/>
        <v>9788</v>
      </c>
      <c r="H30" s="8" t="s">
        <v>19</v>
      </c>
      <c r="I30" s="8" t="s">
        <v>16</v>
      </c>
      <c r="J30" s="9">
        <f t="shared" si="5"/>
        <v>157</v>
      </c>
      <c r="K30" s="10">
        <v>125.0</v>
      </c>
      <c r="L30" s="10">
        <v>32.0</v>
      </c>
      <c r="N30" s="8" t="s">
        <v>19</v>
      </c>
      <c r="O30" s="8" t="s">
        <v>16</v>
      </c>
      <c r="P30" s="9">
        <f t="shared" si="6"/>
        <v>6912</v>
      </c>
      <c r="Q30" s="10">
        <v>5872.0</v>
      </c>
      <c r="R30" s="10">
        <v>1040.0</v>
      </c>
      <c r="T30" s="8" t="s">
        <v>19</v>
      </c>
      <c r="U30" s="8" t="s">
        <v>16</v>
      </c>
      <c r="V30" s="9">
        <f t="shared" si="7"/>
        <v>10943</v>
      </c>
      <c r="W30" s="10">
        <v>2227.0</v>
      </c>
      <c r="X30" s="10">
        <v>8716.0</v>
      </c>
    </row>
    <row r="31">
      <c r="B31" s="6" t="str">
        <f t="shared" ref="B31:C31" si="60">H31</f>
        <v>Wun</v>
      </c>
      <c r="C31" s="6" t="str">
        <f t="shared" si="60"/>
        <v>0–5</v>
      </c>
      <c r="D31" s="7">
        <f t="shared" ref="D31:F31" si="61">J31+P31+V31</f>
        <v>53832</v>
      </c>
      <c r="E31" s="7">
        <f t="shared" si="61"/>
        <v>25869</v>
      </c>
      <c r="F31" s="7">
        <f t="shared" si="61"/>
        <v>27963</v>
      </c>
      <c r="H31" s="8" t="s">
        <v>20</v>
      </c>
      <c r="I31" s="8" t="s">
        <v>10</v>
      </c>
      <c r="J31" s="9">
        <f t="shared" si="5"/>
        <v>52905</v>
      </c>
      <c r="K31" s="10">
        <v>25636.0</v>
      </c>
      <c r="L31" s="10">
        <v>27269.0</v>
      </c>
      <c r="N31" s="8" t="s">
        <v>20</v>
      </c>
      <c r="O31" s="8" t="s">
        <v>10</v>
      </c>
      <c r="P31" s="9">
        <f t="shared" si="6"/>
        <v>895</v>
      </c>
      <c r="Q31" s="10">
        <v>230.0</v>
      </c>
      <c r="R31" s="10">
        <v>665.0</v>
      </c>
      <c r="T31" s="8" t="s">
        <v>20</v>
      </c>
      <c r="U31" s="8" t="s">
        <v>10</v>
      </c>
      <c r="V31" s="9">
        <f t="shared" si="7"/>
        <v>32</v>
      </c>
      <c r="W31" s="10">
        <v>3.0</v>
      </c>
      <c r="X31" s="10">
        <v>29.0</v>
      </c>
    </row>
    <row r="32">
      <c r="B32" s="6" t="str">
        <f t="shared" ref="B32:C32" si="62">H32</f>
        <v>Wun</v>
      </c>
      <c r="C32" s="6" t="str">
        <f t="shared" si="62"/>
        <v>5–10</v>
      </c>
      <c r="D32" s="7">
        <f t="shared" ref="D32:F32" si="63">J32+P32+V32</f>
        <v>61578</v>
      </c>
      <c r="E32" s="7">
        <f t="shared" si="63"/>
        <v>30174</v>
      </c>
      <c r="F32" s="7">
        <f t="shared" si="63"/>
        <v>31404</v>
      </c>
      <c r="H32" s="8" t="s">
        <v>20</v>
      </c>
      <c r="I32" s="8" t="s">
        <v>11</v>
      </c>
      <c r="J32" s="9">
        <f t="shared" si="5"/>
        <v>52987</v>
      </c>
      <c r="K32" s="10">
        <v>28779.0</v>
      </c>
      <c r="L32" s="10">
        <v>24208.0</v>
      </c>
      <c r="N32" s="8" t="s">
        <v>20</v>
      </c>
      <c r="O32" s="8" t="s">
        <v>11</v>
      </c>
      <c r="P32" s="9">
        <f t="shared" si="6"/>
        <v>8182</v>
      </c>
      <c r="Q32" s="10">
        <v>1314.0</v>
      </c>
      <c r="R32" s="10">
        <v>6868.0</v>
      </c>
      <c r="T32" s="8" t="s">
        <v>20</v>
      </c>
      <c r="U32" s="8" t="s">
        <v>11</v>
      </c>
      <c r="V32" s="9">
        <f t="shared" si="7"/>
        <v>409</v>
      </c>
      <c r="W32" s="10">
        <v>81.0</v>
      </c>
      <c r="X32" s="10">
        <v>328.0</v>
      </c>
    </row>
    <row r="33">
      <c r="B33" s="6" t="str">
        <f t="shared" ref="B33:C33" si="64">H33</f>
        <v>Wun</v>
      </c>
      <c r="C33" s="6" t="str">
        <f t="shared" si="64"/>
        <v>10–15</v>
      </c>
      <c r="D33" s="7">
        <f t="shared" ref="D33:F33" si="65">J33+P33+V33</f>
        <v>61378</v>
      </c>
      <c r="E33" s="7">
        <f t="shared" si="65"/>
        <v>32800</v>
      </c>
      <c r="F33" s="7">
        <f t="shared" si="65"/>
        <v>28578</v>
      </c>
      <c r="H33" s="8" t="s">
        <v>20</v>
      </c>
      <c r="I33" s="8" t="s">
        <v>12</v>
      </c>
      <c r="J33" s="9">
        <f t="shared" si="5"/>
        <v>37235</v>
      </c>
      <c r="K33" s="10">
        <v>25660.0</v>
      </c>
      <c r="L33" s="10">
        <v>11575.0</v>
      </c>
      <c r="N33" s="8" t="s">
        <v>20</v>
      </c>
      <c r="O33" s="8" t="s">
        <v>12</v>
      </c>
      <c r="P33" s="9">
        <f t="shared" si="6"/>
        <v>22865</v>
      </c>
      <c r="Q33" s="10">
        <v>6726.0</v>
      </c>
      <c r="R33" s="10">
        <v>16139.0</v>
      </c>
      <c r="T33" s="8" t="s">
        <v>20</v>
      </c>
      <c r="U33" s="8" t="s">
        <v>12</v>
      </c>
      <c r="V33" s="9">
        <f t="shared" si="7"/>
        <v>1278</v>
      </c>
      <c r="W33" s="10">
        <v>414.0</v>
      </c>
      <c r="X33" s="10">
        <v>864.0</v>
      </c>
    </row>
    <row r="34">
      <c r="B34" s="6" t="str">
        <f t="shared" ref="B34:C34" si="66">H34</f>
        <v>Wun</v>
      </c>
      <c r="C34" s="6" t="str">
        <f t="shared" si="66"/>
        <v>15–20</v>
      </c>
      <c r="D34" s="7">
        <f t="shared" ref="D34:F34" si="67">J34+P34+V34</f>
        <v>34286</v>
      </c>
      <c r="E34" s="7">
        <f t="shared" si="67"/>
        <v>17247</v>
      </c>
      <c r="F34" s="7">
        <f t="shared" si="67"/>
        <v>17039</v>
      </c>
      <c r="H34" s="8" t="s">
        <v>20</v>
      </c>
      <c r="I34" s="8" t="s">
        <v>13</v>
      </c>
      <c r="J34" s="9">
        <f t="shared" si="5"/>
        <v>10874</v>
      </c>
      <c r="K34" s="10">
        <v>9156.0</v>
      </c>
      <c r="L34" s="10">
        <v>1718.0</v>
      </c>
      <c r="N34" s="8" t="s">
        <v>20</v>
      </c>
      <c r="O34" s="8" t="s">
        <v>13</v>
      </c>
      <c r="P34" s="9">
        <f t="shared" si="6"/>
        <v>22283</v>
      </c>
      <c r="Q34" s="10">
        <v>7717.0</v>
      </c>
      <c r="R34" s="10">
        <v>14566.0</v>
      </c>
      <c r="T34" s="8" t="s">
        <v>20</v>
      </c>
      <c r="U34" s="8" t="s">
        <v>13</v>
      </c>
      <c r="V34" s="9">
        <f t="shared" si="7"/>
        <v>1129</v>
      </c>
      <c r="W34" s="10">
        <v>374.0</v>
      </c>
      <c r="X34" s="10">
        <v>755.0</v>
      </c>
    </row>
    <row r="35">
      <c r="B35" s="6" t="str">
        <f t="shared" ref="B35:C35" si="68">H35</f>
        <v>Wun</v>
      </c>
      <c r="C35" s="6" t="str">
        <f t="shared" si="68"/>
        <v>20–40</v>
      </c>
      <c r="D35" s="7">
        <f t="shared" ref="D35:F35" si="69">J35+P35+V35</f>
        <v>155721</v>
      </c>
      <c r="E35" s="7">
        <f t="shared" si="69"/>
        <v>77182</v>
      </c>
      <c r="F35" s="7">
        <f t="shared" si="69"/>
        <v>78539</v>
      </c>
      <c r="H35" s="8" t="s">
        <v>20</v>
      </c>
      <c r="I35" s="8" t="s">
        <v>14</v>
      </c>
      <c r="J35" s="9">
        <f t="shared" si="5"/>
        <v>10489</v>
      </c>
      <c r="K35" s="10">
        <v>9253.0</v>
      </c>
      <c r="L35" s="10">
        <v>1236.0</v>
      </c>
      <c r="N35" s="8" t="s">
        <v>20</v>
      </c>
      <c r="O35" s="8" t="s">
        <v>14</v>
      </c>
      <c r="P35" s="9">
        <f t="shared" si="6"/>
        <v>130606</v>
      </c>
      <c r="Q35" s="10">
        <v>63502.0</v>
      </c>
      <c r="R35" s="10">
        <v>67104.0</v>
      </c>
      <c r="T35" s="8" t="s">
        <v>20</v>
      </c>
      <c r="U35" s="8" t="s">
        <v>14</v>
      </c>
      <c r="V35" s="9">
        <f t="shared" si="7"/>
        <v>14626</v>
      </c>
      <c r="W35" s="10">
        <v>4427.0</v>
      </c>
      <c r="X35" s="10">
        <v>10199.0</v>
      </c>
    </row>
    <row r="36">
      <c r="B36" s="6" t="str">
        <f t="shared" ref="B36:C36" si="70">H36</f>
        <v>Wun</v>
      </c>
      <c r="C36" s="6" t="str">
        <f t="shared" si="70"/>
        <v>40–60</v>
      </c>
      <c r="D36" s="7">
        <f t="shared" ref="D36:F36" si="71">J36+P36+V36</f>
        <v>78066</v>
      </c>
      <c r="E36" s="7">
        <f t="shared" si="71"/>
        <v>42019</v>
      </c>
      <c r="F36" s="7">
        <f t="shared" si="71"/>
        <v>36047</v>
      </c>
      <c r="H36" s="8" t="s">
        <v>20</v>
      </c>
      <c r="I36" s="8" t="s">
        <v>15</v>
      </c>
      <c r="J36" s="9">
        <f t="shared" si="5"/>
        <v>1218</v>
      </c>
      <c r="K36" s="10">
        <v>977.0</v>
      </c>
      <c r="L36" s="10">
        <v>241.0</v>
      </c>
      <c r="N36" s="8" t="s">
        <v>20</v>
      </c>
      <c r="O36" s="8" t="s">
        <v>15</v>
      </c>
      <c r="P36" s="9">
        <f t="shared" si="6"/>
        <v>51994</v>
      </c>
      <c r="Q36" s="10">
        <v>35507.0</v>
      </c>
      <c r="R36" s="10">
        <v>16487.0</v>
      </c>
      <c r="T36" s="8" t="s">
        <v>20</v>
      </c>
      <c r="U36" s="8" t="s">
        <v>15</v>
      </c>
      <c r="V36" s="9">
        <f t="shared" si="7"/>
        <v>24854</v>
      </c>
      <c r="W36" s="10">
        <v>5535.0</v>
      </c>
      <c r="X36" s="10">
        <v>19319.0</v>
      </c>
    </row>
    <row r="37">
      <c r="B37" s="6" t="str">
        <f t="shared" ref="B37:C37" si="72">H37</f>
        <v>Wun</v>
      </c>
      <c r="C37" s="6" t="str">
        <f t="shared" si="72"/>
        <v>60 and over</v>
      </c>
      <c r="D37" s="7">
        <f t="shared" ref="D37:F37" si="73">J37+P37+V37</f>
        <v>22068</v>
      </c>
      <c r="E37" s="7">
        <f t="shared" si="73"/>
        <v>10347</v>
      </c>
      <c r="F37" s="7">
        <f t="shared" si="73"/>
        <v>11721</v>
      </c>
      <c r="H37" s="8" t="s">
        <v>20</v>
      </c>
      <c r="I37" s="8" t="s">
        <v>16</v>
      </c>
      <c r="J37" s="9">
        <f t="shared" si="5"/>
        <v>244</v>
      </c>
      <c r="K37" s="10">
        <v>184.0</v>
      </c>
      <c r="L37" s="10">
        <v>60.0</v>
      </c>
      <c r="N37" s="8" t="s">
        <v>20</v>
      </c>
      <c r="O37" s="8" t="s">
        <v>16</v>
      </c>
      <c r="P37" s="9">
        <f t="shared" si="6"/>
        <v>8530</v>
      </c>
      <c r="Q37" s="10">
        <v>7174.0</v>
      </c>
      <c r="R37" s="10">
        <v>1356.0</v>
      </c>
      <c r="T37" s="8" t="s">
        <v>20</v>
      </c>
      <c r="U37" s="8" t="s">
        <v>16</v>
      </c>
      <c r="V37" s="9">
        <f t="shared" si="7"/>
        <v>13294</v>
      </c>
      <c r="W37" s="10">
        <v>2989.0</v>
      </c>
      <c r="X37" s="10">
        <v>10305.0</v>
      </c>
    </row>
    <row r="38">
      <c r="B38" s="6" t="str">
        <f t="shared" ref="B38:C38" si="74">H38</f>
        <v>Basim</v>
      </c>
      <c r="C38" s="6" t="str">
        <f t="shared" si="74"/>
        <v>0–5</v>
      </c>
      <c r="D38" s="7">
        <f t="shared" ref="D38:F38" si="75">J38+P38+V38</f>
        <v>38744</v>
      </c>
      <c r="E38" s="7">
        <f t="shared" si="75"/>
        <v>19152</v>
      </c>
      <c r="F38" s="7">
        <f t="shared" si="75"/>
        <v>19592</v>
      </c>
      <c r="H38" s="8" t="s">
        <v>21</v>
      </c>
      <c r="I38" s="8" t="s">
        <v>10</v>
      </c>
      <c r="J38" s="9">
        <f t="shared" si="5"/>
        <v>37890</v>
      </c>
      <c r="K38" s="10">
        <v>18945.0</v>
      </c>
      <c r="L38" s="10">
        <v>18945.0</v>
      </c>
      <c r="N38" s="8" t="s">
        <v>21</v>
      </c>
      <c r="O38" s="8" t="s">
        <v>10</v>
      </c>
      <c r="P38" s="9">
        <f t="shared" si="6"/>
        <v>817</v>
      </c>
      <c r="Q38" s="10">
        <v>202.0</v>
      </c>
      <c r="R38" s="10">
        <v>615.0</v>
      </c>
      <c r="T38" s="8" t="s">
        <v>21</v>
      </c>
      <c r="U38" s="8" t="s">
        <v>10</v>
      </c>
      <c r="V38" s="9">
        <f t="shared" si="7"/>
        <v>37</v>
      </c>
      <c r="W38" s="10">
        <v>5.0</v>
      </c>
      <c r="X38" s="10">
        <v>32.0</v>
      </c>
    </row>
    <row r="39">
      <c r="B39" s="6" t="str">
        <f t="shared" ref="B39:C39" si="76">H39</f>
        <v>Basim</v>
      </c>
      <c r="C39" s="6" t="str">
        <f t="shared" si="76"/>
        <v>5–10</v>
      </c>
      <c r="D39" s="7">
        <f t="shared" ref="D39:F39" si="77">J39+P39+V39</f>
        <v>49870</v>
      </c>
      <c r="E39" s="7">
        <f t="shared" si="77"/>
        <v>24505</v>
      </c>
      <c r="F39" s="7">
        <f t="shared" si="77"/>
        <v>25365</v>
      </c>
      <c r="H39" s="8" t="s">
        <v>21</v>
      </c>
      <c r="I39" s="8" t="s">
        <v>11</v>
      </c>
      <c r="J39" s="9">
        <f t="shared" si="5"/>
        <v>41304</v>
      </c>
      <c r="K39" s="10">
        <v>23210.0</v>
      </c>
      <c r="L39" s="10">
        <v>18094.0</v>
      </c>
      <c r="N39" s="8" t="s">
        <v>21</v>
      </c>
      <c r="O39" s="8" t="s">
        <v>11</v>
      </c>
      <c r="P39" s="9">
        <f t="shared" si="6"/>
        <v>8083</v>
      </c>
      <c r="Q39" s="10">
        <v>1180.0</v>
      </c>
      <c r="R39" s="10">
        <v>6903.0</v>
      </c>
      <c r="T39" s="8" t="s">
        <v>21</v>
      </c>
      <c r="U39" s="8" t="s">
        <v>11</v>
      </c>
      <c r="V39" s="9">
        <f t="shared" si="7"/>
        <v>483</v>
      </c>
      <c r="W39" s="10">
        <v>115.0</v>
      </c>
      <c r="X39" s="10">
        <v>368.0</v>
      </c>
    </row>
    <row r="40">
      <c r="B40" s="6" t="str">
        <f t="shared" ref="B40:C40" si="78">H40</f>
        <v>Basim</v>
      </c>
      <c r="C40" s="6" t="str">
        <f t="shared" si="78"/>
        <v>10–15</v>
      </c>
      <c r="D40" s="7">
        <f t="shared" ref="D40:F40" si="79">J40+P40+V40</f>
        <v>49444</v>
      </c>
      <c r="E40" s="7">
        <f t="shared" si="79"/>
        <v>26851</v>
      </c>
      <c r="F40" s="7">
        <f t="shared" si="79"/>
        <v>22593</v>
      </c>
      <c r="H40" s="8" t="s">
        <v>21</v>
      </c>
      <c r="I40" s="8" t="s">
        <v>12</v>
      </c>
      <c r="J40" s="9">
        <f t="shared" si="5"/>
        <v>26411</v>
      </c>
      <c r="K40" s="10">
        <v>19920.0</v>
      </c>
      <c r="L40" s="10">
        <v>6491.0</v>
      </c>
      <c r="N40" s="8" t="s">
        <v>21</v>
      </c>
      <c r="O40" s="8" t="s">
        <v>12</v>
      </c>
      <c r="P40" s="9">
        <f t="shared" si="6"/>
        <v>21402</v>
      </c>
      <c r="Q40" s="10">
        <v>6325.0</v>
      </c>
      <c r="R40" s="10">
        <v>15077.0</v>
      </c>
      <c r="T40" s="8" t="s">
        <v>21</v>
      </c>
      <c r="U40" s="8" t="s">
        <v>12</v>
      </c>
      <c r="V40" s="9">
        <f t="shared" si="7"/>
        <v>1631</v>
      </c>
      <c r="W40" s="10">
        <v>606.0</v>
      </c>
      <c r="X40" s="10">
        <v>1025.0</v>
      </c>
    </row>
    <row r="41">
      <c r="B41" s="6" t="str">
        <f t="shared" ref="B41:C41" si="80">H41</f>
        <v>Basim</v>
      </c>
      <c r="C41" s="6" t="str">
        <f t="shared" si="80"/>
        <v>15–20</v>
      </c>
      <c r="D41" s="7">
        <f t="shared" ref="D41:F41" si="81">J41+P41+V41</f>
        <v>25171</v>
      </c>
      <c r="E41" s="7">
        <f t="shared" si="81"/>
        <v>12309</v>
      </c>
      <c r="F41" s="7">
        <f t="shared" si="81"/>
        <v>12862</v>
      </c>
      <c r="H41" s="8" t="s">
        <v>21</v>
      </c>
      <c r="I41" s="8" t="s">
        <v>13</v>
      </c>
      <c r="J41" s="9">
        <f t="shared" si="5"/>
        <v>5807</v>
      </c>
      <c r="K41" s="10">
        <v>5173.0</v>
      </c>
      <c r="L41" s="10">
        <v>634.0</v>
      </c>
      <c r="N41" s="8" t="s">
        <v>21</v>
      </c>
      <c r="O41" s="8" t="s">
        <v>13</v>
      </c>
      <c r="P41" s="9">
        <f t="shared" si="6"/>
        <v>18102</v>
      </c>
      <c r="Q41" s="10">
        <v>6616.0</v>
      </c>
      <c r="R41" s="10">
        <v>11486.0</v>
      </c>
      <c r="T41" s="8" t="s">
        <v>21</v>
      </c>
      <c r="U41" s="8" t="s">
        <v>13</v>
      </c>
      <c r="V41" s="9">
        <f t="shared" si="7"/>
        <v>1262</v>
      </c>
      <c r="W41" s="10">
        <v>520.0</v>
      </c>
      <c r="X41" s="10">
        <v>742.0</v>
      </c>
    </row>
    <row r="42">
      <c r="B42" s="6" t="str">
        <f t="shared" ref="B42:C42" si="82">H42</f>
        <v>Basim</v>
      </c>
      <c r="C42" s="6" t="str">
        <f t="shared" si="82"/>
        <v>20–40</v>
      </c>
      <c r="D42" s="7">
        <f t="shared" ref="D42:F42" si="83">J42+P42+V42</f>
        <v>119443</v>
      </c>
      <c r="E42" s="7">
        <f t="shared" si="83"/>
        <v>60468</v>
      </c>
      <c r="F42" s="7">
        <f t="shared" si="83"/>
        <v>58975</v>
      </c>
      <c r="H42" s="8" t="s">
        <v>21</v>
      </c>
      <c r="I42" s="8" t="s">
        <v>14</v>
      </c>
      <c r="J42" s="9">
        <f t="shared" si="5"/>
        <v>6503</v>
      </c>
      <c r="K42" s="10">
        <v>5785.0</v>
      </c>
      <c r="L42" s="10">
        <v>718.0</v>
      </c>
      <c r="N42" s="8" t="s">
        <v>21</v>
      </c>
      <c r="O42" s="8" t="s">
        <v>14</v>
      </c>
      <c r="P42" s="9">
        <f t="shared" si="6"/>
        <v>99394</v>
      </c>
      <c r="Q42" s="10">
        <v>50175.0</v>
      </c>
      <c r="R42" s="10">
        <v>49219.0</v>
      </c>
      <c r="T42" s="8" t="s">
        <v>21</v>
      </c>
      <c r="U42" s="8" t="s">
        <v>14</v>
      </c>
      <c r="V42" s="9">
        <f t="shared" si="7"/>
        <v>13546</v>
      </c>
      <c r="W42" s="10">
        <v>4508.0</v>
      </c>
      <c r="X42" s="10">
        <v>9038.0</v>
      </c>
    </row>
    <row r="43">
      <c r="B43" s="6" t="str">
        <f t="shared" ref="B43:C43" si="84">H43</f>
        <v>Basim</v>
      </c>
      <c r="C43" s="6" t="str">
        <f t="shared" si="84"/>
        <v>40–60</v>
      </c>
      <c r="D43" s="7">
        <f t="shared" ref="D43:F43" si="85">J43+P43+V43</f>
        <v>56824</v>
      </c>
      <c r="E43" s="7">
        <f t="shared" si="85"/>
        <v>29111</v>
      </c>
      <c r="F43" s="7">
        <f t="shared" si="85"/>
        <v>27713</v>
      </c>
      <c r="H43" s="8" t="s">
        <v>21</v>
      </c>
      <c r="I43" s="8" t="s">
        <v>15</v>
      </c>
      <c r="J43" s="9">
        <f t="shared" si="5"/>
        <v>882</v>
      </c>
      <c r="K43" s="10">
        <v>720.0</v>
      </c>
      <c r="L43" s="10">
        <v>162.0</v>
      </c>
      <c r="N43" s="8" t="s">
        <v>21</v>
      </c>
      <c r="O43" s="8" t="s">
        <v>15</v>
      </c>
      <c r="P43" s="9">
        <f t="shared" si="6"/>
        <v>35561</v>
      </c>
      <c r="Q43" s="10">
        <v>24277.0</v>
      </c>
      <c r="R43" s="10">
        <v>11284.0</v>
      </c>
      <c r="T43" s="8" t="s">
        <v>21</v>
      </c>
      <c r="U43" s="8" t="s">
        <v>15</v>
      </c>
      <c r="V43" s="9">
        <f t="shared" si="7"/>
        <v>20381</v>
      </c>
      <c r="W43" s="10">
        <v>4114.0</v>
      </c>
      <c r="X43" s="10">
        <v>16267.0</v>
      </c>
    </row>
    <row r="44">
      <c r="B44" s="6" t="str">
        <f t="shared" ref="B44:C44" si="86">H44</f>
        <v>Basim</v>
      </c>
      <c r="C44" s="6" t="str">
        <f t="shared" si="86"/>
        <v>60 and over</v>
      </c>
      <c r="D44" s="7">
        <f t="shared" ref="D44:F44" si="87">J44+P44+V44</f>
        <v>14493</v>
      </c>
      <c r="E44" s="7">
        <f t="shared" si="87"/>
        <v>6345</v>
      </c>
      <c r="F44" s="7">
        <f t="shared" si="87"/>
        <v>8148</v>
      </c>
      <c r="H44" s="8" t="s">
        <v>21</v>
      </c>
      <c r="I44" s="8" t="s">
        <v>16</v>
      </c>
      <c r="J44" s="9">
        <f t="shared" si="5"/>
        <v>163</v>
      </c>
      <c r="K44" s="10">
        <v>117.0</v>
      </c>
      <c r="L44" s="10">
        <v>46.0</v>
      </c>
      <c r="N44" s="8" t="s">
        <v>21</v>
      </c>
      <c r="O44" s="8" t="s">
        <v>16</v>
      </c>
      <c r="P44" s="9">
        <f t="shared" si="6"/>
        <v>5322</v>
      </c>
      <c r="Q44" s="10">
        <v>4449.0</v>
      </c>
      <c r="R44" s="10">
        <v>873.0</v>
      </c>
      <c r="T44" s="8" t="s">
        <v>21</v>
      </c>
      <c r="U44" s="8" t="s">
        <v>16</v>
      </c>
      <c r="V44" s="9">
        <f t="shared" si="7"/>
        <v>9008</v>
      </c>
      <c r="W44" s="10">
        <v>1779.0</v>
      </c>
      <c r="X44" s="10">
        <v>7229.0</v>
      </c>
    </row>
  </sheetData>
  <drawing r:id="rId1"/>
</worksheet>
</file>