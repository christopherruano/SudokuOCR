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ma_1891" sheetId="1" r:id="rId5"/>
    <sheet state="visible" name="Burma_1901" sheetId="2" r:id="rId6"/>
  </sheets>
  <definedNames/>
  <calcPr/>
</workbook>
</file>

<file path=xl/sharedStrings.xml><?xml version="1.0" encoding="utf-8"?>
<sst xmlns="http://schemas.openxmlformats.org/spreadsheetml/2006/main" count="3213" uniqueCount="80">
  <si>
    <t>Total</t>
  </si>
  <si>
    <t>Unmarried</t>
  </si>
  <si>
    <t>Married</t>
  </si>
  <si>
    <t>Widowed</t>
  </si>
  <si>
    <t>District</t>
  </si>
  <si>
    <t>Age</t>
  </si>
  <si>
    <t>Persons</t>
  </si>
  <si>
    <t>Males</t>
  </si>
  <si>
    <t>Females</t>
  </si>
  <si>
    <t>Akyab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</si>
  <si>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</si>
  <si>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</si>
  <si>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</si>
  <si>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</si>
  <si>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</si>
  <si>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</si>
  <si>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</si>
  <si>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</si>
  <si>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</si>
  <si>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</si>
  <si>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60+</t>
  </si>
  <si>
    <t>60 and over</t>
  </si>
  <si>
    <t>Amherst</t>
  </si>
  <si>
    <t>Bassein</t>
  </si>
  <si>
    <t>Bhamo</t>
  </si>
  <si>
    <t>Hanthawaddy</t>
  </si>
  <si>
    <t>Henzada</t>
  </si>
  <si>
    <t>Katha</t>
  </si>
  <si>
    <t>Kyaukpyu</t>
  </si>
  <si>
    <t>Kyauksè</t>
  </si>
  <si>
    <t>Lower Chindwin</t>
  </si>
  <si>
    <t>Magwe</t>
  </si>
  <si>
    <t>Mandalay</t>
  </si>
  <si>
    <t>Meiktila</t>
  </si>
  <si>
    <t>Mergui</t>
  </si>
  <si>
    <t>Minbu</t>
  </si>
  <si>
    <t>Myingyan</t>
  </si>
  <si>
    <t>Northern Arakan</t>
  </si>
  <si>
    <t>Pakôkkû</t>
  </si>
  <si>
    <t>Pegu</t>
  </si>
  <si>
    <t>Prome</t>
  </si>
  <si>
    <t>Pyinmana</t>
  </si>
  <si>
    <t>Rangoon Town</t>
  </si>
  <si>
    <t>Ruby Mines</t>
  </si>
  <si>
    <t>Sagaing</t>
  </si>
  <si>
    <t>Salween</t>
  </si>
  <si>
    <t>Sandoway</t>
  </si>
  <si>
    <t>Shan States synchronous tract</t>
  </si>
  <si>
    <t>Shwebo</t>
  </si>
  <si>
    <t>Shwegyin</t>
  </si>
  <si>
    <t>Tavoy</t>
  </si>
  <si>
    <t>Tharrawaddy</t>
  </si>
  <si>
    <t>Thayetmyo</t>
  </si>
  <si>
    <t>Thongwa</t>
  </si>
  <si>
    <t>Toungoo</t>
  </si>
  <si>
    <t>Upper Chindwin</t>
  </si>
  <si>
    <t>Yamèthin</t>
  </si>
  <si>
    <t>Ye-u</t>
  </si>
  <si>
    <t>0-5</t>
  </si>
  <si>
    <t>15-20</t>
  </si>
  <si>
    <t>20-40</t>
  </si>
  <si>
    <t>40-60</t>
  </si>
  <si>
    <t>Myaungmya</t>
  </si>
  <si>
    <t>0–5</t>
  </si>
  <si>
    <t>5–10</t>
  </si>
  <si>
    <t>10–15</t>
  </si>
  <si>
    <t>15–20</t>
  </si>
  <si>
    <t>20–40</t>
  </si>
  <si>
    <t>40–60</t>
  </si>
  <si>
    <t>Thaton</t>
  </si>
  <si>
    <t>Thayetmo</t>
  </si>
  <si>
    <t>Pakokku</t>
  </si>
  <si>
    <t>Mandalay District</t>
  </si>
  <si>
    <t>Mandalay City</t>
  </si>
  <si>
    <t>Myitkyina</t>
  </si>
  <si>
    <t>Kyaukse</t>
  </si>
  <si>
    <t>Yamethin</t>
  </si>
  <si>
    <t>Northern Shan States</t>
  </si>
  <si>
    <t>Southern Shan States</t>
  </si>
  <si>
    <t>Chin Hills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</si>
</sst>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4" numFmtId="164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  <c r="H1" s="1" t="s">
        <v>1</v>
      </c>
      <c r="N1" s="1" t="s">
        <v>2</v>
      </c>
      <c r="T1" s="1" t="s">
        <v>3</v>
      </c>
    </row>
    <row r="2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4"/>
      <c r="H2" s="2" t="s">
        <v>4</v>
      </c>
      <c r="I2" s="2" t="s">
        <v>5</v>
      </c>
      <c r="J2" s="3" t="s">
        <v>6</v>
      </c>
      <c r="K2" s="3" t="s">
        <v>7</v>
      </c>
      <c r="L2" s="3" t="s">
        <v>8</v>
      </c>
      <c r="M2" s="5"/>
      <c r="N2" s="2" t="s">
        <v>4</v>
      </c>
      <c r="O2" s="2" t="s">
        <v>5</v>
      </c>
      <c r="P2" s="3" t="s">
        <v>6</v>
      </c>
      <c r="Q2" s="3" t="s">
        <v>7</v>
      </c>
      <c r="R2" s="3" t="s">
        <v>8</v>
      </c>
      <c r="T2" s="2" t="s">
        <v>4</v>
      </c>
      <c r="U2" s="2" t="s">
        <v>5</v>
      </c>
      <c r="V2" s="3" t="s">
        <v>6</v>
      </c>
      <c r="W2" s="3" t="s">
        <v>7</v>
      </c>
      <c r="X2" s="3" t="s">
        <v>8</v>
      </c>
    </row>
    <row r="3">
      <c r="B3" s="6" t="str">
        <f t="shared" ref="B3:C3" si="1">H3</f>
        <v>Akyab</v>
      </c>
      <c r="C3" s="7" t="str">
        <f t="shared" si="1"/>
        <v>0-4</v>
      </c>
      <c r="D3" s="6">
        <f t="shared" ref="D3:F3" si="2">J3+P3+V3</f>
        <v>53756</v>
      </c>
      <c r="E3" s="6">
        <f t="shared" si="2"/>
        <v>26804</v>
      </c>
      <c r="F3" s="6">
        <f t="shared" si="2"/>
        <v>26952</v>
      </c>
      <c r="G3" s="6"/>
      <c r="H3" s="8" t="s">
        <v>9</v>
      </c>
      <c r="I3" s="9" t="s">
        <v>10</v>
      </c>
      <c r="J3" s="10">
        <f t="shared" ref="J3:J483" si="5">sum(K3:L3)</f>
        <v>53756</v>
      </c>
      <c r="K3" s="11">
        <v>26804.0</v>
      </c>
      <c r="L3" s="11">
        <v>26952.0</v>
      </c>
      <c r="M3" s="5"/>
      <c r="N3" s="8" t="s">
        <v>9</v>
      </c>
      <c r="O3" s="9" t="s">
        <v>10</v>
      </c>
      <c r="P3" s="10">
        <f t="shared" ref="P3:P483" si="6">sum(Q3:R3)</f>
        <v>0</v>
      </c>
      <c r="Q3" s="11">
        <v>0.0</v>
      </c>
      <c r="R3" s="11">
        <v>0.0</v>
      </c>
      <c r="T3" s="8" t="s">
        <v>9</v>
      </c>
      <c r="U3" s="9" t="s">
        <v>10</v>
      </c>
      <c r="V3" s="10">
        <f t="shared" ref="V3:V483" si="7">sum(W3:X3)</f>
        <v>0</v>
      </c>
      <c r="W3" s="11">
        <v>0.0</v>
      </c>
      <c r="X3" s="11">
        <v>0.0</v>
      </c>
    </row>
    <row r="4">
      <c r="B4" s="6" t="str">
        <f t="shared" ref="B4:C4" si="3">H4</f>
        <v>Akyab</v>
      </c>
      <c r="C4" s="12">
        <f t="shared" si="3"/>
        <v>45786</v>
      </c>
      <c r="D4" s="6">
        <f t="shared" ref="D4:F4" si="4">J4+P4+V4</f>
        <v>54865</v>
      </c>
      <c r="E4" s="6">
        <f t="shared" si="4"/>
        <v>28073</v>
      </c>
      <c r="F4" s="6">
        <f t="shared" si="4"/>
        <v>26792</v>
      </c>
      <c r="G4" s="6"/>
      <c r="H4" s="8" t="s">
        <v>9</v>
      </c>
      <c r="I4" s="13">
        <v>45786.0</v>
      </c>
      <c r="J4" s="10">
        <f t="shared" si="5"/>
        <v>54865</v>
      </c>
      <c r="K4" s="11">
        <v>28073.0</v>
      </c>
      <c r="L4" s="11">
        <v>26792.0</v>
      </c>
      <c r="M4" s="5"/>
      <c r="N4" s="8" t="s">
        <v>9</v>
      </c>
      <c r="O4" s="13">
        <v>45786.0</v>
      </c>
      <c r="P4" s="10">
        <f t="shared" si="6"/>
        <v>0</v>
      </c>
      <c r="Q4" s="11">
        <v>0.0</v>
      </c>
      <c r="R4" s="11">
        <v>0.0</v>
      </c>
      <c r="T4" s="8" t="s">
        <v>9</v>
      </c>
      <c r="U4" s="13">
        <v>45786.0</v>
      </c>
      <c r="V4" s="10">
        <f t="shared" si="7"/>
        <v>0</v>
      </c>
      <c r="W4" s="11">
        <v>0.0</v>
      </c>
      <c r="X4" s="11">
        <v>0.0</v>
      </c>
    </row>
    <row r="5">
      <c r="B5" s="6" t="str">
        <f t="shared" ref="B5:C5" si="8">H5</f>
        <v>Akyab</v>
      </c>
      <c r="C5" s="12">
        <f t="shared" si="8"/>
        <v>45944</v>
      </c>
      <c r="D5" s="6">
        <f t="shared" ref="D5:F5" si="9">J5+P5+V5</f>
        <v>46921</v>
      </c>
      <c r="E5" s="6">
        <f t="shared" si="9"/>
        <v>25227</v>
      </c>
      <c r="F5" s="6">
        <f t="shared" si="9"/>
        <v>21694</v>
      </c>
      <c r="G5" s="6"/>
      <c r="H5" s="8" t="s">
        <v>9</v>
      </c>
      <c r="I5" s="13">
        <v>45944.0</v>
      </c>
      <c r="J5" s="10">
        <f t="shared" si="5"/>
        <v>46303</v>
      </c>
      <c r="K5" s="11">
        <v>25159.0</v>
      </c>
      <c r="L5" s="11">
        <v>21144.0</v>
      </c>
      <c r="M5" s="5"/>
      <c r="N5" s="8" t="s">
        <v>9</v>
      </c>
      <c r="O5" s="13">
        <v>45944.0</v>
      </c>
      <c r="P5" s="10">
        <f t="shared" si="6"/>
        <v>580</v>
      </c>
      <c r="Q5" s="11">
        <v>59.0</v>
      </c>
      <c r="R5" s="11">
        <v>521.0</v>
      </c>
      <c r="T5" s="8" t="s">
        <v>9</v>
      </c>
      <c r="U5" s="13">
        <v>45944.0</v>
      </c>
      <c r="V5" s="10">
        <f t="shared" si="7"/>
        <v>38</v>
      </c>
      <c r="W5" s="11">
        <v>9.0</v>
      </c>
      <c r="X5" s="11">
        <v>29.0</v>
      </c>
    </row>
    <row r="6">
      <c r="B6" s="6" t="str">
        <f t="shared" ref="B6:C6" si="10">H6</f>
        <v>Akyab</v>
      </c>
      <c r="C6" s="7" t="str">
        <f t="shared" si="10"/>
        <v>15-19</v>
      </c>
      <c r="D6" s="6">
        <f t="shared" ref="D6:F6" si="11">J6+P6+V6</f>
        <v>40311</v>
      </c>
      <c r="E6" s="6">
        <f t="shared" si="11"/>
        <v>21116</v>
      </c>
      <c r="F6" s="6">
        <f t="shared" si="11"/>
        <v>19195</v>
      </c>
      <c r="G6" s="6"/>
      <c r="H6" s="8" t="s">
        <v>9</v>
      </c>
      <c r="I6" s="9" t="s">
        <v>11</v>
      </c>
      <c r="J6" s="10">
        <f t="shared" si="5"/>
        <v>28143</v>
      </c>
      <c r="K6" s="11">
        <v>19306.0</v>
      </c>
      <c r="L6" s="11">
        <v>8837.0</v>
      </c>
      <c r="M6" s="5"/>
      <c r="N6" s="8" t="s">
        <v>9</v>
      </c>
      <c r="O6" s="9" t="s">
        <v>11</v>
      </c>
      <c r="P6" s="10">
        <f t="shared" si="6"/>
        <v>11007</v>
      </c>
      <c r="Q6" s="11">
        <v>1638.0</v>
      </c>
      <c r="R6" s="11">
        <v>9369.0</v>
      </c>
      <c r="T6" s="8" t="s">
        <v>9</v>
      </c>
      <c r="U6" s="8" t="s">
        <v>11</v>
      </c>
      <c r="V6" s="10">
        <f t="shared" si="7"/>
        <v>1161</v>
      </c>
      <c r="W6" s="11">
        <v>172.0</v>
      </c>
      <c r="X6" s="11">
        <v>989.0</v>
      </c>
    </row>
    <row r="7">
      <c r="B7" s="6" t="str">
        <f t="shared" ref="B7:C7" si="12">H7</f>
        <v>Akyab</v>
      </c>
      <c r="C7" s="7" t="str">
        <f t="shared" si="12"/>
        <v>20-24</v>
      </c>
      <c r="D7" s="6">
        <f t="shared" ref="D7:F7" si="13">J7+P7+V7</f>
        <v>38871</v>
      </c>
      <c r="E7" s="6">
        <f t="shared" si="13"/>
        <v>21782</v>
      </c>
      <c r="F7" s="6">
        <f t="shared" si="13"/>
        <v>17089</v>
      </c>
      <c r="G7" s="6"/>
      <c r="H7" s="8" t="s">
        <v>9</v>
      </c>
      <c r="I7" s="9" t="s">
        <v>12</v>
      </c>
      <c r="J7" s="10">
        <f t="shared" si="5"/>
        <v>11316</v>
      </c>
      <c r="K7" s="11">
        <v>9994.0</v>
      </c>
      <c r="L7" s="11">
        <v>1322.0</v>
      </c>
      <c r="M7" s="5"/>
      <c r="N7" s="8" t="s">
        <v>9</v>
      </c>
      <c r="O7" s="9" t="s">
        <v>12</v>
      </c>
      <c r="P7" s="10">
        <f t="shared" si="6"/>
        <v>25026</v>
      </c>
      <c r="Q7" s="11">
        <v>10774.0</v>
      </c>
      <c r="R7" s="11">
        <v>14252.0</v>
      </c>
      <c r="T7" s="8" t="s">
        <v>9</v>
      </c>
      <c r="U7" s="8" t="s">
        <v>12</v>
      </c>
      <c r="V7" s="10">
        <f t="shared" si="7"/>
        <v>2529</v>
      </c>
      <c r="W7" s="11">
        <v>1014.0</v>
      </c>
      <c r="X7" s="11">
        <v>1515.0</v>
      </c>
    </row>
    <row r="8">
      <c r="B8" s="6" t="str">
        <f t="shared" ref="B8:C8" si="14">H8</f>
        <v>Akyab</v>
      </c>
      <c r="C8" s="7" t="str">
        <f t="shared" si="14"/>
        <v>25-29</v>
      </c>
      <c r="D8" s="6">
        <f t="shared" ref="D8:F8" si="15">J8+P8+V8</f>
        <v>39297</v>
      </c>
      <c r="E8" s="6">
        <f t="shared" si="15"/>
        <v>23374</v>
      </c>
      <c r="F8" s="6">
        <f t="shared" si="15"/>
        <v>15923</v>
      </c>
      <c r="G8" s="6"/>
      <c r="H8" s="8" t="s">
        <v>9</v>
      </c>
      <c r="I8" s="9" t="s">
        <v>13</v>
      </c>
      <c r="J8" s="10">
        <f t="shared" si="5"/>
        <v>4157</v>
      </c>
      <c r="K8" s="11">
        <v>3738.0</v>
      </c>
      <c r="L8" s="11">
        <v>419.0</v>
      </c>
      <c r="M8" s="5"/>
      <c r="N8" s="8" t="s">
        <v>9</v>
      </c>
      <c r="O8" s="9" t="s">
        <v>13</v>
      </c>
      <c r="P8" s="10">
        <f t="shared" si="6"/>
        <v>31927</v>
      </c>
      <c r="Q8" s="11">
        <v>17911.0</v>
      </c>
      <c r="R8" s="11">
        <v>14016.0</v>
      </c>
      <c r="T8" s="8" t="s">
        <v>9</v>
      </c>
      <c r="U8" s="8" t="s">
        <v>13</v>
      </c>
      <c r="V8" s="10">
        <f t="shared" si="7"/>
        <v>3213</v>
      </c>
      <c r="W8" s="11">
        <v>1725.0</v>
      </c>
      <c r="X8" s="11">
        <v>1488.0</v>
      </c>
    </row>
    <row r="9">
      <c r="B9" s="6" t="str">
        <f t="shared" ref="B9:C9" si="16">H9</f>
        <v>Akyab</v>
      </c>
      <c r="C9" s="7" t="str">
        <f t="shared" si="16"/>
        <v>30-34</v>
      </c>
      <c r="D9" s="6">
        <f t="shared" ref="D9:F9" si="17">J9+P9+V9</f>
        <v>36012</v>
      </c>
      <c r="E9" s="6">
        <f t="shared" si="17"/>
        <v>22303</v>
      </c>
      <c r="F9" s="6">
        <f t="shared" si="17"/>
        <v>13709</v>
      </c>
      <c r="G9" s="6"/>
      <c r="H9" s="8" t="s">
        <v>9</v>
      </c>
      <c r="I9" s="8" t="s">
        <v>14</v>
      </c>
      <c r="J9" s="10">
        <f t="shared" si="5"/>
        <v>1466</v>
      </c>
      <c r="K9" s="11">
        <v>1276.0</v>
      </c>
      <c r="L9" s="11">
        <v>190.0</v>
      </c>
      <c r="M9" s="5"/>
      <c r="N9" s="8" t="s">
        <v>9</v>
      </c>
      <c r="O9" s="8" t="s">
        <v>14</v>
      </c>
      <c r="P9" s="10">
        <f t="shared" si="6"/>
        <v>31188</v>
      </c>
      <c r="Q9" s="11">
        <v>19305.0</v>
      </c>
      <c r="R9" s="11">
        <v>11883.0</v>
      </c>
      <c r="T9" s="8" t="s">
        <v>9</v>
      </c>
      <c r="U9" s="8" t="s">
        <v>14</v>
      </c>
      <c r="V9" s="10">
        <f t="shared" si="7"/>
        <v>3358</v>
      </c>
      <c r="W9" s="11">
        <v>1722.0</v>
      </c>
      <c r="X9" s="11">
        <v>1636.0</v>
      </c>
    </row>
    <row r="10">
      <c r="B10" s="6" t="str">
        <f t="shared" ref="B10:C10" si="18">H10</f>
        <v>Akyab</v>
      </c>
      <c r="C10" s="7" t="str">
        <f t="shared" si="18"/>
        <v>35-39</v>
      </c>
      <c r="D10" s="6">
        <f t="shared" ref="D10:F10" si="19">J10+P10+V10</f>
        <v>25248</v>
      </c>
      <c r="E10" s="6">
        <f t="shared" si="19"/>
        <v>15830</v>
      </c>
      <c r="F10" s="6">
        <f t="shared" si="19"/>
        <v>9418</v>
      </c>
      <c r="G10" s="6"/>
      <c r="H10" s="8" t="s">
        <v>9</v>
      </c>
      <c r="I10" s="8" t="s">
        <v>15</v>
      </c>
      <c r="J10" s="10">
        <f t="shared" si="5"/>
        <v>605</v>
      </c>
      <c r="K10" s="11">
        <v>527.0</v>
      </c>
      <c r="L10" s="11">
        <v>78.0</v>
      </c>
      <c r="M10" s="5"/>
      <c r="N10" s="8" t="s">
        <v>9</v>
      </c>
      <c r="O10" s="8" t="s">
        <v>15</v>
      </c>
      <c r="P10" s="10">
        <f t="shared" si="6"/>
        <v>21774</v>
      </c>
      <c r="Q10" s="11">
        <v>13760.0</v>
      </c>
      <c r="R10" s="11">
        <v>8014.0</v>
      </c>
      <c r="T10" s="8" t="s">
        <v>9</v>
      </c>
      <c r="U10" s="8" t="s">
        <v>15</v>
      </c>
      <c r="V10" s="10">
        <f t="shared" si="7"/>
        <v>2869</v>
      </c>
      <c r="W10" s="11">
        <v>1543.0</v>
      </c>
      <c r="X10" s="11">
        <v>1326.0</v>
      </c>
    </row>
    <row r="11">
      <c r="B11" s="6" t="str">
        <f t="shared" ref="B11:C11" si="20">H11</f>
        <v>Akyab</v>
      </c>
      <c r="C11" s="7" t="str">
        <f t="shared" si="20"/>
        <v>40-44</v>
      </c>
      <c r="D11" s="6">
        <f t="shared" ref="D11:F11" si="21">J11+P11+V11</f>
        <v>22248</v>
      </c>
      <c r="E11" s="6">
        <f t="shared" si="21"/>
        <v>13240</v>
      </c>
      <c r="F11" s="6">
        <f t="shared" si="21"/>
        <v>9008</v>
      </c>
      <c r="G11" s="6"/>
      <c r="H11" s="8" t="s">
        <v>9</v>
      </c>
      <c r="I11" s="8" t="s">
        <v>16</v>
      </c>
      <c r="J11" s="10">
        <f t="shared" si="5"/>
        <v>401</v>
      </c>
      <c r="K11" s="11">
        <v>328.0</v>
      </c>
      <c r="L11" s="11">
        <v>73.0</v>
      </c>
      <c r="M11" s="5"/>
      <c r="N11" s="8" t="s">
        <v>9</v>
      </c>
      <c r="O11" s="8" t="s">
        <v>16</v>
      </c>
      <c r="P11" s="10">
        <f t="shared" si="6"/>
        <v>18378</v>
      </c>
      <c r="Q11" s="11">
        <v>11483.0</v>
      </c>
      <c r="R11" s="11">
        <v>6895.0</v>
      </c>
      <c r="T11" s="8" t="s">
        <v>9</v>
      </c>
      <c r="U11" s="8" t="s">
        <v>16</v>
      </c>
      <c r="V11" s="10">
        <f t="shared" si="7"/>
        <v>3469</v>
      </c>
      <c r="W11" s="11">
        <v>1429.0</v>
      </c>
      <c r="X11" s="11">
        <v>2040.0</v>
      </c>
    </row>
    <row r="12">
      <c r="B12" s="6" t="str">
        <f t="shared" ref="B12:C12" si="22">H12</f>
        <v>Akyab</v>
      </c>
      <c r="C12" s="7" t="str">
        <f t="shared" si="22"/>
        <v>45-49</v>
      </c>
      <c r="D12" s="6">
        <f t="shared" ref="D12:F12" si="23">J12+P12+V12</f>
        <v>15502</v>
      </c>
      <c r="E12" s="6">
        <f t="shared" si="23"/>
        <v>9116</v>
      </c>
      <c r="F12" s="6">
        <f t="shared" si="23"/>
        <v>6386</v>
      </c>
      <c r="G12" s="6"/>
      <c r="H12" s="8" t="s">
        <v>9</v>
      </c>
      <c r="I12" s="8" t="s">
        <v>17</v>
      </c>
      <c r="J12" s="10">
        <f t="shared" si="5"/>
        <v>227</v>
      </c>
      <c r="K12" s="11">
        <v>184.0</v>
      </c>
      <c r="L12" s="11">
        <v>43.0</v>
      </c>
      <c r="M12" s="5"/>
      <c r="N12" s="8" t="s">
        <v>9</v>
      </c>
      <c r="O12" s="8" t="s">
        <v>17</v>
      </c>
      <c r="P12" s="10">
        <f t="shared" si="6"/>
        <v>12372</v>
      </c>
      <c r="Q12" s="11">
        <v>7841.0</v>
      </c>
      <c r="R12" s="11">
        <v>4531.0</v>
      </c>
      <c r="T12" s="8" t="s">
        <v>9</v>
      </c>
      <c r="U12" s="8" t="s">
        <v>17</v>
      </c>
      <c r="V12" s="10">
        <f t="shared" si="7"/>
        <v>2903</v>
      </c>
      <c r="W12" s="11">
        <v>1091.0</v>
      </c>
      <c r="X12" s="11">
        <v>1812.0</v>
      </c>
    </row>
    <row r="13">
      <c r="B13" s="6" t="str">
        <f t="shared" ref="B13:C13" si="24">H13</f>
        <v>Akyab</v>
      </c>
      <c r="C13" s="7" t="str">
        <f t="shared" si="24"/>
        <v>50-54</v>
      </c>
      <c r="D13" s="6">
        <f t="shared" ref="D13:F13" si="25">J13+P13+V13</f>
        <v>13761</v>
      </c>
      <c r="E13" s="6">
        <f t="shared" si="25"/>
        <v>8532</v>
      </c>
      <c r="F13" s="6">
        <f t="shared" si="25"/>
        <v>5229</v>
      </c>
      <c r="G13" s="6"/>
      <c r="H13" s="8" t="s">
        <v>9</v>
      </c>
      <c r="I13" s="8" t="s">
        <v>18</v>
      </c>
      <c r="J13" s="10">
        <f t="shared" si="5"/>
        <v>246</v>
      </c>
      <c r="K13" s="11">
        <v>179.0</v>
      </c>
      <c r="L13" s="11">
        <v>67.0</v>
      </c>
      <c r="M13" s="5"/>
      <c r="N13" s="8" t="s">
        <v>9</v>
      </c>
      <c r="O13" s="8" t="s">
        <v>18</v>
      </c>
      <c r="P13" s="10">
        <f t="shared" si="6"/>
        <v>11266</v>
      </c>
      <c r="Q13" s="11">
        <v>7233.0</v>
      </c>
      <c r="R13" s="11">
        <v>4033.0</v>
      </c>
      <c r="T13" s="8" t="s">
        <v>9</v>
      </c>
      <c r="U13" s="8" t="s">
        <v>18</v>
      </c>
      <c r="V13" s="10">
        <f t="shared" si="7"/>
        <v>2249</v>
      </c>
      <c r="W13" s="11">
        <v>1120.0</v>
      </c>
      <c r="X13" s="11">
        <v>1129.0</v>
      </c>
    </row>
    <row r="14">
      <c r="B14" s="6" t="str">
        <f t="shared" ref="B14:C14" si="26">H14</f>
        <v>Akyab</v>
      </c>
      <c r="C14" s="7" t="str">
        <f t="shared" si="26"/>
        <v>55-59</v>
      </c>
      <c r="D14" s="6">
        <f t="shared" ref="D14:F14" si="27">J14+P14+V14</f>
        <v>10266</v>
      </c>
      <c r="E14" s="6">
        <f t="shared" si="27"/>
        <v>7216</v>
      </c>
      <c r="F14" s="6">
        <f t="shared" si="27"/>
        <v>3050</v>
      </c>
      <c r="G14" s="6"/>
      <c r="H14" s="8" t="s">
        <v>9</v>
      </c>
      <c r="I14" s="8" t="s">
        <v>19</v>
      </c>
      <c r="J14" s="10">
        <f t="shared" si="5"/>
        <v>123</v>
      </c>
      <c r="K14" s="11">
        <v>81.0</v>
      </c>
      <c r="L14" s="11">
        <v>42.0</v>
      </c>
      <c r="M14" s="5"/>
      <c r="N14" s="8" t="s">
        <v>9</v>
      </c>
      <c r="O14" s="8" t="s">
        <v>19</v>
      </c>
      <c r="P14" s="10">
        <f t="shared" si="6"/>
        <v>6263</v>
      </c>
      <c r="Q14" s="11">
        <v>4110.0</v>
      </c>
      <c r="R14" s="11">
        <v>2153.0</v>
      </c>
      <c r="T14" s="8" t="s">
        <v>9</v>
      </c>
      <c r="U14" s="8" t="s">
        <v>19</v>
      </c>
      <c r="V14" s="10">
        <f t="shared" si="7"/>
        <v>3880</v>
      </c>
      <c r="W14" s="11">
        <v>3025.0</v>
      </c>
      <c r="X14" s="11">
        <v>855.0</v>
      </c>
    </row>
    <row r="15">
      <c r="B15" s="6" t="str">
        <f t="shared" ref="B15:C15" si="28">H15</f>
        <v>Akyab</v>
      </c>
      <c r="C15" s="7" t="str">
        <f t="shared" si="28"/>
        <v>60+</v>
      </c>
      <c r="D15" s="6">
        <f t="shared" ref="D15:F15" si="29">J15+P15+V15</f>
        <v>14000</v>
      </c>
      <c r="E15" s="6">
        <f t="shared" si="29"/>
        <v>9293</v>
      </c>
      <c r="F15" s="6">
        <f t="shared" si="29"/>
        <v>4707</v>
      </c>
      <c r="G15" s="6"/>
      <c r="H15" s="8" t="s">
        <v>9</v>
      </c>
      <c r="I15" s="8" t="s">
        <v>20</v>
      </c>
      <c r="J15" s="10">
        <f t="shared" si="5"/>
        <v>239</v>
      </c>
      <c r="K15" s="11">
        <v>109.0</v>
      </c>
      <c r="L15" s="11">
        <v>130.0</v>
      </c>
      <c r="M15" s="5"/>
      <c r="N15" s="8" t="s">
        <v>9</v>
      </c>
      <c r="O15" s="8" t="s">
        <v>21</v>
      </c>
      <c r="P15" s="10">
        <f t="shared" si="6"/>
        <v>9134</v>
      </c>
      <c r="Q15" s="11">
        <v>7115.0</v>
      </c>
      <c r="R15" s="11">
        <v>2019.0</v>
      </c>
      <c r="T15" s="8" t="s">
        <v>9</v>
      </c>
      <c r="U15" s="8" t="s">
        <v>21</v>
      </c>
      <c r="V15" s="10">
        <f t="shared" si="7"/>
        <v>4627</v>
      </c>
      <c r="W15" s="11">
        <v>2069.0</v>
      </c>
      <c r="X15" s="11">
        <v>2558.0</v>
      </c>
    </row>
    <row r="16">
      <c r="B16" s="6" t="str">
        <f t="shared" ref="B16:C16" si="30">H16</f>
        <v>Amherst</v>
      </c>
      <c r="C16" s="7" t="str">
        <f t="shared" si="30"/>
        <v>0-4</v>
      </c>
      <c r="D16" s="6">
        <f t="shared" ref="D16:F16" si="31">J16+P16+V16</f>
        <v>63228</v>
      </c>
      <c r="E16" s="6">
        <f t="shared" si="31"/>
        <v>31785</v>
      </c>
      <c r="F16" s="6">
        <f t="shared" si="31"/>
        <v>31443</v>
      </c>
      <c r="G16" s="6"/>
      <c r="H16" s="8" t="s">
        <v>22</v>
      </c>
      <c r="I16" s="9" t="s">
        <v>10</v>
      </c>
      <c r="J16" s="10">
        <f t="shared" si="5"/>
        <v>63228</v>
      </c>
      <c r="K16" s="11">
        <v>31785.0</v>
      </c>
      <c r="L16" s="11">
        <v>31443.0</v>
      </c>
      <c r="M16" s="5"/>
      <c r="N16" s="8" t="s">
        <v>22</v>
      </c>
      <c r="O16" s="9" t="s">
        <v>10</v>
      </c>
      <c r="P16" s="10">
        <f t="shared" si="6"/>
        <v>0</v>
      </c>
      <c r="Q16" s="11">
        <v>0.0</v>
      </c>
      <c r="R16" s="11">
        <v>0.0</v>
      </c>
      <c r="T16" s="8" t="s">
        <v>22</v>
      </c>
      <c r="U16" s="9" t="s">
        <v>10</v>
      </c>
      <c r="V16" s="10">
        <f t="shared" si="7"/>
        <v>0</v>
      </c>
      <c r="W16" s="11">
        <v>0.0</v>
      </c>
      <c r="X16" s="11">
        <v>0.0</v>
      </c>
    </row>
    <row r="17">
      <c r="B17" s="6" t="str">
        <f t="shared" ref="B17:C17" si="32">H17</f>
        <v>Amherst</v>
      </c>
      <c r="C17" s="12">
        <f t="shared" si="32"/>
        <v>45786</v>
      </c>
      <c r="D17" s="6">
        <f t="shared" ref="D17:F17" si="33">J17+P17+V17</f>
        <v>60273</v>
      </c>
      <c r="E17" s="6">
        <f t="shared" si="33"/>
        <v>30945</v>
      </c>
      <c r="F17" s="6">
        <f t="shared" si="33"/>
        <v>29328</v>
      </c>
      <c r="G17" s="6"/>
      <c r="H17" s="8" t="s">
        <v>22</v>
      </c>
      <c r="I17" s="13">
        <v>45786.0</v>
      </c>
      <c r="J17" s="10">
        <f t="shared" si="5"/>
        <v>60273</v>
      </c>
      <c r="K17" s="11">
        <v>30945.0</v>
      </c>
      <c r="L17" s="11">
        <v>29328.0</v>
      </c>
      <c r="M17" s="5"/>
      <c r="N17" s="8" t="s">
        <v>22</v>
      </c>
      <c r="O17" s="13">
        <v>45786.0</v>
      </c>
      <c r="P17" s="10">
        <f t="shared" si="6"/>
        <v>0</v>
      </c>
      <c r="Q17" s="11">
        <v>0.0</v>
      </c>
      <c r="R17" s="11">
        <v>0.0</v>
      </c>
      <c r="T17" s="8" t="s">
        <v>22</v>
      </c>
      <c r="U17" s="13">
        <v>45786.0</v>
      </c>
      <c r="V17" s="10">
        <f t="shared" si="7"/>
        <v>0</v>
      </c>
      <c r="W17" s="11">
        <v>0.0</v>
      </c>
      <c r="X17" s="11">
        <v>0.0</v>
      </c>
    </row>
    <row r="18">
      <c r="B18" s="6" t="str">
        <f t="shared" ref="B18:C18" si="34">H18</f>
        <v>Amherst</v>
      </c>
      <c r="C18" s="12">
        <f t="shared" si="34"/>
        <v>45944</v>
      </c>
      <c r="D18" s="6">
        <f t="shared" ref="D18:F18" si="35">J18+P18+V18</f>
        <v>51440</v>
      </c>
      <c r="E18" s="6">
        <f t="shared" si="35"/>
        <v>27475</v>
      </c>
      <c r="F18" s="6">
        <f t="shared" si="35"/>
        <v>23965</v>
      </c>
      <c r="G18" s="6"/>
      <c r="H18" s="8" t="s">
        <v>22</v>
      </c>
      <c r="I18" s="13">
        <v>45944.0</v>
      </c>
      <c r="J18" s="10">
        <f t="shared" si="5"/>
        <v>51264</v>
      </c>
      <c r="K18" s="11">
        <v>27435.0</v>
      </c>
      <c r="L18" s="11">
        <v>23829.0</v>
      </c>
      <c r="M18" s="5"/>
      <c r="N18" s="8" t="s">
        <v>22</v>
      </c>
      <c r="O18" s="13">
        <v>45944.0</v>
      </c>
      <c r="P18" s="10">
        <f t="shared" si="6"/>
        <v>169</v>
      </c>
      <c r="Q18" s="11">
        <v>40.0</v>
      </c>
      <c r="R18" s="11">
        <v>129.0</v>
      </c>
      <c r="T18" s="8" t="s">
        <v>22</v>
      </c>
      <c r="U18" s="13">
        <v>45944.0</v>
      </c>
      <c r="V18" s="10">
        <f t="shared" si="7"/>
        <v>7</v>
      </c>
      <c r="W18" s="11">
        <v>0.0</v>
      </c>
      <c r="X18" s="11">
        <v>7.0</v>
      </c>
    </row>
    <row r="19">
      <c r="B19" s="6" t="str">
        <f t="shared" ref="B19:C19" si="36">H19</f>
        <v>Amherst</v>
      </c>
      <c r="C19" s="7" t="str">
        <f t="shared" si="36"/>
        <v>15-19</v>
      </c>
      <c r="D19" s="6">
        <f t="shared" ref="D19:F19" si="37">J19+P19+V19</f>
        <v>40271</v>
      </c>
      <c r="E19" s="6">
        <f t="shared" si="37"/>
        <v>19750</v>
      </c>
      <c r="F19" s="6">
        <f t="shared" si="37"/>
        <v>20521</v>
      </c>
      <c r="G19" s="6"/>
      <c r="H19" s="8" t="s">
        <v>22</v>
      </c>
      <c r="I19" s="9" t="s">
        <v>11</v>
      </c>
      <c r="J19" s="10">
        <f t="shared" si="5"/>
        <v>34025</v>
      </c>
      <c r="K19" s="11">
        <v>18753.0</v>
      </c>
      <c r="L19" s="11">
        <v>15272.0</v>
      </c>
      <c r="M19" s="5"/>
      <c r="N19" s="8" t="s">
        <v>22</v>
      </c>
      <c r="O19" s="9" t="s">
        <v>11</v>
      </c>
      <c r="P19" s="10">
        <f t="shared" si="6"/>
        <v>5853</v>
      </c>
      <c r="Q19" s="11">
        <v>922.0</v>
      </c>
      <c r="R19" s="11">
        <v>4931.0</v>
      </c>
      <c r="T19" s="8" t="s">
        <v>22</v>
      </c>
      <c r="U19" s="8" t="s">
        <v>11</v>
      </c>
      <c r="V19" s="10">
        <f t="shared" si="7"/>
        <v>393</v>
      </c>
      <c r="W19" s="11">
        <v>75.0</v>
      </c>
      <c r="X19" s="11">
        <v>318.0</v>
      </c>
    </row>
    <row r="20">
      <c r="B20" s="6" t="str">
        <f t="shared" ref="B20:C20" si="38">H20</f>
        <v>Amherst</v>
      </c>
      <c r="C20" s="7" t="str">
        <f t="shared" si="38"/>
        <v>20-24</v>
      </c>
      <c r="D20" s="6">
        <f t="shared" ref="D20:F20" si="39">J20+P20+V20</f>
        <v>36646</v>
      </c>
      <c r="E20" s="6">
        <f t="shared" si="39"/>
        <v>18783</v>
      </c>
      <c r="F20" s="6">
        <f t="shared" si="39"/>
        <v>17863</v>
      </c>
      <c r="G20" s="6"/>
      <c r="H20" s="8" t="s">
        <v>22</v>
      </c>
      <c r="I20" s="9" t="s">
        <v>12</v>
      </c>
      <c r="J20" s="10">
        <f t="shared" si="5"/>
        <v>15174</v>
      </c>
      <c r="K20" s="11">
        <v>10941.0</v>
      </c>
      <c r="L20" s="11">
        <v>4233.0</v>
      </c>
      <c r="M20" s="5"/>
      <c r="N20" s="8" t="s">
        <v>22</v>
      </c>
      <c r="O20" s="9" t="s">
        <v>12</v>
      </c>
      <c r="P20" s="10">
        <f t="shared" si="6"/>
        <v>20190</v>
      </c>
      <c r="Q20" s="11">
        <v>7419.0</v>
      </c>
      <c r="R20" s="11">
        <v>12771.0</v>
      </c>
      <c r="T20" s="8" t="s">
        <v>22</v>
      </c>
      <c r="U20" s="8" t="s">
        <v>12</v>
      </c>
      <c r="V20" s="10">
        <f t="shared" si="7"/>
        <v>1282</v>
      </c>
      <c r="W20" s="11">
        <v>423.0</v>
      </c>
      <c r="X20" s="11">
        <v>859.0</v>
      </c>
    </row>
    <row r="21">
      <c r="B21" s="6" t="str">
        <f t="shared" ref="B21:C21" si="40">H21</f>
        <v>Amherst</v>
      </c>
      <c r="C21" s="7" t="str">
        <f t="shared" si="40"/>
        <v>25-29</v>
      </c>
      <c r="D21" s="6">
        <f t="shared" ref="D21:F21" si="41">J21+P21+V21</f>
        <v>35447</v>
      </c>
      <c r="E21" s="6">
        <f t="shared" si="41"/>
        <v>19616</v>
      </c>
      <c r="F21" s="6">
        <f t="shared" si="41"/>
        <v>15831</v>
      </c>
      <c r="G21" s="6"/>
      <c r="H21" s="8" t="s">
        <v>22</v>
      </c>
      <c r="I21" s="9" t="s">
        <v>13</v>
      </c>
      <c r="J21" s="10">
        <f t="shared" si="5"/>
        <v>7351</v>
      </c>
      <c r="K21" s="11">
        <v>5977.0</v>
      </c>
      <c r="L21" s="11">
        <v>1374.0</v>
      </c>
      <c r="M21" s="5"/>
      <c r="N21" s="8" t="s">
        <v>22</v>
      </c>
      <c r="O21" s="9" t="s">
        <v>13</v>
      </c>
      <c r="P21" s="10">
        <f t="shared" si="6"/>
        <v>26330</v>
      </c>
      <c r="Q21" s="11">
        <v>12837.0</v>
      </c>
      <c r="R21" s="11">
        <v>13493.0</v>
      </c>
      <c r="T21" s="8" t="s">
        <v>22</v>
      </c>
      <c r="U21" s="9" t="s">
        <v>13</v>
      </c>
      <c r="V21" s="10">
        <f t="shared" si="7"/>
        <v>1766</v>
      </c>
      <c r="W21" s="1">
        <v>802.0</v>
      </c>
      <c r="X21" s="11">
        <v>964.0</v>
      </c>
    </row>
    <row r="22">
      <c r="B22" s="6" t="str">
        <f t="shared" ref="B22:C22" si="42">H22</f>
        <v>Amherst</v>
      </c>
      <c r="C22" s="7" t="str">
        <f t="shared" si="42"/>
        <v>30-34</v>
      </c>
      <c r="D22" s="6">
        <f t="shared" ref="D22:F22" si="43">J22+P22+V22</f>
        <v>33012</v>
      </c>
      <c r="E22" s="6">
        <f t="shared" si="43"/>
        <v>19771</v>
      </c>
      <c r="F22" s="6">
        <f t="shared" si="43"/>
        <v>13241</v>
      </c>
      <c r="G22" s="6"/>
      <c r="H22" s="8" t="s">
        <v>22</v>
      </c>
      <c r="I22" s="8" t="s">
        <v>14</v>
      </c>
      <c r="J22" s="10">
        <f t="shared" si="5"/>
        <v>4053</v>
      </c>
      <c r="K22" s="11">
        <v>3449.0</v>
      </c>
      <c r="L22" s="11">
        <v>604.0</v>
      </c>
      <c r="M22" s="5"/>
      <c r="N22" s="8" t="s">
        <v>22</v>
      </c>
      <c r="O22" s="8" t="s">
        <v>14</v>
      </c>
      <c r="P22" s="10">
        <f t="shared" si="6"/>
        <v>26816</v>
      </c>
      <c r="Q22" s="11">
        <v>15238.0</v>
      </c>
      <c r="R22" s="11">
        <v>11578.0</v>
      </c>
      <c r="T22" s="8" t="s">
        <v>22</v>
      </c>
      <c r="U22" s="9" t="s">
        <v>14</v>
      </c>
      <c r="V22" s="10">
        <f t="shared" si="7"/>
        <v>2143</v>
      </c>
      <c r="W22" s="1">
        <v>1084.0</v>
      </c>
      <c r="X22" s="11">
        <v>1059.0</v>
      </c>
    </row>
    <row r="23">
      <c r="B23" s="6" t="str">
        <f t="shared" ref="B23:C23" si="44">H23</f>
        <v>Amherst</v>
      </c>
      <c r="C23" s="7" t="str">
        <f t="shared" si="44"/>
        <v>35-39</v>
      </c>
      <c r="D23" s="6">
        <f t="shared" ref="D23:F23" si="45">J23+P23+V23</f>
        <v>23333</v>
      </c>
      <c r="E23" s="6">
        <f t="shared" si="45"/>
        <v>14242</v>
      </c>
      <c r="F23" s="6">
        <f t="shared" si="45"/>
        <v>9091</v>
      </c>
      <c r="G23" s="6"/>
      <c r="H23" s="8" t="s">
        <v>22</v>
      </c>
      <c r="I23" s="8" t="s">
        <v>15</v>
      </c>
      <c r="J23" s="10">
        <f t="shared" si="5"/>
        <v>1854</v>
      </c>
      <c r="K23" s="11">
        <v>1542.0</v>
      </c>
      <c r="L23" s="11">
        <v>312.0</v>
      </c>
      <c r="M23" s="5"/>
      <c r="N23" s="8" t="s">
        <v>22</v>
      </c>
      <c r="O23" s="8" t="s">
        <v>15</v>
      </c>
      <c r="P23" s="10">
        <f t="shared" si="6"/>
        <v>19712</v>
      </c>
      <c r="Q23" s="11">
        <v>11811.0</v>
      </c>
      <c r="R23" s="11">
        <v>7901.0</v>
      </c>
      <c r="T23" s="8" t="s">
        <v>22</v>
      </c>
      <c r="U23" s="9" t="s">
        <v>15</v>
      </c>
      <c r="V23" s="10">
        <f t="shared" si="7"/>
        <v>1767</v>
      </c>
      <c r="W23" s="1">
        <v>889.0</v>
      </c>
      <c r="X23" s="11">
        <v>878.0</v>
      </c>
    </row>
    <row r="24">
      <c r="B24" s="6" t="str">
        <f t="shared" ref="B24:C24" si="46">H24</f>
        <v>Amherst</v>
      </c>
      <c r="C24" s="7" t="str">
        <f t="shared" si="46"/>
        <v>40-44</v>
      </c>
      <c r="D24" s="6">
        <f t="shared" ref="D24:F24" si="47">J24+P24+V24</f>
        <v>20852</v>
      </c>
      <c r="E24" s="6">
        <f t="shared" si="47"/>
        <v>12104</v>
      </c>
      <c r="F24" s="6">
        <f t="shared" si="47"/>
        <v>8748</v>
      </c>
      <c r="G24" s="6"/>
      <c r="H24" s="8" t="s">
        <v>22</v>
      </c>
      <c r="I24" s="8" t="s">
        <v>16</v>
      </c>
      <c r="J24" s="10">
        <f t="shared" si="5"/>
        <v>1286</v>
      </c>
      <c r="K24" s="11">
        <v>1065.0</v>
      </c>
      <c r="L24" s="11">
        <v>221.0</v>
      </c>
      <c r="M24" s="5"/>
      <c r="N24" s="8" t="s">
        <v>22</v>
      </c>
      <c r="O24" s="8" t="s">
        <v>16</v>
      </c>
      <c r="P24" s="10">
        <f t="shared" si="6"/>
        <v>17069</v>
      </c>
      <c r="Q24" s="11">
        <v>9893.0</v>
      </c>
      <c r="R24" s="11">
        <v>7176.0</v>
      </c>
      <c r="T24" s="8" t="s">
        <v>22</v>
      </c>
      <c r="U24" s="9" t="s">
        <v>16</v>
      </c>
      <c r="V24" s="10">
        <f t="shared" si="7"/>
        <v>2497</v>
      </c>
      <c r="W24" s="1">
        <v>1146.0</v>
      </c>
      <c r="X24" s="11">
        <v>1351.0</v>
      </c>
    </row>
    <row r="25">
      <c r="B25" s="6" t="str">
        <f t="shared" ref="B25:C25" si="48">H25</f>
        <v>Amherst</v>
      </c>
      <c r="C25" s="7" t="str">
        <f t="shared" si="48"/>
        <v>45-49</v>
      </c>
      <c r="D25" s="6">
        <f t="shared" ref="D25:F25" si="49">J25+P25+V25</f>
        <v>13921</v>
      </c>
      <c r="E25" s="6">
        <f t="shared" si="49"/>
        <v>8192</v>
      </c>
      <c r="F25" s="6">
        <f t="shared" si="49"/>
        <v>5729</v>
      </c>
      <c r="G25" s="6"/>
      <c r="H25" s="8" t="s">
        <v>22</v>
      </c>
      <c r="I25" s="8" t="s">
        <v>17</v>
      </c>
      <c r="J25" s="10">
        <f t="shared" si="5"/>
        <v>653</v>
      </c>
      <c r="K25" s="11">
        <v>512.0</v>
      </c>
      <c r="L25" s="11">
        <v>141.0</v>
      </c>
      <c r="M25" s="5"/>
      <c r="N25" s="8" t="s">
        <v>22</v>
      </c>
      <c r="O25" s="8" t="s">
        <v>17</v>
      </c>
      <c r="P25" s="10">
        <f t="shared" si="6"/>
        <v>11282</v>
      </c>
      <c r="Q25" s="11">
        <v>6818.0</v>
      </c>
      <c r="R25" s="11">
        <v>4464.0</v>
      </c>
      <c r="T25" s="8" t="s">
        <v>22</v>
      </c>
      <c r="U25" s="9" t="s">
        <v>17</v>
      </c>
      <c r="V25" s="10">
        <f t="shared" si="7"/>
        <v>1986</v>
      </c>
      <c r="W25" s="1">
        <v>862.0</v>
      </c>
      <c r="X25" s="11">
        <v>1124.0</v>
      </c>
    </row>
    <row r="26">
      <c r="B26" s="6" t="str">
        <f t="shared" ref="B26:C26" si="50">H26</f>
        <v>Amherst</v>
      </c>
      <c r="C26" s="7" t="str">
        <f t="shared" si="50"/>
        <v>50-54</v>
      </c>
      <c r="D26" s="6">
        <f t="shared" ref="D26:F26" si="51">J26+P26+V26</f>
        <v>13070</v>
      </c>
      <c r="E26" s="6">
        <f t="shared" si="51"/>
        <v>7256</v>
      </c>
      <c r="F26" s="6">
        <f t="shared" si="51"/>
        <v>5814</v>
      </c>
      <c r="G26" s="6"/>
      <c r="H26" s="8" t="s">
        <v>22</v>
      </c>
      <c r="I26" s="8" t="s">
        <v>18</v>
      </c>
      <c r="J26" s="10">
        <f t="shared" si="5"/>
        <v>690</v>
      </c>
      <c r="K26" s="11">
        <v>527.0</v>
      </c>
      <c r="L26" s="11">
        <v>163.0</v>
      </c>
      <c r="M26" s="5"/>
      <c r="N26" s="8" t="s">
        <v>22</v>
      </c>
      <c r="O26" s="8" t="s">
        <v>18</v>
      </c>
      <c r="P26" s="10">
        <f t="shared" si="6"/>
        <v>9515</v>
      </c>
      <c r="Q26" s="11">
        <v>5589.0</v>
      </c>
      <c r="R26" s="11">
        <v>3926.0</v>
      </c>
      <c r="T26" s="8" t="s">
        <v>22</v>
      </c>
      <c r="U26" s="9" t="s">
        <v>18</v>
      </c>
      <c r="V26" s="10">
        <f t="shared" si="7"/>
        <v>2865</v>
      </c>
      <c r="W26" s="1">
        <v>1140.0</v>
      </c>
      <c r="X26" s="11">
        <v>1725.0</v>
      </c>
    </row>
    <row r="27">
      <c r="B27" s="6" t="str">
        <f t="shared" ref="B27:C27" si="52">H27</f>
        <v>Amherst</v>
      </c>
      <c r="C27" s="7" t="str">
        <f t="shared" si="52"/>
        <v>55-59</v>
      </c>
      <c r="D27" s="6">
        <f t="shared" ref="D27:F27" si="53">J27+P27+V27</f>
        <v>8124</v>
      </c>
      <c r="E27" s="6">
        <f t="shared" si="53"/>
        <v>4579</v>
      </c>
      <c r="F27" s="6">
        <f t="shared" si="53"/>
        <v>3545</v>
      </c>
      <c r="G27" s="6"/>
      <c r="H27" s="8" t="s">
        <v>22</v>
      </c>
      <c r="I27" s="8" t="s">
        <v>19</v>
      </c>
      <c r="J27" s="10">
        <f t="shared" si="5"/>
        <v>337</v>
      </c>
      <c r="K27" s="11">
        <v>240.0</v>
      </c>
      <c r="L27" s="11">
        <v>97.0</v>
      </c>
      <c r="M27" s="5"/>
      <c r="N27" s="8" t="s">
        <v>22</v>
      </c>
      <c r="O27" s="8" t="s">
        <v>19</v>
      </c>
      <c r="P27" s="10">
        <f t="shared" si="6"/>
        <v>5750</v>
      </c>
      <c r="Q27" s="11">
        <v>3540.0</v>
      </c>
      <c r="R27" s="11">
        <v>2210.0</v>
      </c>
      <c r="T27" s="8" t="s">
        <v>22</v>
      </c>
      <c r="U27" s="9" t="s">
        <v>19</v>
      </c>
      <c r="V27" s="10">
        <f t="shared" si="7"/>
        <v>2037</v>
      </c>
      <c r="W27" s="1">
        <v>799.0</v>
      </c>
      <c r="X27" s="11">
        <v>1238.0</v>
      </c>
    </row>
    <row r="28">
      <c r="B28" s="6" t="str">
        <f t="shared" ref="B28:C28" si="54">H28</f>
        <v>Amherst</v>
      </c>
      <c r="C28" s="7" t="str">
        <f t="shared" si="54"/>
        <v>60+</v>
      </c>
      <c r="D28" s="6">
        <f t="shared" ref="D28:F28" si="55">J28+P28+V28</f>
        <v>17785</v>
      </c>
      <c r="E28" s="6">
        <f t="shared" si="55"/>
        <v>10466</v>
      </c>
      <c r="F28" s="6">
        <f t="shared" si="55"/>
        <v>7319</v>
      </c>
      <c r="G28" s="6"/>
      <c r="H28" s="8" t="s">
        <v>22</v>
      </c>
      <c r="I28" s="8" t="s">
        <v>20</v>
      </c>
      <c r="J28" s="10">
        <f t="shared" si="5"/>
        <v>773</v>
      </c>
      <c r="K28" s="11">
        <v>548.0</v>
      </c>
      <c r="L28" s="11">
        <v>225.0</v>
      </c>
      <c r="M28" s="5"/>
      <c r="N28" s="8" t="s">
        <v>22</v>
      </c>
      <c r="O28" s="8" t="s">
        <v>21</v>
      </c>
      <c r="P28" s="10">
        <f t="shared" si="6"/>
        <v>9643</v>
      </c>
      <c r="Q28" s="11">
        <v>6924.0</v>
      </c>
      <c r="R28" s="11">
        <v>2719.0</v>
      </c>
      <c r="T28" s="8" t="s">
        <v>22</v>
      </c>
      <c r="U28" s="1" t="s">
        <v>21</v>
      </c>
      <c r="V28" s="10">
        <f t="shared" si="7"/>
        <v>7369</v>
      </c>
      <c r="W28" s="1">
        <v>2994.0</v>
      </c>
      <c r="X28" s="11">
        <v>4375.0</v>
      </c>
    </row>
    <row r="29">
      <c r="B29" s="6" t="str">
        <f t="shared" ref="B29:C29" si="56">H29</f>
        <v>Bassein</v>
      </c>
      <c r="C29" s="7" t="str">
        <f t="shared" si="56"/>
        <v>0-4</v>
      </c>
      <c r="D29" s="6">
        <f t="shared" ref="D29:F29" si="57">J29+P29+V29</f>
        <v>72001</v>
      </c>
      <c r="E29" s="6">
        <f t="shared" si="57"/>
        <v>35638</v>
      </c>
      <c r="F29" s="6">
        <f t="shared" si="57"/>
        <v>36363</v>
      </c>
      <c r="G29" s="6"/>
      <c r="H29" s="8" t="s">
        <v>23</v>
      </c>
      <c r="I29" s="9" t="s">
        <v>10</v>
      </c>
      <c r="J29" s="10">
        <f t="shared" si="5"/>
        <v>72001</v>
      </c>
      <c r="K29" s="11">
        <v>35638.0</v>
      </c>
      <c r="L29" s="11">
        <v>36363.0</v>
      </c>
      <c r="M29" s="5"/>
      <c r="N29" s="8" t="s">
        <v>23</v>
      </c>
      <c r="O29" s="9" t="s">
        <v>10</v>
      </c>
      <c r="P29" s="10">
        <f t="shared" si="6"/>
        <v>0</v>
      </c>
      <c r="Q29" s="11">
        <v>0.0</v>
      </c>
      <c r="R29" s="11">
        <v>0.0</v>
      </c>
      <c r="T29" s="8" t="s">
        <v>23</v>
      </c>
      <c r="U29" s="9" t="s">
        <v>10</v>
      </c>
      <c r="V29" s="10">
        <f t="shared" si="7"/>
        <v>0</v>
      </c>
      <c r="W29" s="11">
        <v>0.0</v>
      </c>
      <c r="X29" s="11">
        <v>0.0</v>
      </c>
    </row>
    <row r="30">
      <c r="B30" s="6" t="str">
        <f t="shared" ref="B30:C30" si="58">H30</f>
        <v>Bassein</v>
      </c>
      <c r="C30" s="12">
        <f t="shared" si="58"/>
        <v>45786</v>
      </c>
      <c r="D30" s="6">
        <f t="shared" ref="D30:F30" si="59">J30+P30+V30</f>
        <v>63743</v>
      </c>
      <c r="E30" s="6">
        <f t="shared" si="59"/>
        <v>32187</v>
      </c>
      <c r="F30" s="6">
        <f t="shared" si="59"/>
        <v>31556</v>
      </c>
      <c r="G30" s="6"/>
      <c r="H30" s="8" t="s">
        <v>23</v>
      </c>
      <c r="I30" s="13">
        <v>45786.0</v>
      </c>
      <c r="J30" s="10">
        <f t="shared" si="5"/>
        <v>63743</v>
      </c>
      <c r="K30" s="11">
        <v>32187.0</v>
      </c>
      <c r="L30" s="11">
        <v>31556.0</v>
      </c>
      <c r="M30" s="5"/>
      <c r="N30" s="8" t="s">
        <v>23</v>
      </c>
      <c r="O30" s="13">
        <v>45786.0</v>
      </c>
      <c r="P30" s="10">
        <f t="shared" si="6"/>
        <v>0</v>
      </c>
      <c r="Q30" s="11">
        <v>0.0</v>
      </c>
      <c r="R30" s="11">
        <v>0.0</v>
      </c>
      <c r="T30" s="8" t="s">
        <v>23</v>
      </c>
      <c r="U30" s="13">
        <v>45786.0</v>
      </c>
      <c r="V30" s="10">
        <f t="shared" si="7"/>
        <v>0</v>
      </c>
      <c r="W30" s="11">
        <v>0.0</v>
      </c>
      <c r="X30" s="11">
        <v>0.0</v>
      </c>
    </row>
    <row r="31">
      <c r="B31" s="6" t="str">
        <f t="shared" ref="B31:C31" si="60">H31</f>
        <v>Bassein</v>
      </c>
      <c r="C31" s="12">
        <f t="shared" si="60"/>
        <v>45944</v>
      </c>
      <c r="D31" s="6">
        <f t="shared" ref="D31:F31" si="61">J31+P31+V31</f>
        <v>58490</v>
      </c>
      <c r="E31" s="6">
        <f t="shared" si="61"/>
        <v>31369</v>
      </c>
      <c r="F31" s="6">
        <f t="shared" si="61"/>
        <v>27121</v>
      </c>
      <c r="G31" s="6"/>
      <c r="H31" s="8" t="s">
        <v>23</v>
      </c>
      <c r="I31" s="13">
        <v>45944.0</v>
      </c>
      <c r="J31" s="10">
        <f t="shared" si="5"/>
        <v>58358</v>
      </c>
      <c r="K31" s="11">
        <v>31321.0</v>
      </c>
      <c r="L31" s="11">
        <v>27037.0</v>
      </c>
      <c r="M31" s="5"/>
      <c r="N31" s="8" t="s">
        <v>23</v>
      </c>
      <c r="O31" s="13">
        <v>45944.0</v>
      </c>
      <c r="P31" s="10">
        <f t="shared" si="6"/>
        <v>122</v>
      </c>
      <c r="Q31" s="11">
        <v>46.0</v>
      </c>
      <c r="R31" s="11">
        <v>76.0</v>
      </c>
      <c r="T31" s="8" t="s">
        <v>23</v>
      </c>
      <c r="U31" s="13">
        <v>45944.0</v>
      </c>
      <c r="V31" s="10">
        <f t="shared" si="7"/>
        <v>10</v>
      </c>
      <c r="W31" s="11">
        <v>2.0</v>
      </c>
      <c r="X31" s="11">
        <v>8.0</v>
      </c>
    </row>
    <row r="32">
      <c r="B32" s="6" t="str">
        <f t="shared" ref="B32:C32" si="62">H32</f>
        <v>Bassein</v>
      </c>
      <c r="C32" s="7" t="str">
        <f t="shared" si="62"/>
        <v>15-19</v>
      </c>
      <c r="D32" s="6">
        <f t="shared" ref="D32:F32" si="63">J32+P32+V32</f>
        <v>47447</v>
      </c>
      <c r="E32" s="6">
        <f t="shared" si="63"/>
        <v>22303</v>
      </c>
      <c r="F32" s="6">
        <f t="shared" si="63"/>
        <v>25144</v>
      </c>
      <c r="G32" s="6"/>
      <c r="H32" s="8" t="s">
        <v>23</v>
      </c>
      <c r="I32" s="9" t="s">
        <v>11</v>
      </c>
      <c r="J32" s="10">
        <f t="shared" si="5"/>
        <v>38987</v>
      </c>
      <c r="K32" s="11">
        <v>20675.0</v>
      </c>
      <c r="L32" s="11">
        <v>18312.0</v>
      </c>
      <c r="M32" s="5"/>
      <c r="N32" s="8" t="s">
        <v>23</v>
      </c>
      <c r="O32" s="9" t="s">
        <v>11</v>
      </c>
      <c r="P32" s="10">
        <f t="shared" si="6"/>
        <v>7997</v>
      </c>
      <c r="Q32" s="11">
        <v>1522.0</v>
      </c>
      <c r="R32" s="11">
        <v>6475.0</v>
      </c>
      <c r="T32" s="8" t="s">
        <v>23</v>
      </c>
      <c r="U32" s="8" t="s">
        <v>11</v>
      </c>
      <c r="V32" s="10">
        <f t="shared" si="7"/>
        <v>463</v>
      </c>
      <c r="W32" s="11">
        <v>106.0</v>
      </c>
      <c r="X32" s="11">
        <v>357.0</v>
      </c>
    </row>
    <row r="33">
      <c r="B33" s="6" t="str">
        <f t="shared" ref="B33:C33" si="64">H33</f>
        <v>Bassein</v>
      </c>
      <c r="C33" s="7" t="str">
        <f t="shared" si="64"/>
        <v>20-24</v>
      </c>
      <c r="D33" s="6">
        <f t="shared" ref="D33:F33" si="65">J33+P33+V33</f>
        <v>44384</v>
      </c>
      <c r="E33" s="6">
        <f t="shared" si="65"/>
        <v>22027</v>
      </c>
      <c r="F33" s="6">
        <f t="shared" si="65"/>
        <v>22357</v>
      </c>
      <c r="G33" s="6"/>
      <c r="H33" s="8" t="s">
        <v>23</v>
      </c>
      <c r="I33" s="9" t="s">
        <v>12</v>
      </c>
      <c r="J33" s="10">
        <f t="shared" si="5"/>
        <v>15693</v>
      </c>
      <c r="K33" s="11">
        <v>10553.0</v>
      </c>
      <c r="L33" s="11">
        <v>5140.0</v>
      </c>
      <c r="M33" s="5"/>
      <c r="N33" s="8" t="s">
        <v>23</v>
      </c>
      <c r="O33" s="9" t="s">
        <v>12</v>
      </c>
      <c r="P33" s="10">
        <f t="shared" si="6"/>
        <v>27236</v>
      </c>
      <c r="Q33" s="11">
        <v>11004.0</v>
      </c>
      <c r="R33" s="11">
        <v>16232.0</v>
      </c>
      <c r="T33" s="8" t="s">
        <v>23</v>
      </c>
      <c r="U33" s="8" t="s">
        <v>12</v>
      </c>
      <c r="V33" s="10">
        <f t="shared" si="7"/>
        <v>1455</v>
      </c>
      <c r="W33" s="11">
        <v>470.0</v>
      </c>
      <c r="X33" s="11">
        <v>985.0</v>
      </c>
    </row>
    <row r="34">
      <c r="B34" s="6" t="str">
        <f t="shared" ref="B34:C34" si="66">H34</f>
        <v>Bassein</v>
      </c>
      <c r="C34" s="7" t="str">
        <f t="shared" si="66"/>
        <v>25-29</v>
      </c>
      <c r="D34" s="6">
        <f t="shared" ref="D34:F34" si="67">J34+P34+V34</f>
        <v>39879</v>
      </c>
      <c r="E34" s="6">
        <f t="shared" si="67"/>
        <v>21187</v>
      </c>
      <c r="F34" s="6">
        <f t="shared" si="67"/>
        <v>18692</v>
      </c>
      <c r="G34" s="6"/>
      <c r="H34" s="8" t="s">
        <v>23</v>
      </c>
      <c r="I34" s="9" t="s">
        <v>13</v>
      </c>
      <c r="J34" s="10">
        <f t="shared" si="5"/>
        <v>6020</v>
      </c>
      <c r="K34" s="11">
        <v>4332.0</v>
      </c>
      <c r="L34" s="11">
        <v>1688.0</v>
      </c>
      <c r="M34" s="5"/>
      <c r="N34" s="8" t="s">
        <v>23</v>
      </c>
      <c r="O34" s="9" t="s">
        <v>13</v>
      </c>
      <c r="P34" s="10">
        <f t="shared" si="6"/>
        <v>32057</v>
      </c>
      <c r="Q34" s="11">
        <v>16078.0</v>
      </c>
      <c r="R34" s="11">
        <v>15979.0</v>
      </c>
      <c r="T34" s="8" t="s">
        <v>23</v>
      </c>
      <c r="U34" s="9" t="s">
        <v>13</v>
      </c>
      <c r="V34" s="10">
        <f t="shared" si="7"/>
        <v>1802</v>
      </c>
      <c r="W34" s="1">
        <v>777.0</v>
      </c>
      <c r="X34" s="11">
        <v>1025.0</v>
      </c>
    </row>
    <row r="35">
      <c r="B35" s="6" t="str">
        <f t="shared" ref="B35:C35" si="68">H35</f>
        <v>Bassein</v>
      </c>
      <c r="C35" s="7" t="str">
        <f t="shared" si="68"/>
        <v>30-34</v>
      </c>
      <c r="D35" s="6">
        <f t="shared" ref="D35:F35" si="69">J35+P35+V35</f>
        <v>34436</v>
      </c>
      <c r="E35" s="6">
        <f t="shared" si="69"/>
        <v>19436</v>
      </c>
      <c r="F35" s="6">
        <f t="shared" si="69"/>
        <v>15000</v>
      </c>
      <c r="G35" s="6"/>
      <c r="H35" s="8" t="s">
        <v>23</v>
      </c>
      <c r="I35" s="8" t="s">
        <v>14</v>
      </c>
      <c r="J35" s="10">
        <f t="shared" si="5"/>
        <v>2628</v>
      </c>
      <c r="K35" s="11">
        <v>1937.0</v>
      </c>
      <c r="L35" s="11">
        <v>691.0</v>
      </c>
      <c r="M35" s="5"/>
      <c r="N35" s="8" t="s">
        <v>23</v>
      </c>
      <c r="O35" s="8" t="s">
        <v>14</v>
      </c>
      <c r="P35" s="10">
        <f t="shared" si="6"/>
        <v>29699</v>
      </c>
      <c r="Q35" s="11">
        <v>16521.0</v>
      </c>
      <c r="R35" s="11">
        <v>13178.0</v>
      </c>
      <c r="T35" s="8" t="s">
        <v>23</v>
      </c>
      <c r="U35" s="9" t="s">
        <v>14</v>
      </c>
      <c r="V35" s="10">
        <f t="shared" si="7"/>
        <v>2109</v>
      </c>
      <c r="W35" s="1">
        <v>978.0</v>
      </c>
      <c r="X35" s="11">
        <v>1131.0</v>
      </c>
    </row>
    <row r="36">
      <c r="B36" s="6" t="str">
        <f t="shared" ref="B36:C36" si="70">H36</f>
        <v>Bassein</v>
      </c>
      <c r="C36" s="7" t="str">
        <f t="shared" si="70"/>
        <v>35-39</v>
      </c>
      <c r="D36" s="6">
        <f t="shared" ref="D36:F36" si="71">J36+P36+V36</f>
        <v>24002</v>
      </c>
      <c r="E36" s="6">
        <f t="shared" si="71"/>
        <v>13736</v>
      </c>
      <c r="F36" s="6">
        <f t="shared" si="71"/>
        <v>10266</v>
      </c>
      <c r="G36" s="6"/>
      <c r="H36" s="8" t="s">
        <v>23</v>
      </c>
      <c r="I36" s="8" t="s">
        <v>15</v>
      </c>
      <c r="J36" s="10">
        <f t="shared" si="5"/>
        <v>1215</v>
      </c>
      <c r="K36" s="11">
        <v>916.0</v>
      </c>
      <c r="L36" s="11">
        <v>299.0</v>
      </c>
      <c r="M36" s="5"/>
      <c r="N36" s="8" t="s">
        <v>23</v>
      </c>
      <c r="O36" s="8" t="s">
        <v>15</v>
      </c>
      <c r="P36" s="10">
        <f t="shared" si="6"/>
        <v>21069</v>
      </c>
      <c r="Q36" s="11">
        <v>11990.0</v>
      </c>
      <c r="R36" s="11">
        <v>9079.0</v>
      </c>
      <c r="T36" s="8" t="s">
        <v>23</v>
      </c>
      <c r="U36" s="9" t="s">
        <v>15</v>
      </c>
      <c r="V36" s="10">
        <f t="shared" si="7"/>
        <v>1718</v>
      </c>
      <c r="W36" s="1">
        <v>830.0</v>
      </c>
      <c r="X36" s="11">
        <v>888.0</v>
      </c>
    </row>
    <row r="37">
      <c r="B37" s="6" t="str">
        <f t="shared" ref="B37:C37" si="72">H37</f>
        <v>Bassein</v>
      </c>
      <c r="C37" s="7" t="str">
        <f t="shared" si="72"/>
        <v>40-44</v>
      </c>
      <c r="D37" s="6">
        <f t="shared" ref="D37:F37" si="73">J37+P37+V37</f>
        <v>23198</v>
      </c>
      <c r="E37" s="6">
        <f t="shared" si="73"/>
        <v>12385</v>
      </c>
      <c r="F37" s="6">
        <f t="shared" si="73"/>
        <v>10813</v>
      </c>
      <c r="G37" s="6"/>
      <c r="H37" s="8" t="s">
        <v>23</v>
      </c>
      <c r="I37" s="8" t="s">
        <v>16</v>
      </c>
      <c r="J37" s="10">
        <f t="shared" si="5"/>
        <v>808</v>
      </c>
      <c r="K37" s="11">
        <v>555.0</v>
      </c>
      <c r="L37" s="11">
        <v>253.0</v>
      </c>
      <c r="M37" s="5"/>
      <c r="N37" s="8" t="s">
        <v>23</v>
      </c>
      <c r="O37" s="8" t="s">
        <v>16</v>
      </c>
      <c r="P37" s="10">
        <f t="shared" si="6"/>
        <v>19892</v>
      </c>
      <c r="Q37" s="11">
        <v>10849.0</v>
      </c>
      <c r="R37" s="11">
        <v>9043.0</v>
      </c>
      <c r="T37" s="8" t="s">
        <v>23</v>
      </c>
      <c r="U37" s="9" t="s">
        <v>16</v>
      </c>
      <c r="V37" s="10">
        <f t="shared" si="7"/>
        <v>2498</v>
      </c>
      <c r="W37" s="1">
        <v>981.0</v>
      </c>
      <c r="X37" s="11">
        <v>1517.0</v>
      </c>
    </row>
    <row r="38">
      <c r="B38" s="6" t="str">
        <f t="shared" ref="B38:C38" si="74">H38</f>
        <v>Bassein</v>
      </c>
      <c r="C38" s="7" t="str">
        <f t="shared" si="74"/>
        <v>45-49</v>
      </c>
      <c r="D38" s="6">
        <f t="shared" ref="D38:F38" si="75">J38+P38+V38</f>
        <v>15790</v>
      </c>
      <c r="E38" s="6">
        <f t="shared" si="75"/>
        <v>8557</v>
      </c>
      <c r="F38" s="6">
        <f t="shared" si="75"/>
        <v>7233</v>
      </c>
      <c r="G38" s="6"/>
      <c r="H38" s="8" t="s">
        <v>23</v>
      </c>
      <c r="I38" s="8" t="s">
        <v>17</v>
      </c>
      <c r="J38" s="10">
        <f t="shared" si="5"/>
        <v>389</v>
      </c>
      <c r="K38" s="11">
        <v>252.0</v>
      </c>
      <c r="L38" s="11">
        <v>137.0</v>
      </c>
      <c r="M38" s="5"/>
      <c r="N38" s="8" t="s">
        <v>23</v>
      </c>
      <c r="O38" s="8" t="s">
        <v>17</v>
      </c>
      <c r="P38" s="10">
        <f t="shared" si="6"/>
        <v>13205</v>
      </c>
      <c r="Q38" s="11">
        <v>7512.0</v>
      </c>
      <c r="R38" s="11">
        <v>5693.0</v>
      </c>
      <c r="T38" s="8" t="s">
        <v>23</v>
      </c>
      <c r="U38" s="9" t="s">
        <v>17</v>
      </c>
      <c r="V38" s="10">
        <f t="shared" si="7"/>
        <v>2196</v>
      </c>
      <c r="W38" s="1">
        <v>793.0</v>
      </c>
      <c r="X38" s="11">
        <v>1403.0</v>
      </c>
    </row>
    <row r="39">
      <c r="B39" s="6" t="str">
        <f t="shared" ref="B39:C39" si="76">H39</f>
        <v>Bassein</v>
      </c>
      <c r="C39" s="7" t="str">
        <f t="shared" si="76"/>
        <v>50-54</v>
      </c>
      <c r="D39" s="6">
        <f t="shared" ref="D39:F39" si="77">J39+P39+V39</f>
        <v>17775</v>
      </c>
      <c r="E39" s="6">
        <f t="shared" si="77"/>
        <v>9017</v>
      </c>
      <c r="F39" s="6">
        <f t="shared" si="77"/>
        <v>8758</v>
      </c>
      <c r="G39" s="6"/>
      <c r="H39" s="8" t="s">
        <v>23</v>
      </c>
      <c r="I39" s="8" t="s">
        <v>18</v>
      </c>
      <c r="J39" s="10">
        <f t="shared" si="5"/>
        <v>463</v>
      </c>
      <c r="K39" s="11">
        <v>282.0</v>
      </c>
      <c r="L39" s="11">
        <v>181.0</v>
      </c>
      <c r="M39" s="5"/>
      <c r="N39" s="8" t="s">
        <v>23</v>
      </c>
      <c r="O39" s="8" t="s">
        <v>18</v>
      </c>
      <c r="P39" s="10">
        <f t="shared" si="6"/>
        <v>13720</v>
      </c>
      <c r="Q39" s="11">
        <v>7643.0</v>
      </c>
      <c r="R39" s="11">
        <v>6077.0</v>
      </c>
      <c r="T39" s="8" t="s">
        <v>23</v>
      </c>
      <c r="U39" s="9" t="s">
        <v>18</v>
      </c>
      <c r="V39" s="10">
        <f t="shared" si="7"/>
        <v>3592</v>
      </c>
      <c r="W39" s="1">
        <v>1092.0</v>
      </c>
      <c r="X39" s="11">
        <v>2500.0</v>
      </c>
    </row>
    <row r="40">
      <c r="B40" s="6" t="str">
        <f t="shared" ref="B40:C40" si="78">H40</f>
        <v>Bassein</v>
      </c>
      <c r="C40" s="7" t="str">
        <f t="shared" si="78"/>
        <v>55-59</v>
      </c>
      <c r="D40" s="6">
        <f t="shared" ref="D40:F40" si="79">J40+P40+V40</f>
        <v>9492</v>
      </c>
      <c r="E40" s="6">
        <f t="shared" si="79"/>
        <v>4935</v>
      </c>
      <c r="F40" s="6">
        <f t="shared" si="79"/>
        <v>4557</v>
      </c>
      <c r="G40" s="6"/>
      <c r="H40" s="8" t="s">
        <v>23</v>
      </c>
      <c r="I40" s="8" t="s">
        <v>19</v>
      </c>
      <c r="J40" s="10">
        <f t="shared" si="5"/>
        <v>258</v>
      </c>
      <c r="K40" s="11">
        <v>175.0</v>
      </c>
      <c r="L40" s="11">
        <v>83.0</v>
      </c>
      <c r="M40" s="5"/>
      <c r="N40" s="8" t="s">
        <v>23</v>
      </c>
      <c r="O40" s="8" t="s">
        <v>19</v>
      </c>
      <c r="P40" s="10">
        <f t="shared" si="6"/>
        <v>6932</v>
      </c>
      <c r="Q40" s="11">
        <v>4057.0</v>
      </c>
      <c r="R40" s="11">
        <v>2875.0</v>
      </c>
      <c r="T40" s="8" t="s">
        <v>23</v>
      </c>
      <c r="U40" s="9" t="s">
        <v>19</v>
      </c>
      <c r="V40" s="10">
        <f t="shared" si="7"/>
        <v>2302</v>
      </c>
      <c r="W40" s="1">
        <v>703.0</v>
      </c>
      <c r="X40" s="11">
        <v>1599.0</v>
      </c>
    </row>
    <row r="41">
      <c r="B41" s="6" t="str">
        <f t="shared" ref="B41:C41" si="80">H41</f>
        <v>Bassein</v>
      </c>
      <c r="C41" s="7" t="str">
        <f t="shared" si="80"/>
        <v>60+</v>
      </c>
      <c r="D41" s="6">
        <f t="shared" ref="D41:F41" si="81">J41+P41+V41</f>
        <v>23850</v>
      </c>
      <c r="E41" s="6">
        <f t="shared" si="81"/>
        <v>12203</v>
      </c>
      <c r="F41" s="6">
        <f t="shared" si="81"/>
        <v>11647</v>
      </c>
      <c r="G41" s="6"/>
      <c r="H41" s="8" t="s">
        <v>23</v>
      </c>
      <c r="I41" s="8" t="s">
        <v>20</v>
      </c>
      <c r="J41" s="10">
        <f t="shared" si="5"/>
        <v>581</v>
      </c>
      <c r="K41" s="11">
        <v>325.0</v>
      </c>
      <c r="L41" s="11">
        <v>256.0</v>
      </c>
      <c r="M41" s="5"/>
      <c r="N41" s="8" t="s">
        <v>23</v>
      </c>
      <c r="O41" s="8" t="s">
        <v>21</v>
      </c>
      <c r="P41" s="10">
        <f t="shared" si="6"/>
        <v>13211</v>
      </c>
      <c r="Q41" s="11">
        <v>8878.0</v>
      </c>
      <c r="R41" s="11">
        <v>4333.0</v>
      </c>
      <c r="T41" s="8" t="s">
        <v>23</v>
      </c>
      <c r="U41" s="1" t="s">
        <v>21</v>
      </c>
      <c r="V41" s="10">
        <f t="shared" si="7"/>
        <v>10058</v>
      </c>
      <c r="W41" s="1">
        <v>3000.0</v>
      </c>
      <c r="X41" s="11">
        <v>7058.0</v>
      </c>
    </row>
    <row r="42">
      <c r="B42" s="6" t="str">
        <f t="shared" ref="B42:C42" si="82">H42</f>
        <v>Bhamo</v>
      </c>
      <c r="C42" s="7" t="str">
        <f t="shared" si="82"/>
        <v>0-4</v>
      </c>
      <c r="D42" s="6">
        <f t="shared" ref="D42:F42" si="83">J42+P42+V42</f>
        <v>6534</v>
      </c>
      <c r="E42" s="6">
        <f t="shared" si="83"/>
        <v>3212</v>
      </c>
      <c r="F42" s="6">
        <f t="shared" si="83"/>
        <v>3322</v>
      </c>
      <c r="G42" s="6"/>
      <c r="H42" s="8" t="s">
        <v>24</v>
      </c>
      <c r="I42" s="9" t="s">
        <v>10</v>
      </c>
      <c r="J42" s="10">
        <f t="shared" si="5"/>
        <v>6534</v>
      </c>
      <c r="K42" s="11">
        <v>3212.0</v>
      </c>
      <c r="L42" s="11">
        <v>3322.0</v>
      </c>
      <c r="M42" s="5"/>
      <c r="N42" s="8" t="s">
        <v>24</v>
      </c>
      <c r="O42" s="9" t="s">
        <v>10</v>
      </c>
      <c r="P42" s="10">
        <f t="shared" si="6"/>
        <v>0</v>
      </c>
      <c r="Q42" s="11">
        <v>0.0</v>
      </c>
      <c r="R42" s="11">
        <v>0.0</v>
      </c>
      <c r="T42" s="8" t="s">
        <v>24</v>
      </c>
      <c r="U42" s="9" t="s">
        <v>10</v>
      </c>
      <c r="V42" s="10">
        <f t="shared" si="7"/>
        <v>0</v>
      </c>
      <c r="W42" s="11">
        <v>0.0</v>
      </c>
      <c r="X42" s="11">
        <v>0.0</v>
      </c>
    </row>
    <row r="43">
      <c r="B43" s="6" t="str">
        <f t="shared" ref="B43:C43" si="84">H43</f>
        <v>Bhamo</v>
      </c>
      <c r="C43" s="12">
        <f t="shared" si="84"/>
        <v>45786</v>
      </c>
      <c r="D43" s="6">
        <f t="shared" ref="D43:F43" si="85">J43+P43+V43</f>
        <v>5236</v>
      </c>
      <c r="E43" s="6">
        <f t="shared" si="85"/>
        <v>2597</v>
      </c>
      <c r="F43" s="6">
        <f t="shared" si="85"/>
        <v>2639</v>
      </c>
      <c r="G43" s="6"/>
      <c r="H43" s="8" t="s">
        <v>24</v>
      </c>
      <c r="I43" s="13">
        <v>45786.0</v>
      </c>
      <c r="J43" s="10">
        <f t="shared" si="5"/>
        <v>5236</v>
      </c>
      <c r="K43" s="11">
        <v>2597.0</v>
      </c>
      <c r="L43" s="11">
        <v>2639.0</v>
      </c>
      <c r="M43" s="5"/>
      <c r="N43" s="8" t="s">
        <v>24</v>
      </c>
      <c r="O43" s="13">
        <v>45786.0</v>
      </c>
      <c r="P43" s="10">
        <f t="shared" si="6"/>
        <v>0</v>
      </c>
      <c r="Q43" s="11">
        <v>0.0</v>
      </c>
      <c r="R43" s="11">
        <v>0.0</v>
      </c>
      <c r="T43" s="8" t="s">
        <v>24</v>
      </c>
      <c r="U43" s="13">
        <v>45786.0</v>
      </c>
      <c r="V43" s="10">
        <f t="shared" si="7"/>
        <v>0</v>
      </c>
      <c r="W43" s="11">
        <v>0.0</v>
      </c>
      <c r="X43" s="11">
        <v>0.0</v>
      </c>
    </row>
    <row r="44">
      <c r="B44" s="6" t="str">
        <f t="shared" ref="B44:C44" si="86">H44</f>
        <v>Bhamo</v>
      </c>
      <c r="C44" s="12">
        <f t="shared" si="86"/>
        <v>45944</v>
      </c>
      <c r="D44" s="6">
        <f t="shared" ref="D44:F44" si="87">J44+P44+V44</f>
        <v>4543</v>
      </c>
      <c r="E44" s="6">
        <f t="shared" si="87"/>
        <v>2305</v>
      </c>
      <c r="F44" s="6">
        <f t="shared" si="87"/>
        <v>2238</v>
      </c>
      <c r="G44" s="6"/>
      <c r="H44" s="8" t="s">
        <v>24</v>
      </c>
      <c r="I44" s="13">
        <v>45944.0</v>
      </c>
      <c r="J44" s="10">
        <f t="shared" si="5"/>
        <v>4526</v>
      </c>
      <c r="K44" s="11">
        <v>2298.0</v>
      </c>
      <c r="L44" s="11">
        <v>2228.0</v>
      </c>
      <c r="M44" s="5"/>
      <c r="N44" s="8" t="s">
        <v>24</v>
      </c>
      <c r="O44" s="13">
        <v>45944.0</v>
      </c>
      <c r="P44" s="10">
        <f t="shared" si="6"/>
        <v>17</v>
      </c>
      <c r="Q44" s="11">
        <v>7.0</v>
      </c>
      <c r="R44" s="11">
        <v>10.0</v>
      </c>
      <c r="T44" s="8" t="s">
        <v>24</v>
      </c>
      <c r="U44" s="13">
        <v>45944.0</v>
      </c>
      <c r="V44" s="10">
        <f t="shared" si="7"/>
        <v>0</v>
      </c>
      <c r="W44" s="11">
        <v>0.0</v>
      </c>
      <c r="X44" s="11">
        <v>0.0</v>
      </c>
    </row>
    <row r="45">
      <c r="B45" s="6" t="str">
        <f t="shared" ref="B45:C45" si="88">H45</f>
        <v>Bhamo</v>
      </c>
      <c r="C45" s="7" t="str">
        <f t="shared" si="88"/>
        <v>15-19</v>
      </c>
      <c r="D45" s="6">
        <f t="shared" ref="D45:F45" si="89">J45+P45+V45</f>
        <v>4277</v>
      </c>
      <c r="E45" s="6">
        <f t="shared" si="89"/>
        <v>2247</v>
      </c>
      <c r="F45" s="6">
        <f t="shared" si="89"/>
        <v>2030</v>
      </c>
      <c r="G45" s="6"/>
      <c r="H45" s="8" t="s">
        <v>24</v>
      </c>
      <c r="I45" s="9" t="s">
        <v>11</v>
      </c>
      <c r="J45" s="10">
        <f t="shared" si="5"/>
        <v>3625</v>
      </c>
      <c r="K45" s="11">
        <v>2134.0</v>
      </c>
      <c r="L45" s="11">
        <v>1491.0</v>
      </c>
      <c r="M45" s="5"/>
      <c r="N45" s="8" t="s">
        <v>24</v>
      </c>
      <c r="O45" s="9" t="s">
        <v>11</v>
      </c>
      <c r="P45" s="10">
        <f t="shared" si="6"/>
        <v>588</v>
      </c>
      <c r="Q45" s="11">
        <v>102.0</v>
      </c>
      <c r="R45" s="11">
        <v>486.0</v>
      </c>
      <c r="T45" s="8" t="s">
        <v>24</v>
      </c>
      <c r="U45" s="9" t="s">
        <v>11</v>
      </c>
      <c r="V45" s="10">
        <f t="shared" si="7"/>
        <v>64</v>
      </c>
      <c r="W45" s="11">
        <v>11.0</v>
      </c>
      <c r="X45" s="11">
        <v>53.0</v>
      </c>
    </row>
    <row r="46">
      <c r="B46" s="6" t="str">
        <f t="shared" ref="B46:C46" si="90">H46</f>
        <v>Bhamo</v>
      </c>
      <c r="C46" s="7" t="str">
        <f t="shared" si="90"/>
        <v>20-24</v>
      </c>
      <c r="D46" s="6">
        <f t="shared" ref="D46:F46" si="91">J46+P46+V46</f>
        <v>6406</v>
      </c>
      <c r="E46" s="6">
        <f t="shared" si="91"/>
        <v>4066</v>
      </c>
      <c r="F46" s="6">
        <f t="shared" si="91"/>
        <v>2340</v>
      </c>
      <c r="G46" s="6"/>
      <c r="H46" s="8" t="s">
        <v>24</v>
      </c>
      <c r="I46" s="9" t="s">
        <v>12</v>
      </c>
      <c r="J46" s="10">
        <f t="shared" si="5"/>
        <v>3371</v>
      </c>
      <c r="K46" s="11">
        <v>2848.0</v>
      </c>
      <c r="L46" s="11">
        <v>523.0</v>
      </c>
      <c r="M46" s="5"/>
      <c r="N46" s="8" t="s">
        <v>24</v>
      </c>
      <c r="O46" s="9" t="s">
        <v>12</v>
      </c>
      <c r="P46" s="10">
        <f t="shared" si="6"/>
        <v>2829</v>
      </c>
      <c r="Q46" s="11">
        <v>1164.0</v>
      </c>
      <c r="R46" s="11">
        <v>1665.0</v>
      </c>
      <c r="T46" s="8" t="s">
        <v>24</v>
      </c>
      <c r="U46" s="9" t="s">
        <v>12</v>
      </c>
      <c r="V46" s="10">
        <f t="shared" si="7"/>
        <v>206</v>
      </c>
      <c r="W46" s="11">
        <v>54.0</v>
      </c>
      <c r="X46" s="11">
        <v>152.0</v>
      </c>
    </row>
    <row r="47">
      <c r="B47" s="6" t="str">
        <f t="shared" ref="B47:C47" si="92">H47</f>
        <v>Bhamo</v>
      </c>
      <c r="C47" s="7" t="str">
        <f t="shared" si="92"/>
        <v>25-29</v>
      </c>
      <c r="D47" s="6">
        <f t="shared" ref="D47:F47" si="93">J47+P47+V47</f>
        <v>5971</v>
      </c>
      <c r="E47" s="6">
        <f t="shared" si="93"/>
        <v>3774</v>
      </c>
      <c r="F47" s="6">
        <f t="shared" si="93"/>
        <v>2197</v>
      </c>
      <c r="G47" s="6"/>
      <c r="H47" s="8" t="s">
        <v>24</v>
      </c>
      <c r="I47" s="9" t="s">
        <v>13</v>
      </c>
      <c r="J47" s="10">
        <f t="shared" si="5"/>
        <v>1775</v>
      </c>
      <c r="K47" s="11">
        <v>1618.0</v>
      </c>
      <c r="L47" s="11">
        <v>157.0</v>
      </c>
      <c r="M47" s="5"/>
      <c r="N47" s="8" t="s">
        <v>24</v>
      </c>
      <c r="O47" s="9" t="s">
        <v>13</v>
      </c>
      <c r="P47" s="10">
        <f t="shared" si="6"/>
        <v>3922</v>
      </c>
      <c r="Q47" s="11">
        <v>2048.0</v>
      </c>
      <c r="R47" s="11">
        <v>1874.0</v>
      </c>
      <c r="T47" s="1" t="s">
        <v>24</v>
      </c>
      <c r="U47" s="1" t="s">
        <v>13</v>
      </c>
      <c r="V47" s="10">
        <f t="shared" si="7"/>
        <v>274</v>
      </c>
      <c r="W47" s="1">
        <v>108.0</v>
      </c>
      <c r="X47" s="1">
        <v>166.0</v>
      </c>
    </row>
    <row r="48">
      <c r="B48" s="6" t="str">
        <f t="shared" ref="B48:C48" si="94">H48</f>
        <v>Bhamo</v>
      </c>
      <c r="C48" s="7" t="str">
        <f t="shared" si="94"/>
        <v>30-34</v>
      </c>
      <c r="D48" s="6">
        <f t="shared" ref="D48:F48" si="95">J48+P48+V48</f>
        <v>5470</v>
      </c>
      <c r="E48" s="6">
        <f t="shared" si="95"/>
        <v>3505</v>
      </c>
      <c r="F48" s="6">
        <f t="shared" si="95"/>
        <v>1965</v>
      </c>
      <c r="G48" s="6"/>
      <c r="H48" s="8" t="s">
        <v>24</v>
      </c>
      <c r="I48" s="8" t="s">
        <v>14</v>
      </c>
      <c r="J48" s="10">
        <f t="shared" si="5"/>
        <v>765</v>
      </c>
      <c r="K48" s="11">
        <v>671.0</v>
      </c>
      <c r="L48" s="11">
        <v>94.0</v>
      </c>
      <c r="M48" s="5"/>
      <c r="N48" s="8" t="s">
        <v>24</v>
      </c>
      <c r="O48" s="8" t="s">
        <v>14</v>
      </c>
      <c r="P48" s="10">
        <f t="shared" si="6"/>
        <v>4296</v>
      </c>
      <c r="Q48" s="11">
        <v>2653.0</v>
      </c>
      <c r="R48" s="11">
        <v>1643.0</v>
      </c>
      <c r="T48" s="1" t="s">
        <v>24</v>
      </c>
      <c r="U48" s="1" t="s">
        <v>14</v>
      </c>
      <c r="V48" s="10">
        <f t="shared" si="7"/>
        <v>409</v>
      </c>
      <c r="W48" s="1">
        <v>181.0</v>
      </c>
      <c r="X48" s="1">
        <v>228.0</v>
      </c>
    </row>
    <row r="49">
      <c r="B49" s="6" t="str">
        <f t="shared" ref="B49:C49" si="96">H49</f>
        <v>Bhamo</v>
      </c>
      <c r="C49" s="7" t="str">
        <f t="shared" si="96"/>
        <v>35-39</v>
      </c>
      <c r="D49" s="6">
        <f t="shared" ref="D49:F49" si="97">J49+P49+V49</f>
        <v>3529</v>
      </c>
      <c r="E49" s="6">
        <f t="shared" si="97"/>
        <v>2176</v>
      </c>
      <c r="F49" s="6">
        <f t="shared" si="97"/>
        <v>1353</v>
      </c>
      <c r="G49" s="6"/>
      <c r="H49" s="8" t="s">
        <v>24</v>
      </c>
      <c r="I49" s="8" t="s">
        <v>15</v>
      </c>
      <c r="J49" s="10">
        <f t="shared" si="5"/>
        <v>271</v>
      </c>
      <c r="K49" s="11">
        <v>223.0</v>
      </c>
      <c r="L49" s="11">
        <v>48.0</v>
      </c>
      <c r="M49" s="5"/>
      <c r="N49" s="8" t="s">
        <v>24</v>
      </c>
      <c r="O49" s="8" t="s">
        <v>15</v>
      </c>
      <c r="P49" s="10">
        <f t="shared" si="6"/>
        <v>2940</v>
      </c>
      <c r="Q49" s="11">
        <v>1821.0</v>
      </c>
      <c r="R49" s="11">
        <v>1119.0</v>
      </c>
      <c r="T49" s="1" t="s">
        <v>24</v>
      </c>
      <c r="U49" s="1" t="s">
        <v>15</v>
      </c>
      <c r="V49" s="10">
        <f t="shared" si="7"/>
        <v>318</v>
      </c>
      <c r="W49" s="1">
        <v>132.0</v>
      </c>
      <c r="X49" s="1">
        <v>186.0</v>
      </c>
    </row>
    <row r="50">
      <c r="B50" s="6" t="str">
        <f t="shared" ref="B50:C50" si="98">H50</f>
        <v>Bhamo</v>
      </c>
      <c r="C50" s="7" t="str">
        <f t="shared" si="98"/>
        <v>40-44</v>
      </c>
      <c r="D50" s="6">
        <f t="shared" ref="D50:F50" si="99">J50+P50+V50</f>
        <v>3486</v>
      </c>
      <c r="E50" s="6">
        <f t="shared" si="99"/>
        <v>2000</v>
      </c>
      <c r="F50" s="6">
        <f t="shared" si="99"/>
        <v>1486</v>
      </c>
      <c r="G50" s="6"/>
      <c r="H50" s="8" t="s">
        <v>24</v>
      </c>
      <c r="I50" s="8" t="s">
        <v>16</v>
      </c>
      <c r="J50" s="10">
        <f t="shared" si="5"/>
        <v>158</v>
      </c>
      <c r="K50" s="11">
        <v>128.0</v>
      </c>
      <c r="L50" s="11">
        <v>30.0</v>
      </c>
      <c r="M50" s="5"/>
      <c r="N50" s="8" t="s">
        <v>24</v>
      </c>
      <c r="O50" s="8" t="s">
        <v>16</v>
      </c>
      <c r="P50" s="10">
        <f t="shared" si="6"/>
        <v>2817</v>
      </c>
      <c r="Q50" s="11">
        <v>1723.0</v>
      </c>
      <c r="R50" s="11">
        <v>1094.0</v>
      </c>
      <c r="T50" s="1" t="s">
        <v>24</v>
      </c>
      <c r="U50" s="1" t="s">
        <v>16</v>
      </c>
      <c r="V50" s="10">
        <f t="shared" si="7"/>
        <v>511</v>
      </c>
      <c r="W50" s="1">
        <v>149.0</v>
      </c>
      <c r="X50" s="1">
        <v>362.0</v>
      </c>
    </row>
    <row r="51">
      <c r="B51" s="6" t="str">
        <f t="shared" ref="B51:C51" si="100">H51</f>
        <v>Bhamo</v>
      </c>
      <c r="C51" s="7" t="str">
        <f t="shared" si="100"/>
        <v>45-49</v>
      </c>
      <c r="D51" s="6">
        <f t="shared" ref="D51:F51" si="101">J51+P51+V51</f>
        <v>2080</v>
      </c>
      <c r="E51" s="6">
        <f t="shared" si="101"/>
        <v>1132</v>
      </c>
      <c r="F51" s="6">
        <f t="shared" si="101"/>
        <v>948</v>
      </c>
      <c r="G51" s="6"/>
      <c r="H51" s="8" t="s">
        <v>24</v>
      </c>
      <c r="I51" s="8" t="s">
        <v>17</v>
      </c>
      <c r="J51" s="10">
        <f t="shared" si="5"/>
        <v>65</v>
      </c>
      <c r="K51" s="11">
        <v>52.0</v>
      </c>
      <c r="L51" s="11">
        <v>13.0</v>
      </c>
      <c r="M51" s="5"/>
      <c r="N51" s="8" t="s">
        <v>24</v>
      </c>
      <c r="O51" s="8" t="s">
        <v>17</v>
      </c>
      <c r="P51" s="10">
        <f t="shared" si="6"/>
        <v>1631</v>
      </c>
      <c r="Q51" s="11">
        <v>977.0</v>
      </c>
      <c r="R51" s="11">
        <v>654.0</v>
      </c>
      <c r="T51" s="1" t="s">
        <v>24</v>
      </c>
      <c r="U51" s="1" t="s">
        <v>17</v>
      </c>
      <c r="V51" s="10">
        <f t="shared" si="7"/>
        <v>384</v>
      </c>
      <c r="W51" s="1">
        <v>103.0</v>
      </c>
      <c r="X51" s="1">
        <v>281.0</v>
      </c>
    </row>
    <row r="52">
      <c r="B52" s="6" t="str">
        <f t="shared" ref="B52:C52" si="102">H52</f>
        <v>Bhamo</v>
      </c>
      <c r="C52" s="7" t="str">
        <f t="shared" si="102"/>
        <v>50-54</v>
      </c>
      <c r="D52" s="6">
        <f t="shared" ref="D52:F52" si="103">J52+P52+V52</f>
        <v>2341</v>
      </c>
      <c r="E52" s="6">
        <f t="shared" si="103"/>
        <v>1214</v>
      </c>
      <c r="F52" s="6">
        <f t="shared" si="103"/>
        <v>1127</v>
      </c>
      <c r="G52" s="6"/>
      <c r="H52" s="8" t="s">
        <v>24</v>
      </c>
      <c r="I52" s="8" t="s">
        <v>18</v>
      </c>
      <c r="J52" s="10">
        <f t="shared" si="5"/>
        <v>75</v>
      </c>
      <c r="K52" s="11">
        <v>43.0</v>
      </c>
      <c r="L52" s="11">
        <v>32.0</v>
      </c>
      <c r="M52" s="5"/>
      <c r="N52" s="8" t="s">
        <v>24</v>
      </c>
      <c r="O52" s="8" t="s">
        <v>18</v>
      </c>
      <c r="P52" s="10">
        <f t="shared" si="6"/>
        <v>1619</v>
      </c>
      <c r="Q52" s="11">
        <v>1002.0</v>
      </c>
      <c r="R52" s="11">
        <v>617.0</v>
      </c>
      <c r="T52" s="1" t="s">
        <v>24</v>
      </c>
      <c r="U52" s="1" t="s">
        <v>18</v>
      </c>
      <c r="V52" s="10">
        <f t="shared" si="7"/>
        <v>647</v>
      </c>
      <c r="W52" s="1">
        <v>169.0</v>
      </c>
      <c r="X52" s="1">
        <v>478.0</v>
      </c>
    </row>
    <row r="53">
      <c r="B53" s="6" t="str">
        <f t="shared" ref="B53:C53" si="104">H53</f>
        <v>Bhamo</v>
      </c>
      <c r="C53" s="7" t="str">
        <f t="shared" si="104"/>
        <v>55-59</v>
      </c>
      <c r="D53" s="6">
        <f t="shared" ref="D53:F53" si="105">J53+P53+V53</f>
        <v>1111</v>
      </c>
      <c r="E53" s="6">
        <f t="shared" si="105"/>
        <v>585</v>
      </c>
      <c r="F53" s="6">
        <f t="shared" si="105"/>
        <v>526</v>
      </c>
      <c r="G53" s="6"/>
      <c r="H53" s="8" t="s">
        <v>24</v>
      </c>
      <c r="I53" s="8" t="s">
        <v>19</v>
      </c>
      <c r="J53" s="10">
        <f t="shared" si="5"/>
        <v>37</v>
      </c>
      <c r="K53" s="11">
        <v>29.0</v>
      </c>
      <c r="L53" s="11">
        <v>8.0</v>
      </c>
      <c r="M53" s="5"/>
      <c r="N53" s="8" t="s">
        <v>24</v>
      </c>
      <c r="O53" s="8" t="s">
        <v>19</v>
      </c>
      <c r="P53" s="10">
        <f t="shared" si="6"/>
        <v>695</v>
      </c>
      <c r="Q53" s="11">
        <v>463.0</v>
      </c>
      <c r="R53" s="11">
        <v>232.0</v>
      </c>
      <c r="T53" s="1" t="s">
        <v>24</v>
      </c>
      <c r="U53" s="1" t="s">
        <v>19</v>
      </c>
      <c r="V53" s="10">
        <f t="shared" si="7"/>
        <v>379</v>
      </c>
      <c r="W53" s="1">
        <v>93.0</v>
      </c>
      <c r="X53" s="1">
        <v>286.0</v>
      </c>
    </row>
    <row r="54">
      <c r="B54" s="6" t="str">
        <f t="shared" ref="B54:C54" si="106">H54</f>
        <v>Bhamo</v>
      </c>
      <c r="C54" s="7" t="str">
        <f t="shared" si="106"/>
        <v>60+</v>
      </c>
      <c r="D54" s="6">
        <f t="shared" ref="D54:F54" si="107">J54+P54+V54</f>
        <v>3273</v>
      </c>
      <c r="E54" s="6">
        <f t="shared" si="107"/>
        <v>1448</v>
      </c>
      <c r="F54" s="6">
        <f t="shared" si="107"/>
        <v>1825</v>
      </c>
      <c r="G54" s="6"/>
      <c r="H54" s="8" t="s">
        <v>24</v>
      </c>
      <c r="I54" s="8" t="s">
        <v>20</v>
      </c>
      <c r="J54" s="10">
        <f t="shared" si="5"/>
        <v>92</v>
      </c>
      <c r="K54" s="11">
        <v>60.0</v>
      </c>
      <c r="L54" s="11">
        <v>32.0</v>
      </c>
      <c r="M54" s="5"/>
      <c r="N54" s="8" t="s">
        <v>24</v>
      </c>
      <c r="O54" s="8" t="s">
        <v>21</v>
      </c>
      <c r="P54" s="10">
        <f t="shared" si="6"/>
        <v>1313</v>
      </c>
      <c r="Q54" s="11">
        <v>970.0</v>
      </c>
      <c r="R54" s="11">
        <v>343.0</v>
      </c>
      <c r="T54" s="1" t="s">
        <v>24</v>
      </c>
      <c r="U54" s="1" t="s">
        <v>21</v>
      </c>
      <c r="V54" s="10">
        <f t="shared" si="7"/>
        <v>1868</v>
      </c>
      <c r="W54" s="1">
        <v>418.0</v>
      </c>
      <c r="X54" s="1">
        <v>1450.0</v>
      </c>
    </row>
    <row r="55">
      <c r="B55" s="6" t="str">
        <f t="shared" ref="B55:C55" si="108">H55</f>
        <v>Hanthawaddy</v>
      </c>
      <c r="C55" s="7" t="str">
        <f t="shared" si="108"/>
        <v>0-4</v>
      </c>
      <c r="D55" s="6">
        <f t="shared" ref="D55:F55" si="109">J55+P55+V55</f>
        <v>43623</v>
      </c>
      <c r="E55" s="6">
        <f t="shared" si="109"/>
        <v>21801</v>
      </c>
      <c r="F55" s="6">
        <f t="shared" si="109"/>
        <v>21822</v>
      </c>
      <c r="G55" s="6"/>
      <c r="H55" s="8" t="s">
        <v>25</v>
      </c>
      <c r="I55" s="9" t="s">
        <v>10</v>
      </c>
      <c r="J55" s="10">
        <f t="shared" si="5"/>
        <v>43623</v>
      </c>
      <c r="K55" s="11">
        <v>21801.0</v>
      </c>
      <c r="L55" s="11">
        <v>21822.0</v>
      </c>
      <c r="M55" s="5"/>
      <c r="N55" s="8" t="s">
        <v>25</v>
      </c>
      <c r="O55" s="9" t="s">
        <v>10</v>
      </c>
      <c r="P55" s="10">
        <f t="shared" si="6"/>
        <v>0</v>
      </c>
      <c r="Q55" s="11">
        <v>0.0</v>
      </c>
      <c r="R55" s="11">
        <v>0.0</v>
      </c>
      <c r="T55" s="8" t="s">
        <v>25</v>
      </c>
      <c r="U55" s="9" t="s">
        <v>10</v>
      </c>
      <c r="V55" s="10">
        <f t="shared" si="7"/>
        <v>0</v>
      </c>
      <c r="W55" s="11">
        <v>0.0</v>
      </c>
      <c r="X55" s="11">
        <v>0.0</v>
      </c>
    </row>
    <row r="56">
      <c r="B56" s="6" t="str">
        <f t="shared" ref="B56:C56" si="110">H56</f>
        <v>Hanthawaddy</v>
      </c>
      <c r="C56" s="12">
        <f t="shared" si="110"/>
        <v>45786</v>
      </c>
      <c r="D56" s="6">
        <f t="shared" ref="D56:F56" si="111">J56+P56+V56</f>
        <v>34296</v>
      </c>
      <c r="E56" s="6">
        <f t="shared" si="111"/>
        <v>17097</v>
      </c>
      <c r="F56" s="6">
        <f t="shared" si="111"/>
        <v>17199</v>
      </c>
      <c r="G56" s="6"/>
      <c r="H56" s="8" t="s">
        <v>25</v>
      </c>
      <c r="I56" s="13">
        <v>45786.0</v>
      </c>
      <c r="J56" s="10">
        <f t="shared" si="5"/>
        <v>34296</v>
      </c>
      <c r="K56" s="11">
        <v>17097.0</v>
      </c>
      <c r="L56" s="11">
        <v>17199.0</v>
      </c>
      <c r="M56" s="5"/>
      <c r="N56" s="8" t="s">
        <v>25</v>
      </c>
      <c r="O56" s="13">
        <v>45786.0</v>
      </c>
      <c r="P56" s="10">
        <f t="shared" si="6"/>
        <v>0</v>
      </c>
      <c r="Q56" s="11">
        <v>0.0</v>
      </c>
      <c r="R56" s="11">
        <v>0.0</v>
      </c>
      <c r="T56" s="8" t="s">
        <v>25</v>
      </c>
      <c r="U56" s="13">
        <v>45786.0</v>
      </c>
      <c r="V56" s="10">
        <f t="shared" si="7"/>
        <v>0</v>
      </c>
      <c r="W56" s="11">
        <v>0.0</v>
      </c>
      <c r="X56" s="11">
        <v>0.0</v>
      </c>
    </row>
    <row r="57">
      <c r="B57" s="6" t="str">
        <f t="shared" ref="B57:C57" si="112">H57</f>
        <v>Hanthawaddy</v>
      </c>
      <c r="C57" s="12">
        <f t="shared" si="112"/>
        <v>45944</v>
      </c>
      <c r="D57" s="6">
        <f t="shared" ref="D57:F57" si="113">J57+P57+V57</f>
        <v>31572</v>
      </c>
      <c r="E57" s="6">
        <f t="shared" si="113"/>
        <v>16741</v>
      </c>
      <c r="F57" s="6">
        <f t="shared" si="113"/>
        <v>14831</v>
      </c>
      <c r="G57" s="6"/>
      <c r="H57" s="8" t="s">
        <v>25</v>
      </c>
      <c r="I57" s="13">
        <v>45944.0</v>
      </c>
      <c r="J57" s="10">
        <f t="shared" si="5"/>
        <v>31480</v>
      </c>
      <c r="K57" s="11">
        <v>16712.0</v>
      </c>
      <c r="L57" s="11">
        <v>14768.0</v>
      </c>
      <c r="M57" s="5"/>
      <c r="N57" s="8" t="s">
        <v>25</v>
      </c>
      <c r="O57" s="13">
        <v>45944.0</v>
      </c>
      <c r="P57" s="10">
        <f t="shared" si="6"/>
        <v>85</v>
      </c>
      <c r="Q57" s="11">
        <v>27.0</v>
      </c>
      <c r="R57" s="11">
        <v>58.0</v>
      </c>
      <c r="T57" s="8" t="s">
        <v>25</v>
      </c>
      <c r="U57" s="13">
        <v>45944.0</v>
      </c>
      <c r="V57" s="10">
        <f t="shared" si="7"/>
        <v>7</v>
      </c>
      <c r="W57" s="11">
        <v>2.0</v>
      </c>
      <c r="X57" s="11">
        <v>5.0</v>
      </c>
    </row>
    <row r="58">
      <c r="B58" s="6" t="str">
        <f t="shared" ref="B58:C58" si="114">H58</f>
        <v>Hanthawaddy</v>
      </c>
      <c r="C58" s="7" t="str">
        <f t="shared" si="114"/>
        <v>15-19</v>
      </c>
      <c r="D58" s="6">
        <f t="shared" ref="D58:F58" si="115">J58+P58+V58</f>
        <v>25875</v>
      </c>
      <c r="E58" s="6">
        <f t="shared" si="115"/>
        <v>12736</v>
      </c>
      <c r="F58" s="6">
        <f t="shared" si="115"/>
        <v>13139</v>
      </c>
      <c r="G58" s="6"/>
      <c r="H58" s="8" t="s">
        <v>25</v>
      </c>
      <c r="I58" s="9" t="s">
        <v>11</v>
      </c>
      <c r="J58" s="10">
        <f t="shared" si="5"/>
        <v>21278</v>
      </c>
      <c r="K58" s="11">
        <v>11887.0</v>
      </c>
      <c r="L58" s="11">
        <v>9391.0</v>
      </c>
      <c r="M58" s="5"/>
      <c r="N58" s="8" t="s">
        <v>25</v>
      </c>
      <c r="O58" s="9" t="s">
        <v>11</v>
      </c>
      <c r="P58" s="10">
        <f t="shared" si="6"/>
        <v>4205</v>
      </c>
      <c r="Q58" s="11">
        <v>738.0</v>
      </c>
      <c r="R58" s="11">
        <v>3467.0</v>
      </c>
      <c r="T58" s="8" t="s">
        <v>25</v>
      </c>
      <c r="U58" s="8" t="s">
        <v>11</v>
      </c>
      <c r="V58" s="10">
        <f t="shared" si="7"/>
        <v>392</v>
      </c>
      <c r="W58" s="11">
        <v>111.0</v>
      </c>
      <c r="X58" s="11">
        <v>281.0</v>
      </c>
    </row>
    <row r="59">
      <c r="B59" s="6" t="str">
        <f t="shared" ref="B59:C59" si="116">H59</f>
        <v>Hanthawaddy</v>
      </c>
      <c r="C59" s="7" t="str">
        <f t="shared" si="116"/>
        <v>20-24</v>
      </c>
      <c r="D59" s="6">
        <f t="shared" ref="D59:F59" si="117">J59+P59+V59</f>
        <v>25579</v>
      </c>
      <c r="E59" s="6">
        <f t="shared" si="117"/>
        <v>13837</v>
      </c>
      <c r="F59" s="6">
        <f t="shared" si="117"/>
        <v>11742</v>
      </c>
      <c r="G59" s="6"/>
      <c r="H59" s="8" t="s">
        <v>25</v>
      </c>
      <c r="I59" s="9" t="s">
        <v>12</v>
      </c>
      <c r="J59" s="10">
        <f t="shared" si="5"/>
        <v>10573</v>
      </c>
      <c r="K59" s="11">
        <v>8007.0</v>
      </c>
      <c r="L59" s="11">
        <v>2566.0</v>
      </c>
      <c r="M59" s="5"/>
      <c r="N59" s="8" t="s">
        <v>25</v>
      </c>
      <c r="O59" s="9" t="s">
        <v>12</v>
      </c>
      <c r="P59" s="10">
        <f t="shared" si="6"/>
        <v>13997</v>
      </c>
      <c r="Q59" s="11">
        <v>5416.0</v>
      </c>
      <c r="R59" s="11">
        <v>8581.0</v>
      </c>
      <c r="T59" s="8" t="s">
        <v>25</v>
      </c>
      <c r="U59" s="8" t="s">
        <v>12</v>
      </c>
      <c r="V59" s="10">
        <f t="shared" si="7"/>
        <v>1009</v>
      </c>
      <c r="W59" s="11">
        <v>414.0</v>
      </c>
      <c r="X59" s="11">
        <v>595.0</v>
      </c>
    </row>
    <row r="60">
      <c r="B60" s="6" t="str">
        <f t="shared" ref="B60:C60" si="118">H60</f>
        <v>Hanthawaddy</v>
      </c>
      <c r="C60" s="7" t="str">
        <f t="shared" si="118"/>
        <v>25-29</v>
      </c>
      <c r="D60" s="6">
        <f t="shared" ref="D60:F60" si="119">J60+P60+V60</f>
        <v>24223</v>
      </c>
      <c r="E60" s="6">
        <f t="shared" si="119"/>
        <v>13986</v>
      </c>
      <c r="F60" s="6">
        <f t="shared" si="119"/>
        <v>10237</v>
      </c>
      <c r="G60" s="6"/>
      <c r="H60" s="8" t="s">
        <v>25</v>
      </c>
      <c r="I60" s="9" t="s">
        <v>13</v>
      </c>
      <c r="J60" s="10">
        <f t="shared" si="5"/>
        <v>5086</v>
      </c>
      <c r="K60" s="11">
        <v>4295.0</v>
      </c>
      <c r="L60" s="11">
        <v>791.0</v>
      </c>
      <c r="M60" s="5"/>
      <c r="N60" s="8" t="s">
        <v>25</v>
      </c>
      <c r="O60" s="9" t="s">
        <v>13</v>
      </c>
      <c r="P60" s="10">
        <f t="shared" si="6"/>
        <v>17766</v>
      </c>
      <c r="Q60" s="11">
        <v>8983.0</v>
      </c>
      <c r="R60" s="11">
        <v>8783.0</v>
      </c>
      <c r="T60" s="8" t="s">
        <v>25</v>
      </c>
      <c r="U60" s="9" t="s">
        <v>13</v>
      </c>
      <c r="V60" s="10">
        <f t="shared" si="7"/>
        <v>1371</v>
      </c>
      <c r="W60" s="1">
        <v>708.0</v>
      </c>
      <c r="X60" s="11">
        <v>663.0</v>
      </c>
    </row>
    <row r="61">
      <c r="B61" s="6" t="str">
        <f t="shared" ref="B61:C61" si="120">H61</f>
        <v>Hanthawaddy</v>
      </c>
      <c r="C61" s="7" t="str">
        <f t="shared" si="120"/>
        <v>30-34</v>
      </c>
      <c r="D61" s="6">
        <f t="shared" ref="D61:F61" si="121">J61+P61+V61</f>
        <v>21014</v>
      </c>
      <c r="E61" s="6">
        <f t="shared" si="121"/>
        <v>12690</v>
      </c>
      <c r="F61" s="6">
        <f t="shared" si="121"/>
        <v>8324</v>
      </c>
      <c r="G61" s="6"/>
      <c r="H61" s="8" t="s">
        <v>25</v>
      </c>
      <c r="I61" s="8" t="s">
        <v>14</v>
      </c>
      <c r="J61" s="10">
        <f t="shared" si="5"/>
        <v>2507</v>
      </c>
      <c r="K61" s="11">
        <v>2153.0</v>
      </c>
      <c r="L61" s="11">
        <v>354.0</v>
      </c>
      <c r="M61" s="5"/>
      <c r="N61" s="8" t="s">
        <v>25</v>
      </c>
      <c r="O61" s="8" t="s">
        <v>14</v>
      </c>
      <c r="P61" s="10">
        <f t="shared" si="6"/>
        <v>16985</v>
      </c>
      <c r="Q61" s="11">
        <v>9705.0</v>
      </c>
      <c r="R61" s="11">
        <v>7280.0</v>
      </c>
      <c r="T61" s="8" t="s">
        <v>25</v>
      </c>
      <c r="U61" s="9" t="s">
        <v>14</v>
      </c>
      <c r="V61" s="10">
        <f t="shared" si="7"/>
        <v>1522</v>
      </c>
      <c r="W61" s="1">
        <v>832.0</v>
      </c>
      <c r="X61" s="11">
        <v>690.0</v>
      </c>
    </row>
    <row r="62">
      <c r="B62" s="6" t="str">
        <f t="shared" ref="B62:C62" si="122">H62</f>
        <v>Hanthawaddy</v>
      </c>
      <c r="C62" s="7" t="str">
        <f t="shared" si="122"/>
        <v>35-39</v>
      </c>
      <c r="D62" s="6">
        <f t="shared" ref="D62:F62" si="123">J62+P62+V62</f>
        <v>16074</v>
      </c>
      <c r="E62" s="6">
        <f t="shared" si="123"/>
        <v>10009</v>
      </c>
      <c r="F62" s="6">
        <f t="shared" si="123"/>
        <v>6065</v>
      </c>
      <c r="G62" s="6"/>
      <c r="H62" s="8" t="s">
        <v>25</v>
      </c>
      <c r="I62" s="8" t="s">
        <v>15</v>
      </c>
      <c r="J62" s="10">
        <f t="shared" si="5"/>
        <v>1213</v>
      </c>
      <c r="K62" s="11">
        <v>1057.0</v>
      </c>
      <c r="L62" s="11">
        <v>156.0</v>
      </c>
      <c r="M62" s="5"/>
      <c r="N62" s="8" t="s">
        <v>25</v>
      </c>
      <c r="O62" s="8" t="s">
        <v>15</v>
      </c>
      <c r="P62" s="10">
        <f t="shared" si="6"/>
        <v>13406</v>
      </c>
      <c r="Q62" s="11">
        <v>8142.0</v>
      </c>
      <c r="R62" s="11">
        <v>5264.0</v>
      </c>
      <c r="T62" s="8" t="s">
        <v>25</v>
      </c>
      <c r="U62" s="9" t="s">
        <v>15</v>
      </c>
      <c r="V62" s="10">
        <f t="shared" si="7"/>
        <v>1455</v>
      </c>
      <c r="W62" s="1">
        <v>810.0</v>
      </c>
      <c r="X62" s="11">
        <v>645.0</v>
      </c>
    </row>
    <row r="63">
      <c r="B63" s="6" t="str">
        <f t="shared" ref="B63:C63" si="124">H63</f>
        <v>Hanthawaddy</v>
      </c>
      <c r="C63" s="7" t="str">
        <f t="shared" si="124"/>
        <v>40-44</v>
      </c>
      <c r="D63" s="6">
        <f t="shared" ref="D63:F63" si="125">J63+P63+V63</f>
        <v>13364</v>
      </c>
      <c r="E63" s="6">
        <f t="shared" si="125"/>
        <v>7976</v>
      </c>
      <c r="F63" s="6">
        <f t="shared" si="125"/>
        <v>5388</v>
      </c>
      <c r="G63" s="6"/>
      <c r="H63" s="8" t="s">
        <v>25</v>
      </c>
      <c r="I63" s="8" t="s">
        <v>16</v>
      </c>
      <c r="J63" s="10">
        <f t="shared" si="5"/>
        <v>726</v>
      </c>
      <c r="K63" s="11">
        <v>599.0</v>
      </c>
      <c r="L63" s="11">
        <v>127.0</v>
      </c>
      <c r="M63" s="5"/>
      <c r="N63" s="8" t="s">
        <v>25</v>
      </c>
      <c r="O63" s="8" t="s">
        <v>16</v>
      </c>
      <c r="P63" s="10">
        <f t="shared" si="6"/>
        <v>10914</v>
      </c>
      <c r="Q63" s="11">
        <v>6492.0</v>
      </c>
      <c r="R63" s="11">
        <v>4422.0</v>
      </c>
      <c r="T63" s="8" t="s">
        <v>25</v>
      </c>
      <c r="U63" s="9" t="s">
        <v>16</v>
      </c>
      <c r="V63" s="10">
        <f t="shared" si="7"/>
        <v>1724</v>
      </c>
      <c r="W63" s="1">
        <v>885.0</v>
      </c>
      <c r="X63" s="11">
        <v>839.0</v>
      </c>
    </row>
    <row r="64">
      <c r="B64" s="6" t="str">
        <f t="shared" ref="B64:C64" si="126">H64</f>
        <v>Hanthawaddy</v>
      </c>
      <c r="C64" s="7" t="str">
        <f t="shared" si="126"/>
        <v>45-49</v>
      </c>
      <c r="D64" s="6">
        <f t="shared" ref="D64:F64" si="127">J64+P64+V64</f>
        <v>9966</v>
      </c>
      <c r="E64" s="6">
        <f t="shared" si="127"/>
        <v>5910</v>
      </c>
      <c r="F64" s="6">
        <f t="shared" si="127"/>
        <v>4056</v>
      </c>
      <c r="G64" s="6"/>
      <c r="H64" s="8" t="s">
        <v>25</v>
      </c>
      <c r="I64" s="8" t="s">
        <v>17</v>
      </c>
      <c r="J64" s="10">
        <f t="shared" si="5"/>
        <v>459</v>
      </c>
      <c r="K64" s="11">
        <v>370.0</v>
      </c>
      <c r="L64" s="11">
        <v>89.0</v>
      </c>
      <c r="M64" s="5"/>
      <c r="N64" s="8" t="s">
        <v>25</v>
      </c>
      <c r="O64" s="8" t="s">
        <v>17</v>
      </c>
      <c r="P64" s="10">
        <f t="shared" si="6"/>
        <v>7942</v>
      </c>
      <c r="Q64" s="11">
        <v>4797.0</v>
      </c>
      <c r="R64" s="11">
        <v>3145.0</v>
      </c>
      <c r="T64" s="8" t="s">
        <v>25</v>
      </c>
      <c r="U64" s="9" t="s">
        <v>17</v>
      </c>
      <c r="V64" s="10">
        <f t="shared" si="7"/>
        <v>1565</v>
      </c>
      <c r="W64" s="1">
        <v>743.0</v>
      </c>
      <c r="X64" s="11">
        <v>822.0</v>
      </c>
    </row>
    <row r="65">
      <c r="B65" s="6" t="str">
        <f t="shared" ref="B65:C65" si="128">H65</f>
        <v>Hanthawaddy</v>
      </c>
      <c r="C65" s="7" t="str">
        <f t="shared" si="128"/>
        <v>50-54</v>
      </c>
      <c r="D65" s="6">
        <f t="shared" ref="D65:F65" si="129">J65+P65+V65</f>
        <v>9615</v>
      </c>
      <c r="E65" s="6">
        <f t="shared" si="129"/>
        <v>5191</v>
      </c>
      <c r="F65" s="6">
        <f t="shared" si="129"/>
        <v>4424</v>
      </c>
      <c r="G65" s="6"/>
      <c r="H65" s="8" t="s">
        <v>25</v>
      </c>
      <c r="I65" s="8" t="s">
        <v>18</v>
      </c>
      <c r="J65" s="10">
        <f t="shared" si="5"/>
        <v>404</v>
      </c>
      <c r="K65" s="11">
        <v>317.0</v>
      </c>
      <c r="L65" s="11">
        <v>87.0</v>
      </c>
      <c r="M65" s="5"/>
      <c r="N65" s="8" t="s">
        <v>25</v>
      </c>
      <c r="O65" s="8" t="s">
        <v>18</v>
      </c>
      <c r="P65" s="10">
        <f t="shared" si="6"/>
        <v>6784</v>
      </c>
      <c r="Q65" s="11">
        <v>3930.0</v>
      </c>
      <c r="R65" s="11">
        <v>2854.0</v>
      </c>
      <c r="T65" s="8" t="s">
        <v>25</v>
      </c>
      <c r="U65" s="9" t="s">
        <v>18</v>
      </c>
      <c r="V65" s="10">
        <f t="shared" si="7"/>
        <v>2427</v>
      </c>
      <c r="W65" s="1">
        <v>944.0</v>
      </c>
      <c r="X65" s="11">
        <v>1483.0</v>
      </c>
    </row>
    <row r="66">
      <c r="B66" s="6" t="str">
        <f t="shared" ref="B66:C66" si="130">H66</f>
        <v>Hanthawaddy</v>
      </c>
      <c r="C66" s="7" t="str">
        <f t="shared" si="130"/>
        <v>55-59</v>
      </c>
      <c r="D66" s="6">
        <f t="shared" ref="D66:F66" si="131">J66+P66+V66</f>
        <v>6059</v>
      </c>
      <c r="E66" s="6">
        <f t="shared" si="131"/>
        <v>3348</v>
      </c>
      <c r="F66" s="6">
        <f t="shared" si="131"/>
        <v>2711</v>
      </c>
      <c r="G66" s="6"/>
      <c r="H66" s="8" t="s">
        <v>25</v>
      </c>
      <c r="I66" s="8" t="s">
        <v>19</v>
      </c>
      <c r="J66" s="10">
        <f t="shared" si="5"/>
        <v>204</v>
      </c>
      <c r="K66" s="11">
        <v>158.0</v>
      </c>
      <c r="L66" s="11">
        <v>46.0</v>
      </c>
      <c r="M66" s="5"/>
      <c r="N66" s="8" t="s">
        <v>25</v>
      </c>
      <c r="O66" s="8" t="s">
        <v>19</v>
      </c>
      <c r="P66" s="10">
        <f t="shared" si="6"/>
        <v>4085</v>
      </c>
      <c r="Q66" s="11">
        <v>2539.0</v>
      </c>
      <c r="R66" s="11">
        <v>1546.0</v>
      </c>
      <c r="T66" s="8" t="s">
        <v>25</v>
      </c>
      <c r="U66" s="9" t="s">
        <v>19</v>
      </c>
      <c r="V66" s="10">
        <f t="shared" si="7"/>
        <v>1770</v>
      </c>
      <c r="W66" s="1">
        <v>651.0</v>
      </c>
      <c r="X66" s="11">
        <v>1119.0</v>
      </c>
    </row>
    <row r="67">
      <c r="B67" s="6" t="str">
        <f t="shared" ref="B67:C67" si="132">H67</f>
        <v>Hanthawaddy</v>
      </c>
      <c r="C67" s="7" t="str">
        <f t="shared" si="132"/>
        <v>60+</v>
      </c>
      <c r="D67" s="6">
        <f t="shared" ref="D67:F67" si="133">J67+P67+V67</f>
        <v>12047</v>
      </c>
      <c r="E67" s="6">
        <f t="shared" si="133"/>
        <v>6289</v>
      </c>
      <c r="F67" s="6">
        <f t="shared" si="133"/>
        <v>5758</v>
      </c>
      <c r="G67" s="6"/>
      <c r="H67" s="8" t="s">
        <v>25</v>
      </c>
      <c r="I67" s="8" t="s">
        <v>20</v>
      </c>
      <c r="J67" s="10">
        <f t="shared" si="5"/>
        <v>445</v>
      </c>
      <c r="K67" s="11">
        <v>269.0</v>
      </c>
      <c r="L67" s="11">
        <v>176.0</v>
      </c>
      <c r="M67" s="5"/>
      <c r="N67" s="8" t="s">
        <v>25</v>
      </c>
      <c r="O67" s="8" t="s">
        <v>21</v>
      </c>
      <c r="P67" s="10">
        <f t="shared" si="6"/>
        <v>5792</v>
      </c>
      <c r="Q67" s="11">
        <v>3991.0</v>
      </c>
      <c r="R67" s="11">
        <v>1801.0</v>
      </c>
      <c r="T67" s="8" t="s">
        <v>25</v>
      </c>
      <c r="U67" s="1" t="s">
        <v>21</v>
      </c>
      <c r="V67" s="10">
        <f t="shared" si="7"/>
        <v>5810</v>
      </c>
      <c r="W67" s="1">
        <v>2029.0</v>
      </c>
      <c r="X67" s="11">
        <v>3781.0</v>
      </c>
    </row>
    <row r="68">
      <c r="B68" s="6" t="str">
        <f t="shared" ref="B68:C68" si="134">H68</f>
        <v>Henzada</v>
      </c>
      <c r="C68" s="7" t="str">
        <f t="shared" si="134"/>
        <v>0-4</v>
      </c>
      <c r="D68" s="6">
        <f t="shared" ref="D68:F68" si="135">J68+P68+V68</f>
        <v>56533</v>
      </c>
      <c r="E68" s="6">
        <f t="shared" si="135"/>
        <v>28151</v>
      </c>
      <c r="F68" s="6">
        <f t="shared" si="135"/>
        <v>28382</v>
      </c>
      <c r="G68" s="6"/>
      <c r="H68" s="8" t="s">
        <v>26</v>
      </c>
      <c r="I68" s="9" t="s">
        <v>10</v>
      </c>
      <c r="J68" s="10">
        <f t="shared" si="5"/>
        <v>56533</v>
      </c>
      <c r="K68" s="11">
        <v>28151.0</v>
      </c>
      <c r="L68" s="11">
        <v>28382.0</v>
      </c>
      <c r="M68" s="5"/>
      <c r="N68" s="8" t="s">
        <v>26</v>
      </c>
      <c r="O68" s="9" t="s">
        <v>10</v>
      </c>
      <c r="P68" s="10">
        <f t="shared" si="6"/>
        <v>0</v>
      </c>
      <c r="Q68" s="11">
        <v>0.0</v>
      </c>
      <c r="R68" s="11">
        <v>0.0</v>
      </c>
      <c r="T68" s="8" t="s">
        <v>26</v>
      </c>
      <c r="U68" s="9" t="s">
        <v>10</v>
      </c>
      <c r="V68" s="10">
        <f t="shared" si="7"/>
        <v>0</v>
      </c>
      <c r="W68" s="11">
        <v>0.0</v>
      </c>
      <c r="X68" s="11">
        <v>0.0</v>
      </c>
    </row>
    <row r="69">
      <c r="B69" s="6" t="str">
        <f t="shared" ref="B69:C69" si="136">H69</f>
        <v>Henzada</v>
      </c>
      <c r="C69" s="12">
        <f t="shared" si="136"/>
        <v>45786</v>
      </c>
      <c r="D69" s="6">
        <f t="shared" ref="D69:F69" si="137">J69+P69+V69</f>
        <v>50932</v>
      </c>
      <c r="E69" s="6">
        <f t="shared" si="137"/>
        <v>25503</v>
      </c>
      <c r="F69" s="6">
        <f t="shared" si="137"/>
        <v>25429</v>
      </c>
      <c r="G69" s="6"/>
      <c r="H69" s="8" t="s">
        <v>26</v>
      </c>
      <c r="I69" s="13">
        <v>45786.0</v>
      </c>
      <c r="J69" s="10">
        <f t="shared" si="5"/>
        <v>50932</v>
      </c>
      <c r="K69" s="11">
        <v>25503.0</v>
      </c>
      <c r="L69" s="11">
        <v>25429.0</v>
      </c>
      <c r="M69" s="5"/>
      <c r="N69" s="8" t="s">
        <v>26</v>
      </c>
      <c r="O69" s="13">
        <v>45786.0</v>
      </c>
      <c r="P69" s="10">
        <f t="shared" si="6"/>
        <v>0</v>
      </c>
      <c r="Q69" s="11">
        <v>0.0</v>
      </c>
      <c r="R69" s="11">
        <v>0.0</v>
      </c>
      <c r="T69" s="8" t="s">
        <v>26</v>
      </c>
      <c r="U69" s="13">
        <v>45786.0</v>
      </c>
      <c r="V69" s="10">
        <f t="shared" si="7"/>
        <v>0</v>
      </c>
      <c r="W69" s="11">
        <v>0.0</v>
      </c>
      <c r="X69" s="11">
        <v>0.0</v>
      </c>
    </row>
    <row r="70">
      <c r="B70" s="6" t="str">
        <f t="shared" ref="B70:C70" si="138">H70</f>
        <v>Henzada</v>
      </c>
      <c r="C70" s="12">
        <f t="shared" si="138"/>
        <v>45944</v>
      </c>
      <c r="D70" s="6">
        <f t="shared" ref="D70:F70" si="139">J70+P70+V70</f>
        <v>48059</v>
      </c>
      <c r="E70" s="6">
        <f t="shared" si="139"/>
        <v>25087</v>
      </c>
      <c r="F70" s="6">
        <f t="shared" si="139"/>
        <v>22972</v>
      </c>
      <c r="G70" s="6"/>
      <c r="H70" s="8" t="s">
        <v>26</v>
      </c>
      <c r="I70" s="13">
        <v>45944.0</v>
      </c>
      <c r="J70" s="10">
        <f t="shared" si="5"/>
        <v>47983</v>
      </c>
      <c r="K70" s="11">
        <v>25068.0</v>
      </c>
      <c r="L70" s="11">
        <v>22915.0</v>
      </c>
      <c r="M70" s="5"/>
      <c r="N70" s="8" t="s">
        <v>26</v>
      </c>
      <c r="O70" s="13">
        <v>45944.0</v>
      </c>
      <c r="P70" s="10">
        <f t="shared" si="6"/>
        <v>71</v>
      </c>
      <c r="Q70" s="11">
        <v>19.0</v>
      </c>
      <c r="R70" s="11">
        <v>52.0</v>
      </c>
      <c r="T70" s="8" t="s">
        <v>26</v>
      </c>
      <c r="U70" s="13">
        <v>45944.0</v>
      </c>
      <c r="V70" s="10">
        <f t="shared" si="7"/>
        <v>5</v>
      </c>
      <c r="W70" s="11">
        <v>0.0</v>
      </c>
      <c r="X70" s="11">
        <v>5.0</v>
      </c>
    </row>
    <row r="71">
      <c r="B71" s="6" t="str">
        <f t="shared" ref="B71:C71" si="140">H71</f>
        <v>Henzada</v>
      </c>
      <c r="C71" s="7" t="str">
        <f t="shared" si="140"/>
        <v>15-19</v>
      </c>
      <c r="D71" s="6">
        <f t="shared" ref="D71:F71" si="141">J71+P71+V71</f>
        <v>39493</v>
      </c>
      <c r="E71" s="6">
        <f t="shared" si="141"/>
        <v>18634</v>
      </c>
      <c r="F71" s="6">
        <f t="shared" si="141"/>
        <v>20859</v>
      </c>
      <c r="G71" s="6"/>
      <c r="H71" s="8" t="s">
        <v>26</v>
      </c>
      <c r="I71" s="9" t="s">
        <v>11</v>
      </c>
      <c r="J71" s="10">
        <f t="shared" si="5"/>
        <v>33251</v>
      </c>
      <c r="K71" s="11">
        <v>17337.0</v>
      </c>
      <c r="L71" s="11">
        <v>15914.0</v>
      </c>
      <c r="M71" s="5"/>
      <c r="N71" s="8" t="s">
        <v>26</v>
      </c>
      <c r="O71" s="9" t="s">
        <v>11</v>
      </c>
      <c r="P71" s="10">
        <f t="shared" si="6"/>
        <v>5763</v>
      </c>
      <c r="Q71" s="11">
        <v>1199.0</v>
      </c>
      <c r="R71" s="11">
        <v>4564.0</v>
      </c>
      <c r="T71" s="8" t="s">
        <v>26</v>
      </c>
      <c r="U71" s="8" t="s">
        <v>11</v>
      </c>
      <c r="V71" s="10">
        <f t="shared" si="7"/>
        <v>479</v>
      </c>
      <c r="W71" s="11">
        <v>98.0</v>
      </c>
      <c r="X71" s="11">
        <v>381.0</v>
      </c>
    </row>
    <row r="72">
      <c r="B72" s="6" t="str">
        <f t="shared" ref="B72:C72" si="142">H72</f>
        <v>Henzada</v>
      </c>
      <c r="C72" s="7" t="str">
        <f t="shared" si="142"/>
        <v>20-24</v>
      </c>
      <c r="D72" s="6">
        <f t="shared" ref="D72:F72" si="143">J72+P72+V72</f>
        <v>35230</v>
      </c>
      <c r="E72" s="6">
        <f t="shared" si="143"/>
        <v>16752</v>
      </c>
      <c r="F72" s="6">
        <f t="shared" si="143"/>
        <v>18478</v>
      </c>
      <c r="G72" s="6"/>
      <c r="H72" s="8" t="s">
        <v>26</v>
      </c>
      <c r="I72" s="9" t="s">
        <v>12</v>
      </c>
      <c r="J72" s="10">
        <f t="shared" si="5"/>
        <v>12478</v>
      </c>
      <c r="K72" s="11">
        <v>7778.0</v>
      </c>
      <c r="L72" s="11">
        <v>4700.0</v>
      </c>
      <c r="M72" s="5"/>
      <c r="N72" s="8" t="s">
        <v>26</v>
      </c>
      <c r="O72" s="9" t="s">
        <v>12</v>
      </c>
      <c r="P72" s="10">
        <f t="shared" si="6"/>
        <v>21354</v>
      </c>
      <c r="Q72" s="11">
        <v>8493.0</v>
      </c>
      <c r="R72" s="11">
        <v>12861.0</v>
      </c>
      <c r="T72" s="8" t="s">
        <v>26</v>
      </c>
      <c r="U72" s="8" t="s">
        <v>12</v>
      </c>
      <c r="V72" s="10">
        <f t="shared" si="7"/>
        <v>1398</v>
      </c>
      <c r="W72" s="11">
        <v>481.0</v>
      </c>
      <c r="X72" s="11">
        <v>917.0</v>
      </c>
    </row>
    <row r="73">
      <c r="B73" s="6" t="str">
        <f t="shared" ref="B73:C73" si="144">H73</f>
        <v>Henzada</v>
      </c>
      <c r="C73" s="7" t="str">
        <f t="shared" si="144"/>
        <v>25-29</v>
      </c>
      <c r="D73" s="6">
        <f t="shared" ref="D73:F73" si="145">J73+P73+V73</f>
        <v>30209</v>
      </c>
      <c r="E73" s="6">
        <f t="shared" si="145"/>
        <v>15355</v>
      </c>
      <c r="F73" s="6">
        <f t="shared" si="145"/>
        <v>14854</v>
      </c>
      <c r="G73" s="6"/>
      <c r="H73" s="8" t="s">
        <v>26</v>
      </c>
      <c r="I73" s="9" t="s">
        <v>13</v>
      </c>
      <c r="J73" s="10">
        <f t="shared" si="5"/>
        <v>4159</v>
      </c>
      <c r="K73" s="11">
        <v>2703.0</v>
      </c>
      <c r="L73" s="11">
        <v>1456.0</v>
      </c>
      <c r="M73" s="5"/>
      <c r="N73" s="8" t="s">
        <v>26</v>
      </c>
      <c r="O73" s="9" t="s">
        <v>13</v>
      </c>
      <c r="P73" s="10">
        <f t="shared" si="6"/>
        <v>24435</v>
      </c>
      <c r="Q73" s="11">
        <v>12045.0</v>
      </c>
      <c r="R73" s="11">
        <v>12390.0</v>
      </c>
      <c r="T73" s="8" t="s">
        <v>26</v>
      </c>
      <c r="U73" s="9" t="s">
        <v>13</v>
      </c>
      <c r="V73" s="10">
        <f t="shared" si="7"/>
        <v>1615</v>
      </c>
      <c r="W73" s="1">
        <v>607.0</v>
      </c>
      <c r="X73" s="11">
        <v>1008.0</v>
      </c>
    </row>
    <row r="74">
      <c r="B74" s="6" t="str">
        <f t="shared" ref="B74:C74" si="146">H74</f>
        <v>Henzada</v>
      </c>
      <c r="C74" s="7" t="str">
        <f t="shared" si="146"/>
        <v>30-34</v>
      </c>
      <c r="D74" s="6">
        <f t="shared" ref="D74:F74" si="147">J74+P74+V74</f>
        <v>25159</v>
      </c>
      <c r="E74" s="6">
        <f t="shared" si="147"/>
        <v>13302</v>
      </c>
      <c r="F74" s="6">
        <f t="shared" si="147"/>
        <v>11857</v>
      </c>
      <c r="G74" s="6"/>
      <c r="H74" s="8" t="s">
        <v>26</v>
      </c>
      <c r="I74" s="8" t="s">
        <v>14</v>
      </c>
      <c r="J74" s="10">
        <f t="shared" si="5"/>
        <v>1762</v>
      </c>
      <c r="K74" s="11">
        <v>1139.0</v>
      </c>
      <c r="L74" s="11">
        <v>623.0</v>
      </c>
      <c r="M74" s="5"/>
      <c r="N74" s="8" t="s">
        <v>26</v>
      </c>
      <c r="O74" s="8" t="s">
        <v>14</v>
      </c>
      <c r="P74" s="10">
        <f t="shared" si="6"/>
        <v>21683</v>
      </c>
      <c r="Q74" s="11">
        <v>11476.0</v>
      </c>
      <c r="R74" s="11">
        <v>10207.0</v>
      </c>
      <c r="T74" s="8" t="s">
        <v>26</v>
      </c>
      <c r="U74" s="9" t="s">
        <v>14</v>
      </c>
      <c r="V74" s="10">
        <f t="shared" si="7"/>
        <v>1714</v>
      </c>
      <c r="W74" s="1">
        <v>687.0</v>
      </c>
      <c r="X74" s="11">
        <v>1027.0</v>
      </c>
    </row>
    <row r="75">
      <c r="B75" s="6" t="str">
        <f t="shared" ref="B75:C75" si="148">H75</f>
        <v>Henzada</v>
      </c>
      <c r="C75" s="7" t="str">
        <f t="shared" si="148"/>
        <v>35-39</v>
      </c>
      <c r="D75" s="6">
        <f t="shared" ref="D75:F75" si="149">J75+P75+V75</f>
        <v>18407</v>
      </c>
      <c r="E75" s="6">
        <f t="shared" si="149"/>
        <v>9927</v>
      </c>
      <c r="F75" s="6">
        <f t="shared" si="149"/>
        <v>8480</v>
      </c>
      <c r="G75" s="6"/>
      <c r="H75" s="8" t="s">
        <v>26</v>
      </c>
      <c r="I75" s="8" t="s">
        <v>15</v>
      </c>
      <c r="J75" s="10">
        <f t="shared" si="5"/>
        <v>847</v>
      </c>
      <c r="K75" s="11">
        <v>560.0</v>
      </c>
      <c r="L75" s="11">
        <v>287.0</v>
      </c>
      <c r="M75" s="5"/>
      <c r="N75" s="8" t="s">
        <v>26</v>
      </c>
      <c r="O75" s="8" t="s">
        <v>15</v>
      </c>
      <c r="P75" s="10">
        <f t="shared" si="6"/>
        <v>16041</v>
      </c>
      <c r="Q75" s="11">
        <v>8760.0</v>
      </c>
      <c r="R75" s="11">
        <v>7281.0</v>
      </c>
      <c r="T75" s="8" t="s">
        <v>26</v>
      </c>
      <c r="U75" s="9" t="s">
        <v>15</v>
      </c>
      <c r="V75" s="10">
        <f t="shared" si="7"/>
        <v>1519</v>
      </c>
      <c r="W75" s="1">
        <v>607.0</v>
      </c>
      <c r="X75" s="11">
        <v>912.0</v>
      </c>
    </row>
    <row r="76">
      <c r="B76" s="6" t="str">
        <f t="shared" ref="B76:C76" si="150">H76</f>
        <v>Henzada</v>
      </c>
      <c r="C76" s="7" t="str">
        <f t="shared" si="150"/>
        <v>40-44</v>
      </c>
      <c r="D76" s="6">
        <f t="shared" ref="D76:F76" si="151">J76+P76+V76</f>
        <v>18210</v>
      </c>
      <c r="E76" s="6">
        <f t="shared" si="151"/>
        <v>9436</v>
      </c>
      <c r="F76" s="6">
        <f t="shared" si="151"/>
        <v>8774</v>
      </c>
      <c r="G76" s="6"/>
      <c r="H76" s="8" t="s">
        <v>26</v>
      </c>
      <c r="I76" s="8" t="s">
        <v>16</v>
      </c>
      <c r="J76" s="10">
        <f t="shared" si="5"/>
        <v>650</v>
      </c>
      <c r="K76" s="11">
        <v>401.0</v>
      </c>
      <c r="L76" s="11">
        <v>249.0</v>
      </c>
      <c r="M76" s="5"/>
      <c r="N76" s="8" t="s">
        <v>26</v>
      </c>
      <c r="O76" s="8" t="s">
        <v>16</v>
      </c>
      <c r="P76" s="10">
        <f t="shared" si="6"/>
        <v>15515</v>
      </c>
      <c r="Q76" s="11">
        <v>8350.0</v>
      </c>
      <c r="R76" s="11">
        <v>7165.0</v>
      </c>
      <c r="T76" s="8" t="s">
        <v>26</v>
      </c>
      <c r="U76" s="9" t="s">
        <v>16</v>
      </c>
      <c r="V76" s="10">
        <f t="shared" si="7"/>
        <v>2045</v>
      </c>
      <c r="W76" s="1">
        <v>685.0</v>
      </c>
      <c r="X76" s="11">
        <v>1360.0</v>
      </c>
    </row>
    <row r="77">
      <c r="B77" s="6" t="str">
        <f t="shared" ref="B77:C77" si="152">H77</f>
        <v>Henzada</v>
      </c>
      <c r="C77" s="7" t="str">
        <f t="shared" si="152"/>
        <v>45-49</v>
      </c>
      <c r="D77" s="6">
        <f t="shared" ref="D77:F77" si="153">J77+P77+V77</f>
        <v>13361</v>
      </c>
      <c r="E77" s="6">
        <f t="shared" si="153"/>
        <v>7072</v>
      </c>
      <c r="F77" s="6">
        <f t="shared" si="153"/>
        <v>6289</v>
      </c>
      <c r="G77" s="6"/>
      <c r="H77" s="8" t="s">
        <v>26</v>
      </c>
      <c r="I77" s="8" t="s">
        <v>17</v>
      </c>
      <c r="J77" s="10">
        <f t="shared" si="5"/>
        <v>375</v>
      </c>
      <c r="K77" s="11">
        <v>224.0</v>
      </c>
      <c r="L77" s="11">
        <v>151.0</v>
      </c>
      <c r="M77" s="5"/>
      <c r="N77" s="8" t="s">
        <v>26</v>
      </c>
      <c r="O77" s="8" t="s">
        <v>17</v>
      </c>
      <c r="P77" s="10">
        <f t="shared" si="6"/>
        <v>11135</v>
      </c>
      <c r="Q77" s="11">
        <v>6214.0</v>
      </c>
      <c r="R77" s="11">
        <v>4921.0</v>
      </c>
      <c r="T77" s="8" t="s">
        <v>26</v>
      </c>
      <c r="U77" s="9" t="s">
        <v>17</v>
      </c>
      <c r="V77" s="10">
        <f t="shared" si="7"/>
        <v>1851</v>
      </c>
      <c r="W77" s="1">
        <v>634.0</v>
      </c>
      <c r="X77" s="11">
        <v>1217.0</v>
      </c>
    </row>
    <row r="78">
      <c r="B78" s="6" t="str">
        <f t="shared" ref="B78:C78" si="154">H78</f>
        <v>Henzada</v>
      </c>
      <c r="C78" s="7" t="str">
        <f t="shared" si="154"/>
        <v>50-54</v>
      </c>
      <c r="D78" s="6">
        <f t="shared" ref="D78:F78" si="155">J78+P78+V78</f>
        <v>14295</v>
      </c>
      <c r="E78" s="6">
        <f t="shared" si="155"/>
        <v>6825</v>
      </c>
      <c r="F78" s="6">
        <f t="shared" si="155"/>
        <v>7470</v>
      </c>
      <c r="G78" s="6"/>
      <c r="H78" s="8" t="s">
        <v>26</v>
      </c>
      <c r="I78" s="8" t="s">
        <v>18</v>
      </c>
      <c r="J78" s="10">
        <f t="shared" si="5"/>
        <v>419</v>
      </c>
      <c r="K78" s="11">
        <v>247.0</v>
      </c>
      <c r="L78" s="11">
        <v>172.0</v>
      </c>
      <c r="M78" s="5"/>
      <c r="N78" s="8" t="s">
        <v>26</v>
      </c>
      <c r="O78" s="8" t="s">
        <v>18</v>
      </c>
      <c r="P78" s="10">
        <f t="shared" si="6"/>
        <v>10850</v>
      </c>
      <c r="Q78" s="11">
        <v>5775.0</v>
      </c>
      <c r="R78" s="11">
        <v>5075.0</v>
      </c>
      <c r="T78" s="8" t="s">
        <v>26</v>
      </c>
      <c r="U78" s="9" t="s">
        <v>18</v>
      </c>
      <c r="V78" s="10">
        <f t="shared" si="7"/>
        <v>3026</v>
      </c>
      <c r="W78" s="1">
        <v>803.0</v>
      </c>
      <c r="X78" s="11">
        <v>2223.0</v>
      </c>
    </row>
    <row r="79">
      <c r="B79" s="6" t="str">
        <f t="shared" ref="B79:C79" si="156">H79</f>
        <v>Henzada</v>
      </c>
      <c r="C79" s="7" t="str">
        <f t="shared" si="156"/>
        <v>55-59</v>
      </c>
      <c r="D79" s="6">
        <f t="shared" ref="D79:F79" si="157">J79+P79+V79</f>
        <v>8320</v>
      </c>
      <c r="E79" s="6">
        <f t="shared" si="157"/>
        <v>4285</v>
      </c>
      <c r="F79" s="6">
        <f t="shared" si="157"/>
        <v>4035</v>
      </c>
      <c r="G79" s="6"/>
      <c r="H79" s="8" t="s">
        <v>26</v>
      </c>
      <c r="I79" s="8" t="s">
        <v>19</v>
      </c>
      <c r="J79" s="10">
        <f t="shared" si="5"/>
        <v>219</v>
      </c>
      <c r="K79" s="11">
        <v>115.0</v>
      </c>
      <c r="L79" s="11">
        <v>104.0</v>
      </c>
      <c r="M79" s="5"/>
      <c r="N79" s="8" t="s">
        <v>26</v>
      </c>
      <c r="O79" s="8" t="s">
        <v>19</v>
      </c>
      <c r="P79" s="10">
        <f t="shared" si="6"/>
        <v>6039</v>
      </c>
      <c r="Q79" s="11">
        <v>3578.0</v>
      </c>
      <c r="R79" s="11">
        <v>2461.0</v>
      </c>
      <c r="T79" s="8" t="s">
        <v>26</v>
      </c>
      <c r="U79" s="9" t="s">
        <v>19</v>
      </c>
      <c r="V79" s="10">
        <f t="shared" si="7"/>
        <v>2062</v>
      </c>
      <c r="W79" s="1">
        <v>592.0</v>
      </c>
      <c r="X79" s="11">
        <v>1470.0</v>
      </c>
    </row>
    <row r="80">
      <c r="B80" s="6" t="str">
        <f t="shared" ref="B80:C80" si="158">H80</f>
        <v>Henzada</v>
      </c>
      <c r="C80" s="7" t="str">
        <f t="shared" si="158"/>
        <v>60+</v>
      </c>
      <c r="D80" s="6">
        <f t="shared" ref="D80:F80" si="159">J80+P80+V80</f>
        <v>22183</v>
      </c>
      <c r="E80" s="6">
        <f t="shared" si="159"/>
        <v>11039</v>
      </c>
      <c r="F80" s="6">
        <f t="shared" si="159"/>
        <v>11144</v>
      </c>
      <c r="G80" s="6"/>
      <c r="H80" s="8" t="s">
        <v>26</v>
      </c>
      <c r="I80" s="8" t="s">
        <v>20</v>
      </c>
      <c r="J80" s="10">
        <f t="shared" si="5"/>
        <v>487</v>
      </c>
      <c r="K80" s="11">
        <v>296.0</v>
      </c>
      <c r="L80" s="11">
        <v>191.0</v>
      </c>
      <c r="M80" s="5"/>
      <c r="N80" s="8" t="s">
        <v>26</v>
      </c>
      <c r="O80" s="8" t="s">
        <v>21</v>
      </c>
      <c r="P80" s="10">
        <f t="shared" si="6"/>
        <v>12078</v>
      </c>
      <c r="Q80" s="11">
        <v>7991.0</v>
      </c>
      <c r="R80" s="11">
        <v>4087.0</v>
      </c>
      <c r="T80" s="8" t="s">
        <v>26</v>
      </c>
      <c r="U80" s="1" t="s">
        <v>21</v>
      </c>
      <c r="V80" s="10">
        <f t="shared" si="7"/>
        <v>9618</v>
      </c>
      <c r="W80" s="1">
        <v>2752.0</v>
      </c>
      <c r="X80" s="11">
        <v>6866.0</v>
      </c>
    </row>
    <row r="81">
      <c r="B81" s="6" t="str">
        <f t="shared" ref="B81:C81" si="160">H81</f>
        <v>Katha</v>
      </c>
      <c r="C81" s="7" t="str">
        <f t="shared" si="160"/>
        <v>0-4</v>
      </c>
      <c r="D81" s="6">
        <f t="shared" ref="D81:F81" si="161">J81+P81+V81</f>
        <v>7601</v>
      </c>
      <c r="E81" s="6">
        <f t="shared" si="161"/>
        <v>3741</v>
      </c>
      <c r="F81" s="6">
        <f t="shared" si="161"/>
        <v>3860</v>
      </c>
      <c r="G81" s="6"/>
      <c r="H81" s="8" t="s">
        <v>27</v>
      </c>
      <c r="I81" s="9" t="s">
        <v>10</v>
      </c>
      <c r="J81" s="10">
        <f t="shared" si="5"/>
        <v>7601</v>
      </c>
      <c r="K81" s="11">
        <v>3741.0</v>
      </c>
      <c r="L81" s="11">
        <v>3860.0</v>
      </c>
      <c r="M81" s="5"/>
      <c r="N81" s="8" t="s">
        <v>27</v>
      </c>
      <c r="O81" s="9" t="s">
        <v>10</v>
      </c>
      <c r="P81" s="10">
        <f t="shared" si="6"/>
        <v>0</v>
      </c>
      <c r="Q81" s="11">
        <v>0.0</v>
      </c>
      <c r="R81" s="11">
        <v>0.0</v>
      </c>
      <c r="T81" s="8" t="s">
        <v>27</v>
      </c>
      <c r="U81" s="9" t="s">
        <v>10</v>
      </c>
      <c r="V81" s="10">
        <f t="shared" si="7"/>
        <v>0</v>
      </c>
      <c r="W81" s="11">
        <v>0.0</v>
      </c>
      <c r="X81" s="11">
        <v>0.0</v>
      </c>
    </row>
    <row r="82">
      <c r="B82" s="6" t="str">
        <f t="shared" ref="B82:C82" si="162">H82</f>
        <v>Katha</v>
      </c>
      <c r="C82" s="12">
        <f t="shared" si="162"/>
        <v>45786</v>
      </c>
      <c r="D82" s="6">
        <f t="shared" ref="D82:F82" si="163">J82+P82+V82</f>
        <v>7052</v>
      </c>
      <c r="E82" s="6">
        <f t="shared" si="163"/>
        <v>3440</v>
      </c>
      <c r="F82" s="6">
        <f t="shared" si="163"/>
        <v>3612</v>
      </c>
      <c r="G82" s="6"/>
      <c r="H82" s="8" t="s">
        <v>27</v>
      </c>
      <c r="I82" s="13">
        <v>45786.0</v>
      </c>
      <c r="J82" s="10">
        <f t="shared" si="5"/>
        <v>7052</v>
      </c>
      <c r="K82" s="11">
        <v>3440.0</v>
      </c>
      <c r="L82" s="11">
        <v>3612.0</v>
      </c>
      <c r="M82" s="5"/>
      <c r="N82" s="8" t="s">
        <v>27</v>
      </c>
      <c r="O82" s="13">
        <v>45786.0</v>
      </c>
      <c r="P82" s="10">
        <f t="shared" si="6"/>
        <v>0</v>
      </c>
      <c r="Q82" s="11">
        <v>0.0</v>
      </c>
      <c r="R82" s="11">
        <v>0.0</v>
      </c>
      <c r="T82" s="8" t="s">
        <v>27</v>
      </c>
      <c r="U82" s="13">
        <v>45786.0</v>
      </c>
      <c r="V82" s="10">
        <f t="shared" si="7"/>
        <v>0</v>
      </c>
      <c r="W82" s="11">
        <v>0.0</v>
      </c>
      <c r="X82" s="11">
        <v>0.0</v>
      </c>
    </row>
    <row r="83">
      <c r="B83" s="6" t="str">
        <f t="shared" ref="B83:C83" si="164">H83</f>
        <v>Katha</v>
      </c>
      <c r="C83" s="12">
        <f t="shared" si="164"/>
        <v>45944</v>
      </c>
      <c r="D83" s="6">
        <f t="shared" ref="D83:F83" si="165">J83+P83+V83</f>
        <v>5980</v>
      </c>
      <c r="E83" s="6">
        <f t="shared" si="165"/>
        <v>3014</v>
      </c>
      <c r="F83" s="6">
        <f t="shared" si="165"/>
        <v>2966</v>
      </c>
      <c r="G83" s="6"/>
      <c r="H83" s="8" t="s">
        <v>27</v>
      </c>
      <c r="I83" s="13">
        <v>45944.0</v>
      </c>
      <c r="J83" s="10">
        <f t="shared" si="5"/>
        <v>5966</v>
      </c>
      <c r="K83" s="11">
        <v>3011.0</v>
      </c>
      <c r="L83" s="11">
        <v>2955.0</v>
      </c>
      <c r="M83" s="5"/>
      <c r="N83" s="8" t="s">
        <v>27</v>
      </c>
      <c r="O83" s="13">
        <v>45944.0</v>
      </c>
      <c r="P83" s="10">
        <f t="shared" si="6"/>
        <v>13</v>
      </c>
      <c r="Q83" s="11">
        <v>3.0</v>
      </c>
      <c r="R83" s="11">
        <v>10.0</v>
      </c>
      <c r="T83" s="8" t="s">
        <v>27</v>
      </c>
      <c r="U83" s="13">
        <v>45944.0</v>
      </c>
      <c r="V83" s="10">
        <f t="shared" si="7"/>
        <v>1</v>
      </c>
      <c r="W83" s="11">
        <v>0.0</v>
      </c>
      <c r="X83" s="11">
        <v>1.0</v>
      </c>
    </row>
    <row r="84">
      <c r="B84" s="6" t="str">
        <f t="shared" ref="B84:C84" si="166">H84</f>
        <v>Katha</v>
      </c>
      <c r="C84" s="7" t="str">
        <f t="shared" si="166"/>
        <v>15-19</v>
      </c>
      <c r="D84" s="6">
        <f t="shared" ref="D84:F84" si="167">J84+P84+V84</f>
        <v>5163</v>
      </c>
      <c r="E84" s="6">
        <f t="shared" si="167"/>
        <v>2540</v>
      </c>
      <c r="F84" s="6">
        <f t="shared" si="167"/>
        <v>2623</v>
      </c>
      <c r="G84" s="6"/>
      <c r="H84" s="8" t="s">
        <v>27</v>
      </c>
      <c r="I84" s="9" t="s">
        <v>11</v>
      </c>
      <c r="J84" s="10">
        <f t="shared" si="5"/>
        <v>4511</v>
      </c>
      <c r="K84" s="11">
        <v>2426.0</v>
      </c>
      <c r="L84" s="11">
        <v>2085.0</v>
      </c>
      <c r="M84" s="5"/>
      <c r="N84" s="8" t="s">
        <v>27</v>
      </c>
      <c r="O84" s="9" t="s">
        <v>11</v>
      </c>
      <c r="P84" s="10">
        <f t="shared" si="6"/>
        <v>597</v>
      </c>
      <c r="Q84" s="11">
        <v>101.0</v>
      </c>
      <c r="R84" s="11">
        <v>496.0</v>
      </c>
      <c r="T84" s="8" t="s">
        <v>27</v>
      </c>
      <c r="U84" s="9" t="s">
        <v>11</v>
      </c>
      <c r="V84" s="10">
        <f t="shared" si="7"/>
        <v>55</v>
      </c>
      <c r="W84" s="1">
        <v>13.0</v>
      </c>
      <c r="X84" s="11">
        <v>42.0</v>
      </c>
    </row>
    <row r="85">
      <c r="B85" s="6" t="str">
        <f t="shared" ref="B85:C85" si="168">H85</f>
        <v>Katha</v>
      </c>
      <c r="C85" s="7" t="str">
        <f t="shared" si="168"/>
        <v>20-24</v>
      </c>
      <c r="D85" s="6">
        <f t="shared" ref="D85:F85" si="169">J85+P85+V85</f>
        <v>5572</v>
      </c>
      <c r="E85" s="6">
        <f t="shared" si="169"/>
        <v>3139</v>
      </c>
      <c r="F85" s="6">
        <f t="shared" si="169"/>
        <v>2433</v>
      </c>
      <c r="G85" s="6"/>
      <c r="H85" s="8" t="s">
        <v>27</v>
      </c>
      <c r="I85" s="9" t="s">
        <v>12</v>
      </c>
      <c r="J85" s="10">
        <f t="shared" si="5"/>
        <v>2705</v>
      </c>
      <c r="K85" s="11">
        <v>2007.0</v>
      </c>
      <c r="L85" s="11">
        <v>698.0</v>
      </c>
      <c r="M85" s="5"/>
      <c r="N85" s="8" t="s">
        <v>27</v>
      </c>
      <c r="O85" s="9" t="s">
        <v>12</v>
      </c>
      <c r="P85" s="10">
        <f t="shared" si="6"/>
        <v>2676</v>
      </c>
      <c r="Q85" s="11">
        <v>1054.0</v>
      </c>
      <c r="R85" s="11">
        <v>1622.0</v>
      </c>
      <c r="T85" s="8" t="s">
        <v>27</v>
      </c>
      <c r="U85" s="9" t="s">
        <v>12</v>
      </c>
      <c r="V85" s="10">
        <f t="shared" si="7"/>
        <v>191</v>
      </c>
      <c r="W85" s="11">
        <v>78.0</v>
      </c>
      <c r="X85" s="11">
        <v>113.0</v>
      </c>
    </row>
    <row r="86">
      <c r="B86" s="6" t="str">
        <f t="shared" ref="B86:C86" si="170">H86</f>
        <v>Katha</v>
      </c>
      <c r="C86" s="7" t="str">
        <f t="shared" si="170"/>
        <v>25-29</v>
      </c>
      <c r="D86" s="6">
        <f t="shared" ref="D86:F86" si="171">J86+P86+V86</f>
        <v>5582</v>
      </c>
      <c r="E86" s="6">
        <f t="shared" si="171"/>
        <v>2929</v>
      </c>
      <c r="F86" s="6">
        <f t="shared" si="171"/>
        <v>2653</v>
      </c>
      <c r="G86" s="6"/>
      <c r="H86" s="8" t="s">
        <v>27</v>
      </c>
      <c r="I86" s="9" t="s">
        <v>13</v>
      </c>
      <c r="J86" s="10">
        <f t="shared" si="5"/>
        <v>1185</v>
      </c>
      <c r="K86" s="11">
        <v>916.0</v>
      </c>
      <c r="L86" s="11">
        <v>269.0</v>
      </c>
      <c r="M86" s="5"/>
      <c r="N86" s="8" t="s">
        <v>27</v>
      </c>
      <c r="O86" s="9" t="s">
        <v>13</v>
      </c>
      <c r="P86" s="10">
        <f t="shared" si="6"/>
        <v>4068</v>
      </c>
      <c r="Q86" s="11">
        <v>1883.0</v>
      </c>
      <c r="R86" s="11">
        <v>2185.0</v>
      </c>
      <c r="T86" s="1" t="s">
        <v>27</v>
      </c>
      <c r="U86" s="1" t="s">
        <v>13</v>
      </c>
      <c r="V86" s="10">
        <f t="shared" si="7"/>
        <v>329</v>
      </c>
      <c r="W86" s="1">
        <v>130.0</v>
      </c>
      <c r="X86" s="1">
        <v>199.0</v>
      </c>
    </row>
    <row r="87">
      <c r="B87" s="6" t="str">
        <f t="shared" ref="B87:C87" si="172">H87</f>
        <v>Katha</v>
      </c>
      <c r="C87" s="7" t="str">
        <f t="shared" si="172"/>
        <v>30-34</v>
      </c>
      <c r="D87" s="6">
        <f t="shared" ref="D87:F87" si="173">J87+P87+V87</f>
        <v>5306</v>
      </c>
      <c r="E87" s="6">
        <f t="shared" si="173"/>
        <v>2862</v>
      </c>
      <c r="F87" s="6">
        <f t="shared" si="173"/>
        <v>2444</v>
      </c>
      <c r="G87" s="6"/>
      <c r="H87" s="8" t="s">
        <v>27</v>
      </c>
      <c r="I87" s="8" t="s">
        <v>14</v>
      </c>
      <c r="J87" s="10">
        <f t="shared" si="5"/>
        <v>475</v>
      </c>
      <c r="K87" s="11">
        <v>370.0</v>
      </c>
      <c r="L87" s="11">
        <v>105.0</v>
      </c>
      <c r="M87" s="5"/>
      <c r="N87" s="8" t="s">
        <v>27</v>
      </c>
      <c r="O87" s="8" t="s">
        <v>14</v>
      </c>
      <c r="P87" s="10">
        <f t="shared" si="6"/>
        <v>4496</v>
      </c>
      <c r="Q87" s="11">
        <v>2382.0</v>
      </c>
      <c r="R87" s="11">
        <v>2114.0</v>
      </c>
      <c r="T87" s="1" t="s">
        <v>27</v>
      </c>
      <c r="U87" s="1" t="s">
        <v>14</v>
      </c>
      <c r="V87" s="10">
        <f t="shared" si="7"/>
        <v>335</v>
      </c>
      <c r="W87" s="1">
        <v>110.0</v>
      </c>
      <c r="X87" s="1">
        <v>225.0</v>
      </c>
    </row>
    <row r="88">
      <c r="B88" s="6" t="str">
        <f t="shared" ref="B88:C88" si="174">H88</f>
        <v>Katha</v>
      </c>
      <c r="C88" s="7" t="str">
        <f t="shared" si="174"/>
        <v>35-39</v>
      </c>
      <c r="D88" s="6">
        <f t="shared" ref="D88:F88" si="175">J88+P88+V88</f>
        <v>4084</v>
      </c>
      <c r="E88" s="6">
        <f t="shared" si="175"/>
        <v>2240</v>
      </c>
      <c r="F88" s="6">
        <f t="shared" si="175"/>
        <v>1844</v>
      </c>
      <c r="G88" s="6"/>
      <c r="H88" s="8" t="s">
        <v>27</v>
      </c>
      <c r="I88" s="8" t="s">
        <v>15</v>
      </c>
      <c r="J88" s="10">
        <f t="shared" si="5"/>
        <v>231</v>
      </c>
      <c r="K88" s="11">
        <v>178.0</v>
      </c>
      <c r="L88" s="11">
        <v>53.0</v>
      </c>
      <c r="M88" s="5"/>
      <c r="N88" s="8" t="s">
        <v>27</v>
      </c>
      <c r="O88" s="8" t="s">
        <v>15</v>
      </c>
      <c r="P88" s="10">
        <f t="shared" si="6"/>
        <v>3487</v>
      </c>
      <c r="Q88" s="11">
        <v>1941.0</v>
      </c>
      <c r="R88" s="11">
        <v>1546.0</v>
      </c>
      <c r="T88" s="1" t="s">
        <v>27</v>
      </c>
      <c r="U88" s="1" t="s">
        <v>15</v>
      </c>
      <c r="V88" s="10">
        <f t="shared" si="7"/>
        <v>366</v>
      </c>
      <c r="W88" s="1">
        <v>121.0</v>
      </c>
      <c r="X88" s="1">
        <v>245.0</v>
      </c>
    </row>
    <row r="89">
      <c r="B89" s="6" t="str">
        <f t="shared" ref="B89:C89" si="176">H89</f>
        <v>Katha</v>
      </c>
      <c r="C89" s="7" t="str">
        <f t="shared" si="176"/>
        <v>40-44</v>
      </c>
      <c r="D89" s="6">
        <f t="shared" ref="D89:F89" si="177">J89+P89+V89</f>
        <v>3483</v>
      </c>
      <c r="E89" s="6">
        <f t="shared" si="177"/>
        <v>1836</v>
      </c>
      <c r="F89" s="6">
        <f t="shared" si="177"/>
        <v>1647</v>
      </c>
      <c r="G89" s="6"/>
      <c r="H89" s="8" t="s">
        <v>27</v>
      </c>
      <c r="I89" s="8" t="s">
        <v>16</v>
      </c>
      <c r="J89" s="10">
        <f t="shared" si="5"/>
        <v>130</v>
      </c>
      <c r="K89" s="11">
        <v>83.0</v>
      </c>
      <c r="L89" s="11">
        <v>47.0</v>
      </c>
      <c r="M89" s="5"/>
      <c r="N89" s="8" t="s">
        <v>27</v>
      </c>
      <c r="O89" s="8" t="s">
        <v>16</v>
      </c>
      <c r="P89" s="10">
        <f t="shared" si="6"/>
        <v>2876</v>
      </c>
      <c r="Q89" s="11">
        <v>1637.0</v>
      </c>
      <c r="R89" s="11">
        <v>1239.0</v>
      </c>
      <c r="T89" s="1" t="s">
        <v>27</v>
      </c>
      <c r="U89" s="1" t="s">
        <v>16</v>
      </c>
      <c r="V89" s="10">
        <f t="shared" si="7"/>
        <v>477</v>
      </c>
      <c r="W89" s="1">
        <v>116.0</v>
      </c>
      <c r="X89" s="1">
        <v>361.0</v>
      </c>
    </row>
    <row r="90">
      <c r="B90" s="6" t="str">
        <f t="shared" ref="B90:C90" si="178">H90</f>
        <v>Katha</v>
      </c>
      <c r="C90" s="7" t="str">
        <f t="shared" si="178"/>
        <v>45-49</v>
      </c>
      <c r="D90" s="6">
        <f t="shared" ref="D90:F90" si="179">J90+P90+V90</f>
        <v>2177</v>
      </c>
      <c r="E90" s="6">
        <f t="shared" si="179"/>
        <v>1228</v>
      </c>
      <c r="F90" s="6">
        <f t="shared" si="179"/>
        <v>949</v>
      </c>
      <c r="G90" s="6"/>
      <c r="H90" s="8" t="s">
        <v>27</v>
      </c>
      <c r="I90" s="8" t="s">
        <v>17</v>
      </c>
      <c r="J90" s="10">
        <f t="shared" si="5"/>
        <v>70</v>
      </c>
      <c r="K90" s="11">
        <v>52.0</v>
      </c>
      <c r="L90" s="11">
        <v>18.0</v>
      </c>
      <c r="M90" s="5"/>
      <c r="N90" s="8" t="s">
        <v>27</v>
      </c>
      <c r="O90" s="8" t="s">
        <v>17</v>
      </c>
      <c r="P90" s="10">
        <f t="shared" si="6"/>
        <v>1734</v>
      </c>
      <c r="Q90" s="11">
        <v>1073.0</v>
      </c>
      <c r="R90" s="11">
        <v>661.0</v>
      </c>
      <c r="T90" s="1" t="s">
        <v>27</v>
      </c>
      <c r="U90" s="1" t="s">
        <v>17</v>
      </c>
      <c r="V90" s="10">
        <f t="shared" si="7"/>
        <v>373</v>
      </c>
      <c r="W90" s="1">
        <v>103.0</v>
      </c>
      <c r="X90" s="1">
        <v>270.0</v>
      </c>
    </row>
    <row r="91">
      <c r="B91" s="6" t="str">
        <f t="shared" ref="B91:C91" si="180">H91</f>
        <v>Katha</v>
      </c>
      <c r="C91" s="7" t="str">
        <f t="shared" si="180"/>
        <v>50-54</v>
      </c>
      <c r="D91" s="6">
        <f t="shared" ref="D91:F91" si="181">J91+P91+V91</f>
        <v>2515</v>
      </c>
      <c r="E91" s="6">
        <f t="shared" si="181"/>
        <v>1275</v>
      </c>
      <c r="F91" s="6">
        <f t="shared" si="181"/>
        <v>1240</v>
      </c>
      <c r="G91" s="6"/>
      <c r="H91" s="8" t="s">
        <v>27</v>
      </c>
      <c r="I91" s="8" t="s">
        <v>18</v>
      </c>
      <c r="J91" s="10">
        <f t="shared" si="5"/>
        <v>98</v>
      </c>
      <c r="K91" s="11">
        <v>54.0</v>
      </c>
      <c r="L91" s="11">
        <v>44.0</v>
      </c>
      <c r="M91" s="5"/>
      <c r="N91" s="8" t="s">
        <v>27</v>
      </c>
      <c r="O91" s="8" t="s">
        <v>18</v>
      </c>
      <c r="P91" s="10">
        <f t="shared" si="6"/>
        <v>1720</v>
      </c>
      <c r="Q91" s="11">
        <v>1063.0</v>
      </c>
      <c r="R91" s="11">
        <v>657.0</v>
      </c>
      <c r="T91" s="1" t="s">
        <v>27</v>
      </c>
      <c r="U91" s="1" t="s">
        <v>18</v>
      </c>
      <c r="V91" s="10">
        <f t="shared" si="7"/>
        <v>697</v>
      </c>
      <c r="W91" s="1">
        <v>158.0</v>
      </c>
      <c r="X91" s="1">
        <v>539.0</v>
      </c>
    </row>
    <row r="92">
      <c r="B92" s="6" t="str">
        <f t="shared" ref="B92:C92" si="182">H92</f>
        <v>Katha</v>
      </c>
      <c r="C92" s="7" t="str">
        <f t="shared" si="182"/>
        <v>55-59</v>
      </c>
      <c r="D92" s="6">
        <f t="shared" ref="D92:F92" si="183">J92+P92+V92</f>
        <v>1258</v>
      </c>
      <c r="E92" s="6">
        <f t="shared" si="183"/>
        <v>636</v>
      </c>
      <c r="F92" s="6">
        <f t="shared" si="183"/>
        <v>622</v>
      </c>
      <c r="G92" s="6"/>
      <c r="H92" s="8" t="s">
        <v>27</v>
      </c>
      <c r="I92" s="8" t="s">
        <v>19</v>
      </c>
      <c r="J92" s="10">
        <f t="shared" si="5"/>
        <v>56</v>
      </c>
      <c r="K92" s="11">
        <v>33.0</v>
      </c>
      <c r="L92" s="11">
        <v>23.0</v>
      </c>
      <c r="M92" s="5"/>
      <c r="N92" s="8" t="s">
        <v>27</v>
      </c>
      <c r="O92" s="8" t="s">
        <v>19</v>
      </c>
      <c r="P92" s="10">
        <f t="shared" si="6"/>
        <v>827</v>
      </c>
      <c r="Q92" s="11">
        <v>497.0</v>
      </c>
      <c r="R92" s="11">
        <v>330.0</v>
      </c>
      <c r="T92" s="1" t="s">
        <v>27</v>
      </c>
      <c r="U92" s="1" t="s">
        <v>19</v>
      </c>
      <c r="V92" s="10">
        <f t="shared" si="7"/>
        <v>375</v>
      </c>
      <c r="W92" s="1">
        <v>106.0</v>
      </c>
      <c r="X92" s="1">
        <v>269.0</v>
      </c>
    </row>
    <row r="93">
      <c r="B93" s="6" t="str">
        <f t="shared" ref="B93:C93" si="184">H93</f>
        <v>Katha</v>
      </c>
      <c r="C93" s="7" t="str">
        <f t="shared" si="184"/>
        <v>60+</v>
      </c>
      <c r="D93" s="6">
        <f t="shared" ref="D93:F93" si="185">J93+P93+V93</f>
        <v>3552</v>
      </c>
      <c r="E93" s="6">
        <f t="shared" si="185"/>
        <v>1616</v>
      </c>
      <c r="F93" s="6">
        <f t="shared" si="185"/>
        <v>1936</v>
      </c>
      <c r="G93" s="6"/>
      <c r="H93" s="8" t="s">
        <v>27</v>
      </c>
      <c r="I93" s="8" t="s">
        <v>20</v>
      </c>
      <c r="J93" s="10">
        <f t="shared" si="5"/>
        <v>130</v>
      </c>
      <c r="K93" s="11">
        <v>77.0</v>
      </c>
      <c r="L93" s="11">
        <v>53.0</v>
      </c>
      <c r="M93" s="5"/>
      <c r="N93" s="8" t="s">
        <v>27</v>
      </c>
      <c r="O93" s="8" t="s">
        <v>21</v>
      </c>
      <c r="P93" s="10">
        <f t="shared" si="6"/>
        <v>1504</v>
      </c>
      <c r="Q93" s="11">
        <v>1068.0</v>
      </c>
      <c r="R93" s="11">
        <v>436.0</v>
      </c>
      <c r="T93" s="1" t="s">
        <v>27</v>
      </c>
      <c r="U93" s="1" t="s">
        <v>21</v>
      </c>
      <c r="V93" s="10">
        <f t="shared" si="7"/>
        <v>1918</v>
      </c>
      <c r="W93" s="1">
        <v>471.0</v>
      </c>
      <c r="X93" s="1">
        <v>1447.0</v>
      </c>
    </row>
    <row r="94">
      <c r="B94" s="6" t="str">
        <f t="shared" ref="B94:C94" si="186">H94</f>
        <v>Kyaukpyu</v>
      </c>
      <c r="C94" s="7" t="str">
        <f t="shared" si="186"/>
        <v>0-4</v>
      </c>
      <c r="D94" s="6">
        <f t="shared" ref="D94:F94" si="187">J94+P94+V94</f>
        <v>20749</v>
      </c>
      <c r="E94" s="6">
        <f t="shared" si="187"/>
        <v>10265</v>
      </c>
      <c r="F94" s="6">
        <f t="shared" si="187"/>
        <v>10484</v>
      </c>
      <c r="G94" s="6"/>
      <c r="H94" s="8" t="s">
        <v>28</v>
      </c>
      <c r="I94" s="9" t="s">
        <v>10</v>
      </c>
      <c r="J94" s="10">
        <f t="shared" si="5"/>
        <v>20749</v>
      </c>
      <c r="K94" s="11">
        <v>10265.0</v>
      </c>
      <c r="L94" s="11">
        <v>10484.0</v>
      </c>
      <c r="M94" s="5"/>
      <c r="N94" s="8" t="s">
        <v>28</v>
      </c>
      <c r="O94" s="9" t="s">
        <v>10</v>
      </c>
      <c r="P94" s="10">
        <f t="shared" si="6"/>
        <v>0</v>
      </c>
      <c r="Q94" s="11">
        <v>0.0</v>
      </c>
      <c r="R94" s="11">
        <v>0.0</v>
      </c>
      <c r="T94" s="8" t="s">
        <v>28</v>
      </c>
      <c r="U94" s="9" t="s">
        <v>10</v>
      </c>
      <c r="V94" s="10">
        <f t="shared" si="7"/>
        <v>0</v>
      </c>
      <c r="W94" s="11">
        <v>0.0</v>
      </c>
      <c r="X94" s="11">
        <v>0.0</v>
      </c>
    </row>
    <row r="95">
      <c r="B95" s="6" t="str">
        <f t="shared" ref="B95:C95" si="188">H95</f>
        <v>Kyaukpyu</v>
      </c>
      <c r="C95" s="12">
        <f t="shared" si="188"/>
        <v>45786</v>
      </c>
      <c r="D95" s="6">
        <f t="shared" ref="D95:F95" si="189">J95+P95+V95</f>
        <v>21719</v>
      </c>
      <c r="E95" s="6">
        <f t="shared" si="189"/>
        <v>11019</v>
      </c>
      <c r="F95" s="6">
        <f t="shared" si="189"/>
        <v>10700</v>
      </c>
      <c r="G95" s="6"/>
      <c r="H95" s="8" t="s">
        <v>28</v>
      </c>
      <c r="I95" s="13">
        <v>45786.0</v>
      </c>
      <c r="J95" s="10">
        <f t="shared" si="5"/>
        <v>21716</v>
      </c>
      <c r="K95" s="11">
        <v>11019.0</v>
      </c>
      <c r="L95" s="11">
        <v>10697.0</v>
      </c>
      <c r="M95" s="5"/>
      <c r="N95" s="8" t="s">
        <v>28</v>
      </c>
      <c r="O95" s="13">
        <v>45786.0</v>
      </c>
      <c r="P95" s="10">
        <f t="shared" si="6"/>
        <v>3</v>
      </c>
      <c r="Q95" s="11">
        <v>0.0</v>
      </c>
      <c r="R95" s="11">
        <v>3.0</v>
      </c>
      <c r="T95" s="8" t="s">
        <v>28</v>
      </c>
      <c r="U95" s="13">
        <v>45786.0</v>
      </c>
      <c r="V95" s="10">
        <f t="shared" si="7"/>
        <v>0</v>
      </c>
      <c r="W95" s="11">
        <v>0.0</v>
      </c>
      <c r="X95" s="11">
        <v>0.0</v>
      </c>
    </row>
    <row r="96">
      <c r="B96" s="6" t="str">
        <f t="shared" ref="B96:C96" si="190">H96</f>
        <v>Kyaukpyu</v>
      </c>
      <c r="C96" s="12">
        <f t="shared" si="190"/>
        <v>45944</v>
      </c>
      <c r="D96" s="6">
        <f t="shared" ref="D96:F96" si="191">J96+P96+V96</f>
        <v>10342</v>
      </c>
      <c r="E96" s="6">
        <f t="shared" si="191"/>
        <v>1091</v>
      </c>
      <c r="F96" s="6">
        <f t="shared" si="191"/>
        <v>9251</v>
      </c>
      <c r="G96" s="6"/>
      <c r="H96" s="8" t="s">
        <v>28</v>
      </c>
      <c r="I96" s="13">
        <v>45944.0</v>
      </c>
      <c r="J96" s="10">
        <f t="shared" si="5"/>
        <v>10272</v>
      </c>
      <c r="K96" s="11">
        <v>1070.0</v>
      </c>
      <c r="L96" s="11">
        <v>9202.0</v>
      </c>
      <c r="M96" s="5"/>
      <c r="N96" s="8" t="s">
        <v>28</v>
      </c>
      <c r="O96" s="13">
        <v>45944.0</v>
      </c>
      <c r="P96" s="10">
        <f t="shared" si="6"/>
        <v>66</v>
      </c>
      <c r="Q96" s="11">
        <v>20.0</v>
      </c>
      <c r="R96" s="11">
        <v>46.0</v>
      </c>
      <c r="T96" s="8" t="s">
        <v>28</v>
      </c>
      <c r="U96" s="13">
        <v>45944.0</v>
      </c>
      <c r="V96" s="10">
        <f t="shared" si="7"/>
        <v>4</v>
      </c>
      <c r="W96" s="11">
        <v>1.0</v>
      </c>
      <c r="X96" s="11">
        <v>3.0</v>
      </c>
    </row>
    <row r="97">
      <c r="B97" s="6" t="str">
        <f t="shared" ref="B97:C97" si="192">H97</f>
        <v>Kyaukpyu</v>
      </c>
      <c r="C97" s="7" t="str">
        <f t="shared" si="192"/>
        <v>15-19</v>
      </c>
      <c r="D97" s="6">
        <f t="shared" ref="D97:F97" si="193">J97+P97+V97</f>
        <v>16049</v>
      </c>
      <c r="E97" s="6">
        <f t="shared" si="193"/>
        <v>7527</v>
      </c>
      <c r="F97" s="6">
        <f t="shared" si="193"/>
        <v>8522</v>
      </c>
      <c r="G97" s="6"/>
      <c r="H97" s="8" t="s">
        <v>28</v>
      </c>
      <c r="I97" s="9" t="s">
        <v>11</v>
      </c>
      <c r="J97" s="10">
        <f t="shared" si="5"/>
        <v>12401</v>
      </c>
      <c r="K97" s="11">
        <v>6921.0</v>
      </c>
      <c r="L97" s="11">
        <v>5480.0</v>
      </c>
      <c r="M97" s="5"/>
      <c r="N97" s="8" t="s">
        <v>28</v>
      </c>
      <c r="O97" s="9" t="s">
        <v>11</v>
      </c>
      <c r="P97" s="10">
        <f t="shared" si="6"/>
        <v>3285</v>
      </c>
      <c r="Q97" s="11">
        <v>566.0</v>
      </c>
      <c r="R97" s="11">
        <v>2719.0</v>
      </c>
      <c r="T97" s="8" t="s">
        <v>28</v>
      </c>
      <c r="U97" s="8" t="s">
        <v>11</v>
      </c>
      <c r="V97" s="10">
        <f t="shared" si="7"/>
        <v>363</v>
      </c>
      <c r="W97" s="11">
        <v>40.0</v>
      </c>
      <c r="X97" s="11">
        <v>323.0</v>
      </c>
    </row>
    <row r="98">
      <c r="B98" s="6" t="str">
        <f t="shared" ref="B98:C98" si="194">H98</f>
        <v>Kyaukpyu</v>
      </c>
      <c r="C98" s="7" t="str">
        <f t="shared" si="194"/>
        <v>20-24</v>
      </c>
      <c r="D98" s="6">
        <f t="shared" ref="D98:F98" si="195">J98+P98+V98</f>
        <v>13899</v>
      </c>
      <c r="E98" s="6">
        <f t="shared" si="195"/>
        <v>6238</v>
      </c>
      <c r="F98" s="6">
        <f t="shared" si="195"/>
        <v>7661</v>
      </c>
      <c r="G98" s="6"/>
      <c r="H98" s="8" t="s">
        <v>28</v>
      </c>
      <c r="I98" s="9" t="s">
        <v>12</v>
      </c>
      <c r="J98" s="10">
        <f t="shared" si="5"/>
        <v>3441</v>
      </c>
      <c r="K98" s="11">
        <v>2426.0</v>
      </c>
      <c r="L98" s="11">
        <v>1015.0</v>
      </c>
      <c r="M98" s="5"/>
      <c r="N98" s="8" t="s">
        <v>28</v>
      </c>
      <c r="O98" s="9" t="s">
        <v>12</v>
      </c>
      <c r="P98" s="10">
        <f t="shared" si="6"/>
        <v>9503</v>
      </c>
      <c r="Q98" s="11">
        <v>3469.0</v>
      </c>
      <c r="R98" s="11">
        <v>6034.0</v>
      </c>
      <c r="T98" s="8" t="s">
        <v>28</v>
      </c>
      <c r="U98" s="8" t="s">
        <v>12</v>
      </c>
      <c r="V98" s="10">
        <f t="shared" si="7"/>
        <v>955</v>
      </c>
      <c r="W98" s="11">
        <v>343.0</v>
      </c>
      <c r="X98" s="11">
        <v>612.0</v>
      </c>
    </row>
    <row r="99">
      <c r="B99" s="6" t="str">
        <f t="shared" ref="B99:C99" si="196">H99</f>
        <v>Kyaukpyu</v>
      </c>
      <c r="C99" s="7" t="str">
        <f t="shared" si="196"/>
        <v>25-29</v>
      </c>
      <c r="D99" s="6">
        <f t="shared" ref="D99:F99" si="197">J99+P99+V99</f>
        <v>13991</v>
      </c>
      <c r="E99" s="6">
        <f t="shared" si="197"/>
        <v>6719</v>
      </c>
      <c r="F99" s="6">
        <f t="shared" si="197"/>
        <v>7272</v>
      </c>
      <c r="G99" s="6"/>
      <c r="H99" s="8" t="s">
        <v>28</v>
      </c>
      <c r="I99" s="9" t="s">
        <v>13</v>
      </c>
      <c r="J99" s="10">
        <f t="shared" si="5"/>
        <v>1124</v>
      </c>
      <c r="K99" s="11">
        <v>783.0</v>
      </c>
      <c r="L99" s="11">
        <v>341.0</v>
      </c>
      <c r="M99" s="5"/>
      <c r="N99" s="8" t="s">
        <v>28</v>
      </c>
      <c r="O99" s="9" t="s">
        <v>13</v>
      </c>
      <c r="P99" s="10">
        <f t="shared" si="6"/>
        <v>11744</v>
      </c>
      <c r="Q99" s="11">
        <v>5473.0</v>
      </c>
      <c r="R99" s="11">
        <v>6271.0</v>
      </c>
      <c r="T99" s="8" t="s">
        <v>28</v>
      </c>
      <c r="U99" s="8" t="s">
        <v>13</v>
      </c>
      <c r="V99" s="10">
        <f t="shared" si="7"/>
        <v>1123</v>
      </c>
      <c r="W99" s="11">
        <v>463.0</v>
      </c>
      <c r="X99" s="11">
        <v>660.0</v>
      </c>
    </row>
    <row r="100">
      <c r="B100" s="6" t="str">
        <f t="shared" ref="B100:C100" si="198">H100</f>
        <v>Kyaukpyu</v>
      </c>
      <c r="C100" s="7" t="str">
        <f t="shared" si="198"/>
        <v>30-34</v>
      </c>
      <c r="D100" s="6">
        <f t="shared" ref="D100:F100" si="199">J100+P100+V100</f>
        <v>12469</v>
      </c>
      <c r="E100" s="6">
        <f t="shared" si="199"/>
        <v>6042</v>
      </c>
      <c r="F100" s="6">
        <f t="shared" si="199"/>
        <v>6427</v>
      </c>
      <c r="G100" s="6"/>
      <c r="H100" s="8" t="s">
        <v>28</v>
      </c>
      <c r="I100" s="8" t="s">
        <v>14</v>
      </c>
      <c r="J100" s="10">
        <f t="shared" si="5"/>
        <v>494</v>
      </c>
      <c r="K100" s="11">
        <v>329.0</v>
      </c>
      <c r="L100" s="11">
        <v>165.0</v>
      </c>
      <c r="M100" s="5"/>
      <c r="N100" s="8" t="s">
        <v>28</v>
      </c>
      <c r="O100" s="8" t="s">
        <v>14</v>
      </c>
      <c r="P100" s="10">
        <f t="shared" si="6"/>
        <v>10822</v>
      </c>
      <c r="Q100" s="11">
        <v>5298.0</v>
      </c>
      <c r="R100" s="11">
        <v>5524.0</v>
      </c>
      <c r="T100" s="8" t="s">
        <v>28</v>
      </c>
      <c r="U100" s="8" t="s">
        <v>14</v>
      </c>
      <c r="V100" s="10">
        <f t="shared" si="7"/>
        <v>1153</v>
      </c>
      <c r="W100" s="11">
        <v>415.0</v>
      </c>
      <c r="X100" s="11">
        <v>738.0</v>
      </c>
    </row>
    <row r="101">
      <c r="B101" s="6" t="str">
        <f t="shared" ref="B101:C101" si="200">H101</f>
        <v>Kyaukpyu</v>
      </c>
      <c r="C101" s="7" t="str">
        <f t="shared" si="200"/>
        <v>35-39</v>
      </c>
      <c r="D101" s="6">
        <f t="shared" ref="D101:F101" si="201">J101+P101+V101</f>
        <v>9819</v>
      </c>
      <c r="E101" s="6">
        <f t="shared" si="201"/>
        <v>4985</v>
      </c>
      <c r="F101" s="6">
        <f t="shared" si="201"/>
        <v>4834</v>
      </c>
      <c r="G101" s="6"/>
      <c r="H101" s="8" t="s">
        <v>28</v>
      </c>
      <c r="I101" s="8" t="s">
        <v>15</v>
      </c>
      <c r="J101" s="10">
        <f t="shared" si="5"/>
        <v>260</v>
      </c>
      <c r="K101" s="11">
        <v>176.0</v>
      </c>
      <c r="L101" s="11">
        <v>84.0</v>
      </c>
      <c r="M101" s="5"/>
      <c r="N101" s="8" t="s">
        <v>28</v>
      </c>
      <c r="O101" s="8" t="s">
        <v>15</v>
      </c>
      <c r="P101" s="10">
        <f t="shared" si="6"/>
        <v>8614</v>
      </c>
      <c r="Q101" s="11">
        <v>4450.0</v>
      </c>
      <c r="R101" s="11">
        <v>4164.0</v>
      </c>
      <c r="T101" s="8" t="s">
        <v>28</v>
      </c>
      <c r="U101" s="8" t="s">
        <v>15</v>
      </c>
      <c r="V101" s="10">
        <f t="shared" si="7"/>
        <v>945</v>
      </c>
      <c r="W101" s="11">
        <v>359.0</v>
      </c>
      <c r="X101" s="11">
        <v>586.0</v>
      </c>
    </row>
    <row r="102">
      <c r="B102" s="6" t="str">
        <f t="shared" ref="B102:C102" si="202">H102</f>
        <v>Kyaukpyu</v>
      </c>
      <c r="C102" s="7" t="str">
        <f t="shared" si="202"/>
        <v>40-44</v>
      </c>
      <c r="D102" s="6">
        <f t="shared" ref="D102:F102" si="203">J102+P102+V102</f>
        <v>8353</v>
      </c>
      <c r="E102" s="6">
        <f t="shared" si="203"/>
        <v>3967</v>
      </c>
      <c r="F102" s="6">
        <f t="shared" si="203"/>
        <v>4386</v>
      </c>
      <c r="G102" s="6"/>
      <c r="H102" s="8" t="s">
        <v>28</v>
      </c>
      <c r="I102" s="8" t="s">
        <v>16</v>
      </c>
      <c r="J102" s="10">
        <f t="shared" si="5"/>
        <v>132</v>
      </c>
      <c r="K102" s="11">
        <v>53.0</v>
      </c>
      <c r="L102" s="11">
        <v>79.0</v>
      </c>
      <c r="M102" s="5"/>
      <c r="N102" s="8" t="s">
        <v>28</v>
      </c>
      <c r="O102" s="8" t="s">
        <v>16</v>
      </c>
      <c r="P102" s="10">
        <f t="shared" si="6"/>
        <v>7147</v>
      </c>
      <c r="Q102" s="11">
        <v>3605.0</v>
      </c>
      <c r="R102" s="11">
        <v>3542.0</v>
      </c>
      <c r="T102" s="8" t="s">
        <v>28</v>
      </c>
      <c r="U102" s="8" t="s">
        <v>16</v>
      </c>
      <c r="V102" s="10">
        <f t="shared" si="7"/>
        <v>1074</v>
      </c>
      <c r="W102" s="11">
        <v>309.0</v>
      </c>
      <c r="X102" s="11">
        <v>765.0</v>
      </c>
    </row>
    <row r="103">
      <c r="B103" s="6" t="str">
        <f t="shared" ref="B103:C103" si="204">H103</f>
        <v>Kyaukpyu</v>
      </c>
      <c r="C103" s="7" t="str">
        <f t="shared" si="204"/>
        <v>45-49</v>
      </c>
      <c r="D103" s="6">
        <f t="shared" ref="D103:F103" si="205">J103+P103+V103</f>
        <v>6843</v>
      </c>
      <c r="E103" s="6">
        <f t="shared" si="205"/>
        <v>3303</v>
      </c>
      <c r="F103" s="6">
        <f t="shared" si="205"/>
        <v>3540</v>
      </c>
      <c r="G103" s="6"/>
      <c r="H103" s="8" t="s">
        <v>28</v>
      </c>
      <c r="I103" s="8" t="s">
        <v>17</v>
      </c>
      <c r="J103" s="10">
        <f t="shared" si="5"/>
        <v>118</v>
      </c>
      <c r="K103" s="11">
        <v>29.0</v>
      </c>
      <c r="L103" s="11">
        <v>89.0</v>
      </c>
      <c r="M103" s="5"/>
      <c r="N103" s="8" t="s">
        <v>28</v>
      </c>
      <c r="O103" s="8" t="s">
        <v>17</v>
      </c>
      <c r="P103" s="10">
        <f t="shared" si="6"/>
        <v>5695</v>
      </c>
      <c r="Q103" s="11">
        <v>3000.0</v>
      </c>
      <c r="R103" s="11">
        <v>2695.0</v>
      </c>
      <c r="T103" s="8" t="s">
        <v>28</v>
      </c>
      <c r="U103" s="8" t="s">
        <v>17</v>
      </c>
      <c r="V103" s="10">
        <f t="shared" si="7"/>
        <v>1030</v>
      </c>
      <c r="W103" s="11">
        <v>274.0</v>
      </c>
      <c r="X103" s="11">
        <v>756.0</v>
      </c>
    </row>
    <row r="104">
      <c r="B104" s="6" t="str">
        <f t="shared" ref="B104:C104" si="206">H104</f>
        <v>Kyaukpyu</v>
      </c>
      <c r="C104" s="7" t="str">
        <f t="shared" si="206"/>
        <v>50-54</v>
      </c>
      <c r="D104" s="6">
        <f t="shared" ref="D104:F104" si="207">J104+P104+V104</f>
        <v>5378</v>
      </c>
      <c r="E104" s="6">
        <f t="shared" si="207"/>
        <v>2856</v>
      </c>
      <c r="F104" s="6">
        <f t="shared" si="207"/>
        <v>2522</v>
      </c>
      <c r="G104" s="6"/>
      <c r="H104" s="8" t="s">
        <v>28</v>
      </c>
      <c r="I104" s="8" t="s">
        <v>18</v>
      </c>
      <c r="J104" s="10">
        <f t="shared" si="5"/>
        <v>88</v>
      </c>
      <c r="K104" s="11">
        <v>51.0</v>
      </c>
      <c r="L104" s="11">
        <v>37.0</v>
      </c>
      <c r="M104" s="5"/>
      <c r="N104" s="8" t="s">
        <v>28</v>
      </c>
      <c r="O104" s="8" t="s">
        <v>18</v>
      </c>
      <c r="P104" s="10">
        <f t="shared" si="6"/>
        <v>4670</v>
      </c>
      <c r="Q104" s="11">
        <v>2495.0</v>
      </c>
      <c r="R104" s="11">
        <v>2175.0</v>
      </c>
      <c r="T104" s="8" t="s">
        <v>28</v>
      </c>
      <c r="U104" s="8" t="s">
        <v>18</v>
      </c>
      <c r="V104" s="10">
        <f t="shared" si="7"/>
        <v>620</v>
      </c>
      <c r="W104" s="11">
        <v>310.0</v>
      </c>
      <c r="X104" s="11">
        <v>310.0</v>
      </c>
    </row>
    <row r="105">
      <c r="B105" s="6" t="str">
        <f t="shared" ref="B105:C105" si="208">H105</f>
        <v>Kyaukpyu</v>
      </c>
      <c r="C105" s="7" t="str">
        <f t="shared" si="208"/>
        <v>55-59</v>
      </c>
      <c r="D105" s="6">
        <f t="shared" ref="D105:F105" si="209">J105+P105+V105</f>
        <v>4907</v>
      </c>
      <c r="E105" s="6">
        <f t="shared" si="209"/>
        <v>3114</v>
      </c>
      <c r="F105" s="6">
        <f t="shared" si="209"/>
        <v>1793</v>
      </c>
      <c r="G105" s="6"/>
      <c r="H105" s="8" t="s">
        <v>28</v>
      </c>
      <c r="I105" s="8" t="s">
        <v>19</v>
      </c>
      <c r="J105" s="10">
        <f t="shared" si="5"/>
        <v>60</v>
      </c>
      <c r="K105" s="11">
        <v>30.0</v>
      </c>
      <c r="L105" s="11">
        <v>30.0</v>
      </c>
      <c r="M105" s="5"/>
      <c r="N105" s="8" t="s">
        <v>28</v>
      </c>
      <c r="O105" s="8" t="s">
        <v>19</v>
      </c>
      <c r="P105" s="10">
        <f t="shared" si="6"/>
        <v>3453</v>
      </c>
      <c r="Q105" s="11">
        <v>1976.0</v>
      </c>
      <c r="R105" s="11">
        <v>1477.0</v>
      </c>
      <c r="T105" s="8" t="s">
        <v>28</v>
      </c>
      <c r="U105" s="8" t="s">
        <v>19</v>
      </c>
      <c r="V105" s="10">
        <f t="shared" si="7"/>
        <v>1394</v>
      </c>
      <c r="W105" s="11">
        <v>1108.0</v>
      </c>
      <c r="X105" s="11">
        <v>286.0</v>
      </c>
    </row>
    <row r="106">
      <c r="B106" s="6" t="str">
        <f t="shared" ref="B106:C106" si="210">H106</f>
        <v>Kyaukpyu</v>
      </c>
      <c r="C106" s="7" t="str">
        <f t="shared" si="210"/>
        <v>60+</v>
      </c>
      <c r="D106" s="6">
        <f t="shared" ref="D106:F106" si="211">J106+P106+V106</f>
        <v>7248</v>
      </c>
      <c r="E106" s="6">
        <f t="shared" si="211"/>
        <v>4412</v>
      </c>
      <c r="F106" s="6">
        <f t="shared" si="211"/>
        <v>2836</v>
      </c>
      <c r="G106" s="6"/>
      <c r="H106" s="8" t="s">
        <v>28</v>
      </c>
      <c r="I106" s="8" t="s">
        <v>20</v>
      </c>
      <c r="J106" s="10">
        <f t="shared" si="5"/>
        <v>139</v>
      </c>
      <c r="K106" s="11">
        <v>59.0</v>
      </c>
      <c r="L106" s="11">
        <v>80.0</v>
      </c>
      <c r="M106" s="5"/>
      <c r="N106" s="8" t="s">
        <v>28</v>
      </c>
      <c r="O106" s="8" t="s">
        <v>21</v>
      </c>
      <c r="P106" s="10">
        <f t="shared" si="6"/>
        <v>5085</v>
      </c>
      <c r="Q106" s="11">
        <v>3373.0</v>
      </c>
      <c r="R106" s="11">
        <v>1712.0</v>
      </c>
      <c r="T106" s="8" t="s">
        <v>28</v>
      </c>
      <c r="U106" s="8" t="s">
        <v>21</v>
      </c>
      <c r="V106" s="10">
        <f t="shared" si="7"/>
        <v>2024</v>
      </c>
      <c r="W106" s="11">
        <v>980.0</v>
      </c>
      <c r="X106" s="11">
        <v>1044.0</v>
      </c>
    </row>
    <row r="107">
      <c r="B107" s="6" t="str">
        <f t="shared" ref="B107:C107" si="212">H107</f>
        <v>Kyauksè</v>
      </c>
      <c r="C107" s="7" t="str">
        <f t="shared" si="212"/>
        <v>0-4</v>
      </c>
      <c r="D107" s="6">
        <f t="shared" ref="D107:F107" si="213">J107+P107+V107</f>
        <v>11961</v>
      </c>
      <c r="E107" s="6">
        <f t="shared" si="213"/>
        <v>5870</v>
      </c>
      <c r="F107" s="6">
        <f t="shared" si="213"/>
        <v>6091</v>
      </c>
      <c r="G107" s="6"/>
      <c r="H107" s="8" t="s">
        <v>29</v>
      </c>
      <c r="I107" s="9" t="s">
        <v>10</v>
      </c>
      <c r="J107" s="10">
        <f t="shared" si="5"/>
        <v>11961</v>
      </c>
      <c r="K107" s="11">
        <v>5870.0</v>
      </c>
      <c r="L107" s="11">
        <v>6091.0</v>
      </c>
      <c r="M107" s="5"/>
      <c r="N107" s="8" t="s">
        <v>29</v>
      </c>
      <c r="O107" s="9" t="s">
        <v>10</v>
      </c>
      <c r="P107" s="10">
        <f t="shared" si="6"/>
        <v>0</v>
      </c>
      <c r="Q107" s="11">
        <v>0.0</v>
      </c>
      <c r="R107" s="11">
        <v>0.0</v>
      </c>
      <c r="T107" s="8" t="s">
        <v>29</v>
      </c>
      <c r="U107" s="9" t="s">
        <v>10</v>
      </c>
      <c r="V107" s="10">
        <f t="shared" si="7"/>
        <v>0</v>
      </c>
      <c r="W107" s="11">
        <v>0.0</v>
      </c>
      <c r="X107" s="11">
        <v>0.0</v>
      </c>
    </row>
    <row r="108">
      <c r="B108" s="6" t="str">
        <f t="shared" ref="B108:C108" si="214">H108</f>
        <v>Kyauksè</v>
      </c>
      <c r="C108" s="12">
        <f t="shared" si="214"/>
        <v>45786</v>
      </c>
      <c r="D108" s="6">
        <f t="shared" ref="D108:F108" si="215">J108+P108+V108</f>
        <v>12775</v>
      </c>
      <c r="E108" s="6">
        <f t="shared" si="215"/>
        <v>6339</v>
      </c>
      <c r="F108" s="6">
        <f t="shared" si="215"/>
        <v>6436</v>
      </c>
      <c r="G108" s="6"/>
      <c r="H108" s="8" t="s">
        <v>29</v>
      </c>
      <c r="I108" s="13">
        <v>45786.0</v>
      </c>
      <c r="J108" s="10">
        <f t="shared" si="5"/>
        <v>12775</v>
      </c>
      <c r="K108" s="11">
        <v>6339.0</v>
      </c>
      <c r="L108" s="11">
        <v>6436.0</v>
      </c>
      <c r="M108" s="5"/>
      <c r="N108" s="8" t="s">
        <v>29</v>
      </c>
      <c r="O108" s="13">
        <v>45786.0</v>
      </c>
      <c r="P108" s="10">
        <f t="shared" si="6"/>
        <v>0</v>
      </c>
      <c r="Q108" s="11">
        <v>0.0</v>
      </c>
      <c r="R108" s="11">
        <v>0.0</v>
      </c>
      <c r="T108" s="8" t="s">
        <v>29</v>
      </c>
      <c r="U108" s="13">
        <v>45786.0</v>
      </c>
      <c r="V108" s="10">
        <f t="shared" si="7"/>
        <v>0</v>
      </c>
      <c r="W108" s="11">
        <v>0.0</v>
      </c>
      <c r="X108" s="11">
        <v>0.0</v>
      </c>
    </row>
    <row r="109">
      <c r="B109" s="6" t="str">
        <f t="shared" ref="B109:C109" si="216">H109</f>
        <v>Kyauksè</v>
      </c>
      <c r="C109" s="12">
        <f t="shared" si="216"/>
        <v>45944</v>
      </c>
      <c r="D109" s="6">
        <f t="shared" ref="D109:F109" si="217">J109+P109+V109</f>
        <v>13705</v>
      </c>
      <c r="E109" s="6">
        <f t="shared" si="217"/>
        <v>7086</v>
      </c>
      <c r="F109" s="6">
        <f t="shared" si="217"/>
        <v>6619</v>
      </c>
      <c r="G109" s="6"/>
      <c r="H109" s="8" t="s">
        <v>29</v>
      </c>
      <c r="I109" s="13">
        <v>45944.0</v>
      </c>
      <c r="J109" s="10">
        <f t="shared" si="5"/>
        <v>13695</v>
      </c>
      <c r="K109" s="11">
        <v>7085.0</v>
      </c>
      <c r="L109" s="11">
        <v>6610.0</v>
      </c>
      <c r="M109" s="5"/>
      <c r="N109" s="8" t="s">
        <v>29</v>
      </c>
      <c r="O109" s="13">
        <v>45944.0</v>
      </c>
      <c r="P109" s="10">
        <f t="shared" si="6"/>
        <v>9</v>
      </c>
      <c r="Q109" s="11">
        <v>1.0</v>
      </c>
      <c r="R109" s="11">
        <v>8.0</v>
      </c>
      <c r="T109" s="8" t="s">
        <v>29</v>
      </c>
      <c r="U109" s="13">
        <v>45944.0</v>
      </c>
      <c r="V109" s="10">
        <f t="shared" si="7"/>
        <v>1</v>
      </c>
      <c r="W109" s="11">
        <v>0.0</v>
      </c>
      <c r="X109" s="11">
        <v>1.0</v>
      </c>
    </row>
    <row r="110">
      <c r="B110" s="6" t="str">
        <f t="shared" ref="B110:C110" si="218">H110</f>
        <v>Kyauksè</v>
      </c>
      <c r="C110" s="7" t="str">
        <f t="shared" si="218"/>
        <v>15-19</v>
      </c>
      <c r="D110" s="6">
        <f t="shared" ref="D110:F110" si="219">J110+P110+V110</f>
        <v>10916</v>
      </c>
      <c r="E110" s="6">
        <f t="shared" si="219"/>
        <v>5255</v>
      </c>
      <c r="F110" s="6">
        <f t="shared" si="219"/>
        <v>5661</v>
      </c>
      <c r="G110" s="6"/>
      <c r="H110" s="8" t="s">
        <v>29</v>
      </c>
      <c r="I110" s="9" t="s">
        <v>11</v>
      </c>
      <c r="J110" s="10">
        <f t="shared" si="5"/>
        <v>9300</v>
      </c>
      <c r="K110" s="11">
        <v>5025.0</v>
      </c>
      <c r="L110" s="11">
        <v>4275.0</v>
      </c>
      <c r="M110" s="5"/>
      <c r="N110" s="8" t="s">
        <v>29</v>
      </c>
      <c r="O110" s="9" t="s">
        <v>11</v>
      </c>
      <c r="P110" s="10">
        <f t="shared" si="6"/>
        <v>1449</v>
      </c>
      <c r="Q110" s="11">
        <v>212.0</v>
      </c>
      <c r="R110" s="11">
        <v>1237.0</v>
      </c>
      <c r="T110" s="8" t="s">
        <v>29</v>
      </c>
      <c r="U110" s="9" t="s">
        <v>11</v>
      </c>
      <c r="V110" s="10">
        <f t="shared" si="7"/>
        <v>167</v>
      </c>
      <c r="W110" s="11">
        <v>18.0</v>
      </c>
      <c r="X110" s="11">
        <v>149.0</v>
      </c>
    </row>
    <row r="111">
      <c r="B111" s="6" t="str">
        <f t="shared" ref="B111:C111" si="220">H111</f>
        <v>Kyauksè</v>
      </c>
      <c r="C111" s="7" t="str">
        <f t="shared" si="220"/>
        <v>20-24</v>
      </c>
      <c r="D111" s="6">
        <f t="shared" ref="D111:F111" si="221">J111+P111+V111</f>
        <v>10776</v>
      </c>
      <c r="E111" s="6">
        <f t="shared" si="221"/>
        <v>5166</v>
      </c>
      <c r="F111" s="6">
        <f t="shared" si="221"/>
        <v>5610</v>
      </c>
      <c r="G111" s="6"/>
      <c r="H111" s="8" t="s">
        <v>29</v>
      </c>
      <c r="I111" s="9" t="s">
        <v>12</v>
      </c>
      <c r="J111" s="10">
        <f t="shared" si="5"/>
        <v>4209</v>
      </c>
      <c r="K111" s="11">
        <v>2919.0</v>
      </c>
      <c r="L111" s="11">
        <v>1290.0</v>
      </c>
      <c r="M111" s="5"/>
      <c r="N111" s="8" t="s">
        <v>29</v>
      </c>
      <c r="O111" s="9" t="s">
        <v>12</v>
      </c>
      <c r="P111" s="10">
        <f t="shared" si="6"/>
        <v>5902</v>
      </c>
      <c r="Q111" s="11">
        <v>2047.0</v>
      </c>
      <c r="R111" s="11">
        <v>3855.0</v>
      </c>
      <c r="T111" s="8" t="s">
        <v>29</v>
      </c>
      <c r="U111" s="9" t="s">
        <v>12</v>
      </c>
      <c r="V111" s="10">
        <f t="shared" si="7"/>
        <v>665</v>
      </c>
      <c r="W111" s="11">
        <v>200.0</v>
      </c>
      <c r="X111" s="11">
        <v>465.0</v>
      </c>
    </row>
    <row r="112">
      <c r="B112" s="6" t="str">
        <f t="shared" ref="B112:C112" si="222">H112</f>
        <v>Kyauksè</v>
      </c>
      <c r="C112" s="7" t="str">
        <f t="shared" si="222"/>
        <v>25-29</v>
      </c>
      <c r="D112" s="6">
        <f t="shared" ref="D112:F112" si="223">J112+P112+V112</f>
        <v>11088</v>
      </c>
      <c r="E112" s="6">
        <f t="shared" si="223"/>
        <v>5554</v>
      </c>
      <c r="F112" s="6">
        <f t="shared" si="223"/>
        <v>5534</v>
      </c>
      <c r="G112" s="6"/>
      <c r="H112" s="8" t="s">
        <v>29</v>
      </c>
      <c r="I112" s="9" t="s">
        <v>13</v>
      </c>
      <c r="J112" s="10">
        <f t="shared" si="5"/>
        <v>1789</v>
      </c>
      <c r="K112" s="11">
        <v>1400.0</v>
      </c>
      <c r="L112" s="11">
        <v>389.0</v>
      </c>
      <c r="M112" s="5"/>
      <c r="N112" s="8" t="s">
        <v>29</v>
      </c>
      <c r="O112" s="9" t="s">
        <v>13</v>
      </c>
      <c r="P112" s="10">
        <f t="shared" si="6"/>
        <v>8359</v>
      </c>
      <c r="Q112" s="11">
        <v>3746.0</v>
      </c>
      <c r="R112" s="11">
        <v>4613.0</v>
      </c>
      <c r="T112" s="1" t="s">
        <v>29</v>
      </c>
      <c r="U112" s="1" t="s">
        <v>13</v>
      </c>
      <c r="V112" s="10">
        <f t="shared" si="7"/>
        <v>940</v>
      </c>
      <c r="W112" s="1">
        <v>408.0</v>
      </c>
      <c r="X112" s="1">
        <v>532.0</v>
      </c>
    </row>
    <row r="113">
      <c r="B113" s="6" t="str">
        <f t="shared" ref="B113:C113" si="224">H113</f>
        <v>Kyauksè</v>
      </c>
      <c r="C113" s="7" t="str">
        <f t="shared" si="224"/>
        <v>30-34</v>
      </c>
      <c r="D113" s="6">
        <f t="shared" ref="D113:F113" si="225">J113+P113+V113</f>
        <v>10414</v>
      </c>
      <c r="E113" s="6">
        <f t="shared" si="225"/>
        <v>5253</v>
      </c>
      <c r="F113" s="6">
        <f t="shared" si="225"/>
        <v>5161</v>
      </c>
      <c r="G113" s="6"/>
      <c r="H113" s="8" t="s">
        <v>29</v>
      </c>
      <c r="I113" s="8" t="s">
        <v>14</v>
      </c>
      <c r="J113" s="10">
        <f t="shared" si="5"/>
        <v>782</v>
      </c>
      <c r="K113" s="11">
        <v>581.0</v>
      </c>
      <c r="L113" s="11">
        <v>201.0</v>
      </c>
      <c r="M113" s="5"/>
      <c r="N113" s="8" t="s">
        <v>29</v>
      </c>
      <c r="O113" s="8" t="s">
        <v>14</v>
      </c>
      <c r="P113" s="10">
        <f t="shared" si="6"/>
        <v>8590</v>
      </c>
      <c r="Q113" s="11">
        <v>4275.0</v>
      </c>
      <c r="R113" s="11">
        <v>4315.0</v>
      </c>
      <c r="T113" s="1" t="s">
        <v>29</v>
      </c>
      <c r="U113" s="1" t="s">
        <v>14</v>
      </c>
      <c r="V113" s="10">
        <f t="shared" si="7"/>
        <v>1042</v>
      </c>
      <c r="W113" s="1">
        <v>397.0</v>
      </c>
      <c r="X113" s="1">
        <v>645.0</v>
      </c>
    </row>
    <row r="114">
      <c r="B114" s="6" t="str">
        <f t="shared" ref="B114:C114" si="226">H114</f>
        <v>Kyauksè</v>
      </c>
      <c r="C114" s="7" t="str">
        <f t="shared" si="226"/>
        <v>35-39</v>
      </c>
      <c r="D114" s="6">
        <f t="shared" ref="D114:F114" si="227">J114+P114+V114</f>
        <v>10563</v>
      </c>
      <c r="E114" s="6">
        <f t="shared" si="227"/>
        <v>5474</v>
      </c>
      <c r="F114" s="6">
        <f t="shared" si="227"/>
        <v>5089</v>
      </c>
      <c r="G114" s="6"/>
      <c r="H114" s="8" t="s">
        <v>29</v>
      </c>
      <c r="I114" s="8" t="s">
        <v>15</v>
      </c>
      <c r="J114" s="10">
        <f t="shared" si="5"/>
        <v>545</v>
      </c>
      <c r="K114" s="11">
        <v>401.0</v>
      </c>
      <c r="L114" s="11">
        <v>144.0</v>
      </c>
      <c r="M114" s="5"/>
      <c r="N114" s="8" t="s">
        <v>29</v>
      </c>
      <c r="O114" s="8" t="s">
        <v>15</v>
      </c>
      <c r="P114" s="10">
        <f t="shared" si="6"/>
        <v>8760</v>
      </c>
      <c r="Q114" s="11">
        <v>4599.0</v>
      </c>
      <c r="R114" s="11">
        <v>4161.0</v>
      </c>
      <c r="T114" s="1" t="s">
        <v>29</v>
      </c>
      <c r="U114" s="1" t="s">
        <v>15</v>
      </c>
      <c r="V114" s="10">
        <f t="shared" si="7"/>
        <v>1258</v>
      </c>
      <c r="W114" s="1">
        <v>474.0</v>
      </c>
      <c r="X114" s="1">
        <v>784.0</v>
      </c>
    </row>
    <row r="115">
      <c r="B115" s="6" t="str">
        <f t="shared" ref="B115:C115" si="228">H115</f>
        <v>Kyauksè</v>
      </c>
      <c r="C115" s="7" t="str">
        <f t="shared" si="228"/>
        <v>40-44</v>
      </c>
      <c r="D115" s="6">
        <f t="shared" ref="D115:F115" si="229">J115+P115+V115</f>
        <v>8991</v>
      </c>
      <c r="E115" s="6">
        <f t="shared" si="229"/>
        <v>4551</v>
      </c>
      <c r="F115" s="6">
        <f t="shared" si="229"/>
        <v>4440</v>
      </c>
      <c r="G115" s="6"/>
      <c r="H115" s="8" t="s">
        <v>29</v>
      </c>
      <c r="I115" s="8" t="s">
        <v>16</v>
      </c>
      <c r="J115" s="10">
        <f t="shared" si="5"/>
        <v>296</v>
      </c>
      <c r="K115" s="11">
        <v>204.0</v>
      </c>
      <c r="L115" s="11">
        <v>92.0</v>
      </c>
      <c r="M115" s="5"/>
      <c r="N115" s="8" t="s">
        <v>29</v>
      </c>
      <c r="O115" s="8" t="s">
        <v>16</v>
      </c>
      <c r="P115" s="10">
        <f t="shared" si="6"/>
        <v>7132</v>
      </c>
      <c r="Q115" s="11">
        <v>3845.0</v>
      </c>
      <c r="R115" s="11">
        <v>3287.0</v>
      </c>
      <c r="T115" s="1" t="s">
        <v>29</v>
      </c>
      <c r="U115" s="1" t="s">
        <v>16</v>
      </c>
      <c r="V115" s="10">
        <f t="shared" si="7"/>
        <v>1563</v>
      </c>
      <c r="W115" s="1">
        <v>502.0</v>
      </c>
      <c r="X115" s="1">
        <v>1061.0</v>
      </c>
    </row>
    <row r="116">
      <c r="B116" s="6" t="str">
        <f t="shared" ref="B116:C116" si="230">H116</f>
        <v>Kyauksè</v>
      </c>
      <c r="C116" s="7" t="str">
        <f t="shared" si="230"/>
        <v>45-49</v>
      </c>
      <c r="D116" s="6">
        <f t="shared" ref="D116:F116" si="231">J116+P116+V116</f>
        <v>6199</v>
      </c>
      <c r="E116" s="6">
        <f t="shared" si="231"/>
        <v>3174</v>
      </c>
      <c r="F116" s="6">
        <f t="shared" si="231"/>
        <v>3025</v>
      </c>
      <c r="G116" s="6"/>
      <c r="H116" s="8" t="s">
        <v>29</v>
      </c>
      <c r="I116" s="8" t="s">
        <v>17</v>
      </c>
      <c r="J116" s="10">
        <f t="shared" si="5"/>
        <v>219</v>
      </c>
      <c r="K116" s="11">
        <v>148.0</v>
      </c>
      <c r="L116" s="11">
        <v>71.0</v>
      </c>
      <c r="M116" s="5"/>
      <c r="N116" s="8" t="s">
        <v>29</v>
      </c>
      <c r="O116" s="8" t="s">
        <v>17</v>
      </c>
      <c r="P116" s="10">
        <f t="shared" si="6"/>
        <v>4608</v>
      </c>
      <c r="Q116" s="11">
        <v>2623.0</v>
      </c>
      <c r="R116" s="11">
        <v>1985.0</v>
      </c>
      <c r="T116" s="1" t="s">
        <v>29</v>
      </c>
      <c r="U116" s="1" t="s">
        <v>17</v>
      </c>
      <c r="V116" s="10">
        <f t="shared" si="7"/>
        <v>1372</v>
      </c>
      <c r="W116" s="1">
        <v>403.0</v>
      </c>
      <c r="X116" s="1">
        <v>969.0</v>
      </c>
    </row>
    <row r="117">
      <c r="B117" s="6" t="str">
        <f t="shared" ref="B117:C117" si="232">H117</f>
        <v>Kyauksè</v>
      </c>
      <c r="C117" s="7" t="str">
        <f t="shared" si="232"/>
        <v>50-54</v>
      </c>
      <c r="D117" s="6">
        <f t="shared" ref="D117:F117" si="233">J117+P117+V117</f>
        <v>5922</v>
      </c>
      <c r="E117" s="6">
        <f t="shared" si="233"/>
        <v>2938</v>
      </c>
      <c r="F117" s="6">
        <f t="shared" si="233"/>
        <v>2984</v>
      </c>
      <c r="G117" s="6"/>
      <c r="H117" s="8" t="s">
        <v>29</v>
      </c>
      <c r="I117" s="8" t="s">
        <v>18</v>
      </c>
      <c r="J117" s="10">
        <f t="shared" si="5"/>
        <v>176</v>
      </c>
      <c r="K117" s="11">
        <v>112.0</v>
      </c>
      <c r="L117" s="11">
        <v>64.0</v>
      </c>
      <c r="M117" s="5"/>
      <c r="N117" s="8" t="s">
        <v>29</v>
      </c>
      <c r="O117" s="8" t="s">
        <v>18</v>
      </c>
      <c r="P117" s="10">
        <f t="shared" si="6"/>
        <v>3802</v>
      </c>
      <c r="Q117" s="11">
        <v>2296.0</v>
      </c>
      <c r="R117" s="11">
        <v>1506.0</v>
      </c>
      <c r="T117" s="1" t="s">
        <v>29</v>
      </c>
      <c r="U117" s="1" t="s">
        <v>18</v>
      </c>
      <c r="V117" s="10">
        <f t="shared" si="7"/>
        <v>1944</v>
      </c>
      <c r="W117" s="1">
        <v>530.0</v>
      </c>
      <c r="X117" s="1">
        <v>1414.0</v>
      </c>
    </row>
    <row r="118">
      <c r="B118" s="6" t="str">
        <f t="shared" ref="B118:C118" si="234">H118</f>
        <v>Kyauksè</v>
      </c>
      <c r="C118" s="7" t="str">
        <f t="shared" si="234"/>
        <v>55-59</v>
      </c>
      <c r="D118" s="6">
        <f t="shared" ref="D118:F118" si="235">J118+P118+V118</f>
        <v>3460</v>
      </c>
      <c r="E118" s="6">
        <f t="shared" si="235"/>
        <v>1756</v>
      </c>
      <c r="F118" s="6">
        <f t="shared" si="235"/>
        <v>1704</v>
      </c>
      <c r="G118" s="6"/>
      <c r="H118" s="8" t="s">
        <v>29</v>
      </c>
      <c r="I118" s="8" t="s">
        <v>19</v>
      </c>
      <c r="J118" s="10">
        <f t="shared" si="5"/>
        <v>115</v>
      </c>
      <c r="K118" s="11">
        <v>84.0</v>
      </c>
      <c r="L118" s="11">
        <v>31.0</v>
      </c>
      <c r="M118" s="5"/>
      <c r="N118" s="8" t="s">
        <v>29</v>
      </c>
      <c r="O118" s="8" t="s">
        <v>19</v>
      </c>
      <c r="P118" s="10">
        <f t="shared" si="6"/>
        <v>2018</v>
      </c>
      <c r="Q118" s="11">
        <v>1256.0</v>
      </c>
      <c r="R118" s="11">
        <v>762.0</v>
      </c>
      <c r="T118" s="1" t="s">
        <v>29</v>
      </c>
      <c r="U118" s="1" t="s">
        <v>19</v>
      </c>
      <c r="V118" s="10">
        <f t="shared" si="7"/>
        <v>1327</v>
      </c>
      <c r="W118" s="1">
        <v>416.0</v>
      </c>
      <c r="X118" s="1">
        <v>911.0</v>
      </c>
    </row>
    <row r="119">
      <c r="B119" s="6" t="str">
        <f t="shared" ref="B119:C119" si="236">H119</f>
        <v>Kyauksè</v>
      </c>
      <c r="C119" s="7" t="str">
        <f t="shared" si="236"/>
        <v>60+</v>
      </c>
      <c r="D119" s="6">
        <f t="shared" ref="D119:F119" si="237">J119+P119+V119</f>
        <v>9852</v>
      </c>
      <c r="E119" s="6">
        <f t="shared" si="237"/>
        <v>4347</v>
      </c>
      <c r="F119" s="6">
        <f t="shared" si="237"/>
        <v>5505</v>
      </c>
      <c r="G119" s="6"/>
      <c r="H119" s="8" t="s">
        <v>29</v>
      </c>
      <c r="I119" s="8" t="s">
        <v>20</v>
      </c>
      <c r="J119" s="10">
        <f t="shared" si="5"/>
        <v>318</v>
      </c>
      <c r="K119" s="11">
        <v>197.0</v>
      </c>
      <c r="L119" s="11">
        <v>121.0</v>
      </c>
      <c r="M119" s="5"/>
      <c r="N119" s="8" t="s">
        <v>29</v>
      </c>
      <c r="O119" s="8" t="s">
        <v>21</v>
      </c>
      <c r="P119" s="10">
        <f t="shared" si="6"/>
        <v>3445</v>
      </c>
      <c r="Q119" s="11">
        <v>2385.0</v>
      </c>
      <c r="R119" s="11">
        <v>1060.0</v>
      </c>
      <c r="T119" s="1" t="s">
        <v>29</v>
      </c>
      <c r="U119" s="1" t="s">
        <v>21</v>
      </c>
      <c r="V119" s="10">
        <f t="shared" si="7"/>
        <v>6089</v>
      </c>
      <c r="W119" s="1">
        <v>1765.0</v>
      </c>
      <c r="X119" s="1">
        <v>4324.0</v>
      </c>
    </row>
    <row r="120">
      <c r="B120" s="6" t="str">
        <f t="shared" ref="B120:C120" si="238">H120</f>
        <v>Lower Chindwin</v>
      </c>
      <c r="C120" s="7" t="str">
        <f t="shared" si="238"/>
        <v>0-4</v>
      </c>
      <c r="D120" s="6">
        <f t="shared" ref="D120:F120" si="239">J120+P120+V120</f>
        <v>30355</v>
      </c>
      <c r="E120" s="6">
        <f t="shared" si="239"/>
        <v>14492</v>
      </c>
      <c r="F120" s="6">
        <f t="shared" si="239"/>
        <v>15863</v>
      </c>
      <c r="G120" s="6"/>
      <c r="H120" s="8" t="s">
        <v>30</v>
      </c>
      <c r="I120" s="9" t="s">
        <v>10</v>
      </c>
      <c r="J120" s="10">
        <f t="shared" si="5"/>
        <v>30355</v>
      </c>
      <c r="K120" s="11">
        <v>14492.0</v>
      </c>
      <c r="L120" s="11">
        <v>15863.0</v>
      </c>
      <c r="M120" s="5"/>
      <c r="N120" s="8" t="s">
        <v>30</v>
      </c>
      <c r="O120" s="9" t="s">
        <v>10</v>
      </c>
      <c r="P120" s="10">
        <f t="shared" si="6"/>
        <v>0</v>
      </c>
      <c r="Q120" s="11">
        <v>0.0</v>
      </c>
      <c r="R120" s="11">
        <v>0.0</v>
      </c>
      <c r="T120" s="8" t="s">
        <v>30</v>
      </c>
      <c r="U120" s="9" t="s">
        <v>10</v>
      </c>
      <c r="V120" s="10">
        <f t="shared" si="7"/>
        <v>0</v>
      </c>
      <c r="W120" s="11">
        <v>0.0</v>
      </c>
      <c r="X120" s="11">
        <v>0.0</v>
      </c>
    </row>
    <row r="121">
      <c r="B121" s="6" t="str">
        <f t="shared" ref="B121:C121" si="240">H121</f>
        <v>Lower Chindwin</v>
      </c>
      <c r="C121" s="12">
        <f t="shared" si="240"/>
        <v>45786</v>
      </c>
      <c r="D121" s="6">
        <f t="shared" ref="D121:F121" si="241">J121+P121+V121</f>
        <v>28706</v>
      </c>
      <c r="E121" s="6">
        <f t="shared" si="241"/>
        <v>13938</v>
      </c>
      <c r="F121" s="6">
        <f t="shared" si="241"/>
        <v>14768</v>
      </c>
      <c r="G121" s="6"/>
      <c r="H121" s="8" t="s">
        <v>30</v>
      </c>
      <c r="I121" s="13">
        <v>45786.0</v>
      </c>
      <c r="J121" s="10">
        <f t="shared" si="5"/>
        <v>28706</v>
      </c>
      <c r="K121" s="11">
        <v>13938.0</v>
      </c>
      <c r="L121" s="11">
        <v>14768.0</v>
      </c>
      <c r="M121" s="5"/>
      <c r="N121" s="8" t="s">
        <v>30</v>
      </c>
      <c r="O121" s="13">
        <v>45786.0</v>
      </c>
      <c r="P121" s="10">
        <f t="shared" si="6"/>
        <v>0</v>
      </c>
      <c r="Q121" s="11">
        <v>0.0</v>
      </c>
      <c r="R121" s="11">
        <v>0.0</v>
      </c>
      <c r="T121" s="8" t="s">
        <v>30</v>
      </c>
      <c r="U121" s="13">
        <v>45786.0</v>
      </c>
      <c r="V121" s="10">
        <f t="shared" si="7"/>
        <v>0</v>
      </c>
      <c r="W121" s="11">
        <v>0.0</v>
      </c>
      <c r="X121" s="11">
        <v>0.0</v>
      </c>
    </row>
    <row r="122">
      <c r="B122" s="6" t="str">
        <f t="shared" ref="B122:C122" si="242">H122</f>
        <v>Lower Chindwin</v>
      </c>
      <c r="C122" s="12">
        <f t="shared" si="242"/>
        <v>45944</v>
      </c>
      <c r="D122" s="6">
        <f t="shared" ref="D122:F122" si="243">J122+P122+V122</f>
        <v>26626</v>
      </c>
      <c r="E122" s="6">
        <f t="shared" si="243"/>
        <v>12729</v>
      </c>
      <c r="F122" s="6">
        <f t="shared" si="243"/>
        <v>13897</v>
      </c>
      <c r="G122" s="6"/>
      <c r="H122" s="8" t="s">
        <v>30</v>
      </c>
      <c r="I122" s="13">
        <v>45944.0</v>
      </c>
      <c r="J122" s="10">
        <f t="shared" si="5"/>
        <v>26543</v>
      </c>
      <c r="K122" s="11">
        <v>12716.0</v>
      </c>
      <c r="L122" s="11">
        <v>13827.0</v>
      </c>
      <c r="M122" s="5"/>
      <c r="N122" s="8" t="s">
        <v>30</v>
      </c>
      <c r="O122" s="13">
        <v>45944.0</v>
      </c>
      <c r="P122" s="10">
        <f t="shared" si="6"/>
        <v>68</v>
      </c>
      <c r="Q122" s="11">
        <v>12.0</v>
      </c>
      <c r="R122" s="11">
        <v>56.0</v>
      </c>
      <c r="T122" s="8" t="s">
        <v>30</v>
      </c>
      <c r="U122" s="13">
        <v>45944.0</v>
      </c>
      <c r="V122" s="10">
        <f t="shared" si="7"/>
        <v>15</v>
      </c>
      <c r="W122" s="11">
        <v>1.0</v>
      </c>
      <c r="X122" s="11">
        <v>14.0</v>
      </c>
    </row>
    <row r="123">
      <c r="B123" s="6" t="str">
        <f t="shared" ref="B123:C123" si="244">H123</f>
        <v>Lower Chindwin</v>
      </c>
      <c r="C123" s="7" t="str">
        <f t="shared" si="244"/>
        <v>15-19</v>
      </c>
      <c r="D123" s="6">
        <f t="shared" ref="D123:F123" si="245">J123+P123+V123</f>
        <v>19763</v>
      </c>
      <c r="E123" s="6">
        <f t="shared" si="245"/>
        <v>8222</v>
      </c>
      <c r="F123" s="6">
        <f t="shared" si="245"/>
        <v>11541</v>
      </c>
      <c r="G123" s="6"/>
      <c r="H123" s="8" t="s">
        <v>30</v>
      </c>
      <c r="I123" s="9" t="s">
        <v>11</v>
      </c>
      <c r="J123" s="10">
        <f t="shared" si="5"/>
        <v>17306</v>
      </c>
      <c r="K123" s="11">
        <v>7740.0</v>
      </c>
      <c r="L123" s="11">
        <v>9566.0</v>
      </c>
      <c r="M123" s="5"/>
      <c r="N123" s="8" t="s">
        <v>30</v>
      </c>
      <c r="O123" s="9" t="s">
        <v>11</v>
      </c>
      <c r="P123" s="10">
        <f t="shared" si="6"/>
        <v>2059</v>
      </c>
      <c r="Q123" s="11">
        <v>444.0</v>
      </c>
      <c r="R123" s="11">
        <v>1615.0</v>
      </c>
      <c r="T123" s="8" t="s">
        <v>30</v>
      </c>
      <c r="U123" s="9" t="s">
        <v>11</v>
      </c>
      <c r="V123" s="10">
        <f t="shared" si="7"/>
        <v>398</v>
      </c>
      <c r="W123" s="11">
        <v>38.0</v>
      </c>
      <c r="X123" s="11">
        <v>360.0</v>
      </c>
    </row>
    <row r="124">
      <c r="B124" s="6" t="str">
        <f t="shared" ref="B124:C124" si="246">H124</f>
        <v>Lower Chindwin</v>
      </c>
      <c r="C124" s="7" t="str">
        <f t="shared" si="246"/>
        <v>20-24</v>
      </c>
      <c r="D124" s="6">
        <f t="shared" ref="D124:F124" si="247">J124+P124+V124</f>
        <v>16151</v>
      </c>
      <c r="E124" s="6">
        <f t="shared" si="247"/>
        <v>6566</v>
      </c>
      <c r="F124" s="6">
        <f t="shared" si="247"/>
        <v>9585</v>
      </c>
      <c r="G124" s="6"/>
      <c r="H124" s="8" t="s">
        <v>30</v>
      </c>
      <c r="I124" s="9" t="s">
        <v>12</v>
      </c>
      <c r="J124" s="10">
        <f t="shared" si="5"/>
        <v>7699</v>
      </c>
      <c r="K124" s="11">
        <v>3774.0</v>
      </c>
      <c r="L124" s="11">
        <v>3925.0</v>
      </c>
      <c r="M124" s="5"/>
      <c r="N124" s="8" t="s">
        <v>30</v>
      </c>
      <c r="O124" s="9" t="s">
        <v>12</v>
      </c>
      <c r="P124" s="10">
        <f t="shared" si="6"/>
        <v>7188</v>
      </c>
      <c r="Q124" s="11">
        <v>2592.0</v>
      </c>
      <c r="R124" s="11">
        <v>4596.0</v>
      </c>
      <c r="T124" s="8" t="s">
        <v>30</v>
      </c>
      <c r="U124" s="9" t="s">
        <v>12</v>
      </c>
      <c r="V124" s="10">
        <f t="shared" si="7"/>
        <v>1264</v>
      </c>
      <c r="W124" s="11">
        <v>200.0</v>
      </c>
      <c r="X124" s="11">
        <v>1064.0</v>
      </c>
    </row>
    <row r="125">
      <c r="B125" s="6" t="str">
        <f t="shared" ref="B125:C125" si="248">H125</f>
        <v>Lower Chindwin</v>
      </c>
      <c r="C125" s="7" t="str">
        <f t="shared" si="248"/>
        <v>25-29</v>
      </c>
      <c r="D125" s="6">
        <f t="shared" ref="D125:F125" si="249">J125+P125+V125</f>
        <v>14984</v>
      </c>
      <c r="E125" s="6">
        <f t="shared" si="249"/>
        <v>5820</v>
      </c>
      <c r="F125" s="6">
        <f t="shared" si="249"/>
        <v>9164</v>
      </c>
      <c r="G125" s="6"/>
      <c r="H125" s="8" t="s">
        <v>30</v>
      </c>
      <c r="I125" s="9" t="s">
        <v>13</v>
      </c>
      <c r="J125" s="10">
        <f t="shared" si="5"/>
        <v>3562</v>
      </c>
      <c r="K125" s="11">
        <v>1717.0</v>
      </c>
      <c r="L125" s="11">
        <v>1845.0</v>
      </c>
      <c r="M125" s="5"/>
      <c r="N125" s="8" t="s">
        <v>30</v>
      </c>
      <c r="O125" s="9" t="s">
        <v>13</v>
      </c>
      <c r="P125" s="10">
        <f t="shared" si="6"/>
        <v>9714</v>
      </c>
      <c r="Q125" s="11">
        <v>3785.0</v>
      </c>
      <c r="R125" s="11">
        <v>5929.0</v>
      </c>
      <c r="T125" s="1" t="s">
        <v>30</v>
      </c>
      <c r="U125" s="1" t="s">
        <v>13</v>
      </c>
      <c r="V125" s="10">
        <f t="shared" si="7"/>
        <v>1708</v>
      </c>
      <c r="W125" s="1">
        <v>318.0</v>
      </c>
      <c r="X125" s="1">
        <v>1390.0</v>
      </c>
    </row>
    <row r="126">
      <c r="B126" s="6" t="str">
        <f t="shared" ref="B126:C126" si="250">H126</f>
        <v>Lower Chindwin</v>
      </c>
      <c r="C126" s="7" t="str">
        <f t="shared" si="250"/>
        <v>30-34</v>
      </c>
      <c r="D126" s="6">
        <f t="shared" ref="D126:F126" si="251">J126+P126+V126</f>
        <v>15440</v>
      </c>
      <c r="E126" s="6">
        <f t="shared" si="251"/>
        <v>6247</v>
      </c>
      <c r="F126" s="6">
        <f t="shared" si="251"/>
        <v>9193</v>
      </c>
      <c r="G126" s="6"/>
      <c r="H126" s="8" t="s">
        <v>30</v>
      </c>
      <c r="I126" s="8" t="s">
        <v>14</v>
      </c>
      <c r="J126" s="10">
        <f t="shared" si="5"/>
        <v>2090</v>
      </c>
      <c r="K126" s="11">
        <v>890.0</v>
      </c>
      <c r="L126" s="11">
        <v>1200.0</v>
      </c>
      <c r="M126" s="5"/>
      <c r="N126" s="8" t="s">
        <v>30</v>
      </c>
      <c r="O126" s="8" t="s">
        <v>14</v>
      </c>
      <c r="P126" s="10">
        <f t="shared" si="6"/>
        <v>11268</v>
      </c>
      <c r="Q126" s="11">
        <v>4954.0</v>
      </c>
      <c r="R126" s="11">
        <v>6314.0</v>
      </c>
      <c r="T126" s="1" t="s">
        <v>30</v>
      </c>
      <c r="U126" s="1" t="s">
        <v>14</v>
      </c>
      <c r="V126" s="10">
        <f t="shared" si="7"/>
        <v>2082</v>
      </c>
      <c r="W126" s="1">
        <v>403.0</v>
      </c>
      <c r="X126" s="1">
        <v>1679.0</v>
      </c>
    </row>
    <row r="127">
      <c r="B127" s="6" t="str">
        <f t="shared" ref="B127:C127" si="252">H127</f>
        <v>Lower Chindwin</v>
      </c>
      <c r="C127" s="7" t="str">
        <f t="shared" si="252"/>
        <v>35-39</v>
      </c>
      <c r="D127" s="6">
        <f t="shared" ref="D127:F127" si="253">J127+P127+V127</f>
        <v>15176</v>
      </c>
      <c r="E127" s="6">
        <f t="shared" si="253"/>
        <v>6641</v>
      </c>
      <c r="F127" s="6">
        <f t="shared" si="253"/>
        <v>8535</v>
      </c>
      <c r="G127" s="6"/>
      <c r="H127" s="8" t="s">
        <v>30</v>
      </c>
      <c r="I127" s="8" t="s">
        <v>15</v>
      </c>
      <c r="J127" s="10">
        <f t="shared" si="5"/>
        <v>1301</v>
      </c>
      <c r="K127" s="11">
        <v>550.0</v>
      </c>
      <c r="L127" s="11">
        <v>751.0</v>
      </c>
      <c r="M127" s="5"/>
      <c r="N127" s="8" t="s">
        <v>30</v>
      </c>
      <c r="O127" s="8" t="s">
        <v>15</v>
      </c>
      <c r="P127" s="10">
        <f t="shared" si="6"/>
        <v>11739</v>
      </c>
      <c r="Q127" s="11">
        <v>5664.0</v>
      </c>
      <c r="R127" s="11">
        <v>6075.0</v>
      </c>
      <c r="T127" s="1" t="s">
        <v>30</v>
      </c>
      <c r="U127" s="1" t="s">
        <v>15</v>
      </c>
      <c r="V127" s="10">
        <f t="shared" si="7"/>
        <v>2136</v>
      </c>
      <c r="W127" s="1">
        <v>427.0</v>
      </c>
      <c r="X127" s="1">
        <v>1709.0</v>
      </c>
    </row>
    <row r="128">
      <c r="B128" s="6" t="str">
        <f t="shared" ref="B128:C128" si="254">H128</f>
        <v>Lower Chindwin</v>
      </c>
      <c r="C128" s="7" t="str">
        <f t="shared" si="254"/>
        <v>40-44</v>
      </c>
      <c r="D128" s="6">
        <f t="shared" ref="D128:F128" si="255">J128+P128+V128</f>
        <v>13571</v>
      </c>
      <c r="E128" s="6">
        <f t="shared" si="255"/>
        <v>5621</v>
      </c>
      <c r="F128" s="6">
        <f t="shared" si="255"/>
        <v>7950</v>
      </c>
      <c r="G128" s="6"/>
      <c r="H128" s="8" t="s">
        <v>30</v>
      </c>
      <c r="I128" s="8" t="s">
        <v>16</v>
      </c>
      <c r="J128" s="10">
        <f t="shared" si="5"/>
        <v>1082</v>
      </c>
      <c r="K128" s="11">
        <v>351.0</v>
      </c>
      <c r="L128" s="11">
        <v>731.0</v>
      </c>
      <c r="M128" s="5"/>
      <c r="N128" s="8" t="s">
        <v>30</v>
      </c>
      <c r="O128" s="8" t="s">
        <v>16</v>
      </c>
      <c r="P128" s="10">
        <f t="shared" si="6"/>
        <v>10095</v>
      </c>
      <c r="Q128" s="11">
        <v>4861.0</v>
      </c>
      <c r="R128" s="11">
        <v>5234.0</v>
      </c>
      <c r="T128" s="1" t="s">
        <v>30</v>
      </c>
      <c r="U128" s="1" t="s">
        <v>16</v>
      </c>
      <c r="V128" s="10">
        <f t="shared" si="7"/>
        <v>2394</v>
      </c>
      <c r="W128" s="1">
        <v>409.0</v>
      </c>
      <c r="X128" s="1">
        <v>1985.0</v>
      </c>
    </row>
    <row r="129">
      <c r="B129" s="6" t="str">
        <f t="shared" ref="B129:C129" si="256">H129</f>
        <v>Lower Chindwin</v>
      </c>
      <c r="C129" s="7" t="str">
        <f t="shared" si="256"/>
        <v>45-49</v>
      </c>
      <c r="D129" s="6">
        <f t="shared" ref="D129:F129" si="257">J129+P129+V129</f>
        <v>9875</v>
      </c>
      <c r="E129" s="6">
        <f t="shared" si="257"/>
        <v>4497</v>
      </c>
      <c r="F129" s="6">
        <f t="shared" si="257"/>
        <v>5378</v>
      </c>
      <c r="G129" s="6"/>
      <c r="H129" s="8" t="s">
        <v>30</v>
      </c>
      <c r="I129" s="8" t="s">
        <v>17</v>
      </c>
      <c r="J129" s="10">
        <f t="shared" si="5"/>
        <v>673</v>
      </c>
      <c r="K129" s="11">
        <v>234.0</v>
      </c>
      <c r="L129" s="11">
        <v>439.0</v>
      </c>
      <c r="M129" s="5"/>
      <c r="N129" s="8" t="s">
        <v>30</v>
      </c>
      <c r="O129" s="8" t="s">
        <v>17</v>
      </c>
      <c r="P129" s="10">
        <f t="shared" si="6"/>
        <v>7305</v>
      </c>
      <c r="Q129" s="11">
        <v>3897.0</v>
      </c>
      <c r="R129" s="11">
        <v>3408.0</v>
      </c>
      <c r="T129" s="1" t="s">
        <v>30</v>
      </c>
      <c r="U129" s="1" t="s">
        <v>17</v>
      </c>
      <c r="V129" s="10">
        <f t="shared" si="7"/>
        <v>1897</v>
      </c>
      <c r="W129" s="1">
        <v>366.0</v>
      </c>
      <c r="X129" s="1">
        <v>1531.0</v>
      </c>
    </row>
    <row r="130">
      <c r="B130" s="6" t="str">
        <f t="shared" ref="B130:C130" si="258">H130</f>
        <v>Lower Chindwin</v>
      </c>
      <c r="C130" s="7" t="str">
        <f t="shared" si="258"/>
        <v>50-54</v>
      </c>
      <c r="D130" s="6">
        <f t="shared" ref="D130:F130" si="259">J130+P130+V130</f>
        <v>9811</v>
      </c>
      <c r="E130" s="6">
        <f t="shared" si="259"/>
        <v>4019</v>
      </c>
      <c r="F130" s="6">
        <f t="shared" si="259"/>
        <v>5792</v>
      </c>
      <c r="G130" s="6"/>
      <c r="H130" s="8" t="s">
        <v>30</v>
      </c>
      <c r="I130" s="8" t="s">
        <v>18</v>
      </c>
      <c r="J130" s="10">
        <f t="shared" si="5"/>
        <v>686</v>
      </c>
      <c r="K130" s="11">
        <v>224.0</v>
      </c>
      <c r="L130" s="11">
        <v>462.0</v>
      </c>
      <c r="M130" s="5"/>
      <c r="N130" s="8" t="s">
        <v>30</v>
      </c>
      <c r="O130" s="8" t="s">
        <v>18</v>
      </c>
      <c r="P130" s="10">
        <f t="shared" si="6"/>
        <v>6409</v>
      </c>
      <c r="Q130" s="11">
        <v>3325.0</v>
      </c>
      <c r="R130" s="11">
        <v>3084.0</v>
      </c>
      <c r="T130" s="1" t="s">
        <v>30</v>
      </c>
      <c r="U130" s="1" t="s">
        <v>18</v>
      </c>
      <c r="V130" s="10">
        <f t="shared" si="7"/>
        <v>2716</v>
      </c>
      <c r="W130" s="1">
        <v>470.0</v>
      </c>
      <c r="X130" s="1">
        <v>2246.0</v>
      </c>
    </row>
    <row r="131">
      <c r="B131" s="6" t="str">
        <f t="shared" ref="B131:C131" si="260">H131</f>
        <v>Lower Chindwin</v>
      </c>
      <c r="C131" s="7" t="str">
        <f t="shared" si="260"/>
        <v>55-59</v>
      </c>
      <c r="D131" s="6">
        <f t="shared" ref="D131:F131" si="261">J131+P131+V131</f>
        <v>6234</v>
      </c>
      <c r="E131" s="6">
        <f t="shared" si="261"/>
        <v>2626</v>
      </c>
      <c r="F131" s="6">
        <f t="shared" si="261"/>
        <v>3608</v>
      </c>
      <c r="G131" s="6"/>
      <c r="H131" s="8" t="s">
        <v>30</v>
      </c>
      <c r="I131" s="8" t="s">
        <v>19</v>
      </c>
      <c r="J131" s="10">
        <f t="shared" si="5"/>
        <v>396</v>
      </c>
      <c r="K131" s="11">
        <v>168.0</v>
      </c>
      <c r="L131" s="11">
        <v>228.0</v>
      </c>
      <c r="M131" s="5"/>
      <c r="N131" s="8" t="s">
        <v>30</v>
      </c>
      <c r="O131" s="8" t="s">
        <v>19</v>
      </c>
      <c r="P131" s="10">
        <f t="shared" si="6"/>
        <v>3913</v>
      </c>
      <c r="Q131" s="11">
        <v>2115.0</v>
      </c>
      <c r="R131" s="11">
        <v>1798.0</v>
      </c>
      <c r="T131" s="1" t="s">
        <v>30</v>
      </c>
      <c r="U131" s="1" t="s">
        <v>19</v>
      </c>
      <c r="V131" s="10">
        <f t="shared" si="7"/>
        <v>1925</v>
      </c>
      <c r="W131" s="1">
        <v>343.0</v>
      </c>
      <c r="X131" s="1">
        <v>1582.0</v>
      </c>
    </row>
    <row r="132">
      <c r="B132" s="6" t="str">
        <f t="shared" ref="B132:C132" si="262">H132</f>
        <v>Lower Chindwin</v>
      </c>
      <c r="C132" s="7" t="str">
        <f t="shared" si="262"/>
        <v>60+</v>
      </c>
      <c r="D132" s="6">
        <f t="shared" ref="D132:F132" si="263">J132+P132+V132</f>
        <v>25554</v>
      </c>
      <c r="E132" s="6">
        <f t="shared" si="263"/>
        <v>9907</v>
      </c>
      <c r="F132" s="6">
        <f t="shared" si="263"/>
        <v>15647</v>
      </c>
      <c r="G132" s="6"/>
      <c r="H132" s="8" t="s">
        <v>30</v>
      </c>
      <c r="I132" s="8" t="s">
        <v>20</v>
      </c>
      <c r="J132" s="10">
        <f t="shared" si="5"/>
        <v>1464</v>
      </c>
      <c r="K132" s="11">
        <v>572.0</v>
      </c>
      <c r="L132" s="11">
        <v>892.0</v>
      </c>
      <c r="M132" s="5"/>
      <c r="N132" s="8" t="s">
        <v>30</v>
      </c>
      <c r="O132" s="8" t="s">
        <v>21</v>
      </c>
      <c r="P132" s="10">
        <f t="shared" si="6"/>
        <v>10267</v>
      </c>
      <c r="Q132" s="11">
        <v>6306.0</v>
      </c>
      <c r="R132" s="11">
        <v>3961.0</v>
      </c>
      <c r="T132" s="1" t="s">
        <v>30</v>
      </c>
      <c r="U132" s="1" t="s">
        <v>21</v>
      </c>
      <c r="V132" s="10">
        <f t="shared" si="7"/>
        <v>13823</v>
      </c>
      <c r="W132" s="1">
        <v>3029.0</v>
      </c>
      <c r="X132" s="1">
        <v>10794.0</v>
      </c>
    </row>
    <row r="133">
      <c r="B133" s="6" t="str">
        <f t="shared" ref="B133:C133" si="264">H133</f>
        <v>Magwe</v>
      </c>
      <c r="C133" s="7" t="str">
        <f t="shared" si="264"/>
        <v>0-4</v>
      </c>
      <c r="D133" s="6">
        <f t="shared" ref="D133:F133" si="265">J133+P133+V133</f>
        <v>28920</v>
      </c>
      <c r="E133" s="6">
        <f t="shared" si="265"/>
        <v>14328</v>
      </c>
      <c r="F133" s="6">
        <f t="shared" si="265"/>
        <v>14592</v>
      </c>
      <c r="G133" s="6"/>
      <c r="H133" s="8" t="s">
        <v>31</v>
      </c>
      <c r="I133" s="9" t="s">
        <v>10</v>
      </c>
      <c r="J133" s="10">
        <f t="shared" si="5"/>
        <v>28920</v>
      </c>
      <c r="K133" s="11">
        <v>14328.0</v>
      </c>
      <c r="L133" s="11">
        <v>14592.0</v>
      </c>
      <c r="M133" s="5"/>
      <c r="N133" s="8" t="s">
        <v>31</v>
      </c>
      <c r="O133" s="9" t="s">
        <v>10</v>
      </c>
      <c r="P133" s="10">
        <f t="shared" si="6"/>
        <v>0</v>
      </c>
      <c r="Q133" s="11">
        <v>0.0</v>
      </c>
      <c r="R133" s="11">
        <v>0.0</v>
      </c>
      <c r="T133" s="8" t="s">
        <v>31</v>
      </c>
      <c r="U133" s="9" t="s">
        <v>10</v>
      </c>
      <c r="V133" s="10">
        <f t="shared" si="7"/>
        <v>0</v>
      </c>
      <c r="W133" s="11">
        <v>0.0</v>
      </c>
      <c r="X133" s="11">
        <v>0.0</v>
      </c>
    </row>
    <row r="134">
      <c r="B134" s="6" t="str">
        <f t="shared" ref="B134:C134" si="266">H134</f>
        <v>Magwe</v>
      </c>
      <c r="C134" s="12">
        <f t="shared" si="266"/>
        <v>45786</v>
      </c>
      <c r="D134" s="6">
        <f t="shared" ref="D134:F134" si="267">J134+P134+V134</f>
        <v>29426</v>
      </c>
      <c r="E134" s="6">
        <f t="shared" si="267"/>
        <v>14768</v>
      </c>
      <c r="F134" s="6">
        <f t="shared" si="267"/>
        <v>14658</v>
      </c>
      <c r="G134" s="6"/>
      <c r="H134" s="8" t="s">
        <v>31</v>
      </c>
      <c r="I134" s="13">
        <v>45786.0</v>
      </c>
      <c r="J134" s="10">
        <f t="shared" si="5"/>
        <v>29426</v>
      </c>
      <c r="K134" s="11">
        <v>14768.0</v>
      </c>
      <c r="L134" s="11">
        <v>14658.0</v>
      </c>
      <c r="M134" s="5"/>
      <c r="N134" s="8" t="s">
        <v>31</v>
      </c>
      <c r="O134" s="13">
        <v>45786.0</v>
      </c>
      <c r="P134" s="10">
        <f t="shared" si="6"/>
        <v>0</v>
      </c>
      <c r="Q134" s="11">
        <v>0.0</v>
      </c>
      <c r="R134" s="11">
        <v>0.0</v>
      </c>
      <c r="T134" s="8" t="s">
        <v>31</v>
      </c>
      <c r="U134" s="13">
        <v>45786.0</v>
      </c>
      <c r="V134" s="10">
        <f t="shared" si="7"/>
        <v>0</v>
      </c>
      <c r="W134" s="11">
        <v>0.0</v>
      </c>
      <c r="X134" s="11">
        <v>0.0</v>
      </c>
    </row>
    <row r="135">
      <c r="B135" s="6" t="str">
        <f t="shared" ref="B135:C135" si="268">H135</f>
        <v>Magwe</v>
      </c>
      <c r="C135" s="12">
        <f t="shared" si="268"/>
        <v>45944</v>
      </c>
      <c r="D135" s="6">
        <f t="shared" ref="D135:F135" si="269">J135+P135+V135</f>
        <v>28447</v>
      </c>
      <c r="E135" s="6">
        <f t="shared" si="269"/>
        <v>14398</v>
      </c>
      <c r="F135" s="6">
        <f t="shared" si="269"/>
        <v>14049</v>
      </c>
      <c r="G135" s="6"/>
      <c r="H135" s="8" t="s">
        <v>31</v>
      </c>
      <c r="I135" s="13">
        <v>45944.0</v>
      </c>
      <c r="J135" s="10">
        <f t="shared" si="5"/>
        <v>28399</v>
      </c>
      <c r="K135" s="11">
        <v>14386.0</v>
      </c>
      <c r="L135" s="11">
        <v>14013.0</v>
      </c>
      <c r="M135" s="5"/>
      <c r="N135" s="8" t="s">
        <v>31</v>
      </c>
      <c r="O135" s="13">
        <v>45944.0</v>
      </c>
      <c r="P135" s="10">
        <f t="shared" si="6"/>
        <v>46</v>
      </c>
      <c r="Q135" s="11">
        <v>12.0</v>
      </c>
      <c r="R135" s="11">
        <v>34.0</v>
      </c>
      <c r="T135" s="8" t="s">
        <v>31</v>
      </c>
      <c r="U135" s="13">
        <v>45944.0</v>
      </c>
      <c r="V135" s="10">
        <f t="shared" si="7"/>
        <v>2</v>
      </c>
      <c r="W135" s="11">
        <v>0.0</v>
      </c>
      <c r="X135" s="11">
        <v>2.0</v>
      </c>
    </row>
    <row r="136">
      <c r="B136" s="6" t="str">
        <f t="shared" ref="B136:C136" si="270">H136</f>
        <v>Magwe</v>
      </c>
      <c r="C136" s="7" t="str">
        <f t="shared" si="270"/>
        <v>15-19</v>
      </c>
      <c r="D136" s="6">
        <f t="shared" ref="D136:F136" si="271">J136+P136+V136</f>
        <v>22476</v>
      </c>
      <c r="E136" s="6">
        <f t="shared" si="271"/>
        <v>10430</v>
      </c>
      <c r="F136" s="6">
        <f t="shared" si="271"/>
        <v>12046</v>
      </c>
      <c r="G136" s="6"/>
      <c r="H136" s="8" t="s">
        <v>31</v>
      </c>
      <c r="I136" s="9" t="s">
        <v>11</v>
      </c>
      <c r="J136" s="10">
        <f t="shared" si="5"/>
        <v>20358</v>
      </c>
      <c r="K136" s="11">
        <v>10062.0</v>
      </c>
      <c r="L136" s="11">
        <v>10296.0</v>
      </c>
      <c r="M136" s="5"/>
      <c r="N136" s="8" t="s">
        <v>31</v>
      </c>
      <c r="O136" s="9" t="s">
        <v>11</v>
      </c>
      <c r="P136" s="10">
        <f t="shared" si="6"/>
        <v>1937</v>
      </c>
      <c r="Q136" s="11">
        <v>348.0</v>
      </c>
      <c r="R136" s="11">
        <v>1589.0</v>
      </c>
      <c r="T136" s="8" t="s">
        <v>31</v>
      </c>
      <c r="U136" s="9" t="s">
        <v>11</v>
      </c>
      <c r="V136" s="10">
        <f t="shared" si="7"/>
        <v>181</v>
      </c>
      <c r="W136" s="11">
        <v>20.0</v>
      </c>
      <c r="X136" s="11">
        <v>161.0</v>
      </c>
    </row>
    <row r="137">
      <c r="B137" s="6" t="str">
        <f t="shared" ref="B137:C137" si="272">H137</f>
        <v>Magwe</v>
      </c>
      <c r="C137" s="7" t="str">
        <f t="shared" si="272"/>
        <v>20-24</v>
      </c>
      <c r="D137" s="6">
        <f t="shared" ref="D137:F137" si="273">J137+P137+V137</f>
        <v>19549</v>
      </c>
      <c r="E137" s="6">
        <f t="shared" si="273"/>
        <v>9445</v>
      </c>
      <c r="F137" s="6">
        <f t="shared" si="273"/>
        <v>10104</v>
      </c>
      <c r="G137" s="6"/>
      <c r="H137" s="8" t="s">
        <v>31</v>
      </c>
      <c r="I137" s="9" t="s">
        <v>12</v>
      </c>
      <c r="J137" s="10">
        <f t="shared" si="5"/>
        <v>10581</v>
      </c>
      <c r="K137" s="11">
        <v>6258.0</v>
      </c>
      <c r="L137" s="11">
        <v>4323.0</v>
      </c>
      <c r="M137" s="5"/>
      <c r="N137" s="8" t="s">
        <v>31</v>
      </c>
      <c r="O137" s="9" t="s">
        <v>12</v>
      </c>
      <c r="P137" s="10">
        <f t="shared" si="6"/>
        <v>8341</v>
      </c>
      <c r="Q137" s="11">
        <v>3056.0</v>
      </c>
      <c r="R137" s="11">
        <v>5285.0</v>
      </c>
      <c r="T137" s="8" t="s">
        <v>31</v>
      </c>
      <c r="U137" s="9" t="s">
        <v>12</v>
      </c>
      <c r="V137" s="10">
        <f t="shared" si="7"/>
        <v>627</v>
      </c>
      <c r="W137" s="11">
        <v>131.0</v>
      </c>
      <c r="X137" s="11">
        <v>496.0</v>
      </c>
    </row>
    <row r="138">
      <c r="B138" s="6" t="str">
        <f t="shared" ref="B138:C138" si="274">H138</f>
        <v>Magwe</v>
      </c>
      <c r="C138" s="7" t="str">
        <f t="shared" si="274"/>
        <v>25-29</v>
      </c>
      <c r="D138" s="6">
        <f t="shared" ref="D138:F138" si="275">J138+P138+V138</f>
        <v>16351</v>
      </c>
      <c r="E138" s="6">
        <f t="shared" si="275"/>
        <v>8050</v>
      </c>
      <c r="F138" s="6">
        <f t="shared" si="275"/>
        <v>8301</v>
      </c>
      <c r="G138" s="6"/>
      <c r="H138" s="8" t="s">
        <v>31</v>
      </c>
      <c r="I138" s="9" t="s">
        <v>13</v>
      </c>
      <c r="J138" s="10">
        <f t="shared" si="5"/>
        <v>4325</v>
      </c>
      <c r="K138" s="11">
        <v>2672.0</v>
      </c>
      <c r="L138" s="11">
        <v>1653.0</v>
      </c>
      <c r="M138" s="5"/>
      <c r="N138" s="8" t="s">
        <v>31</v>
      </c>
      <c r="O138" s="9" t="s">
        <v>13</v>
      </c>
      <c r="P138" s="10">
        <f t="shared" si="6"/>
        <v>11136</v>
      </c>
      <c r="Q138" s="11">
        <v>5100.0</v>
      </c>
      <c r="R138" s="11">
        <v>6036.0</v>
      </c>
      <c r="T138" s="1" t="s">
        <v>31</v>
      </c>
      <c r="U138" s="1" t="s">
        <v>13</v>
      </c>
      <c r="V138" s="10">
        <f t="shared" si="7"/>
        <v>890</v>
      </c>
      <c r="W138" s="1">
        <v>278.0</v>
      </c>
      <c r="X138" s="1">
        <v>612.0</v>
      </c>
    </row>
    <row r="139">
      <c r="B139" s="6" t="str">
        <f t="shared" ref="B139:C139" si="276">H139</f>
        <v>Magwe</v>
      </c>
      <c r="C139" s="7" t="str">
        <f t="shared" si="276"/>
        <v>30-34</v>
      </c>
      <c r="D139" s="6">
        <f t="shared" ref="D139:F139" si="277">J139+P139+V139</f>
        <v>14109</v>
      </c>
      <c r="E139" s="6">
        <f t="shared" si="277"/>
        <v>6976</v>
      </c>
      <c r="F139" s="6">
        <f t="shared" si="277"/>
        <v>7133</v>
      </c>
      <c r="G139" s="6"/>
      <c r="H139" s="8" t="s">
        <v>31</v>
      </c>
      <c r="I139" s="8" t="s">
        <v>14</v>
      </c>
      <c r="J139" s="10">
        <f t="shared" si="5"/>
        <v>1929</v>
      </c>
      <c r="K139" s="11">
        <v>1110.0</v>
      </c>
      <c r="L139" s="11">
        <v>819.0</v>
      </c>
      <c r="M139" s="5"/>
      <c r="N139" s="8" t="s">
        <v>31</v>
      </c>
      <c r="O139" s="8" t="s">
        <v>14</v>
      </c>
      <c r="P139" s="10">
        <f t="shared" si="6"/>
        <v>11115</v>
      </c>
      <c r="Q139" s="11">
        <v>5543.0</v>
      </c>
      <c r="R139" s="11">
        <v>5572.0</v>
      </c>
      <c r="T139" s="1" t="s">
        <v>31</v>
      </c>
      <c r="U139" s="1" t="s">
        <v>14</v>
      </c>
      <c r="V139" s="10">
        <f t="shared" si="7"/>
        <v>1065</v>
      </c>
      <c r="W139" s="1">
        <v>323.0</v>
      </c>
      <c r="X139" s="1">
        <v>742.0</v>
      </c>
    </row>
    <row r="140">
      <c r="B140" s="6" t="str">
        <f t="shared" ref="B140:C140" si="278">H140</f>
        <v>Magwe</v>
      </c>
      <c r="C140" s="7" t="str">
        <f t="shared" si="278"/>
        <v>35-39</v>
      </c>
      <c r="D140" s="6">
        <f t="shared" ref="D140:F140" si="279">J140+P140+V140</f>
        <v>12484</v>
      </c>
      <c r="E140" s="6">
        <f t="shared" si="279"/>
        <v>6352</v>
      </c>
      <c r="F140" s="6">
        <f t="shared" si="279"/>
        <v>6132</v>
      </c>
      <c r="G140" s="6"/>
      <c r="H140" s="8" t="s">
        <v>31</v>
      </c>
      <c r="I140" s="8" t="s">
        <v>15</v>
      </c>
      <c r="J140" s="10">
        <f t="shared" si="5"/>
        <v>1114</v>
      </c>
      <c r="K140" s="11">
        <v>634.0</v>
      </c>
      <c r="L140" s="11">
        <v>480.0</v>
      </c>
      <c r="M140" s="5"/>
      <c r="N140" s="8" t="s">
        <v>31</v>
      </c>
      <c r="O140" s="8" t="s">
        <v>15</v>
      </c>
      <c r="P140" s="10">
        <f t="shared" si="6"/>
        <v>10313</v>
      </c>
      <c r="Q140" s="11">
        <v>5380.0</v>
      </c>
      <c r="R140" s="11">
        <v>4933.0</v>
      </c>
      <c r="T140" s="1" t="s">
        <v>31</v>
      </c>
      <c r="U140" s="1" t="s">
        <v>15</v>
      </c>
      <c r="V140" s="10">
        <f t="shared" si="7"/>
        <v>1057</v>
      </c>
      <c r="W140" s="1">
        <v>338.0</v>
      </c>
      <c r="X140" s="1">
        <v>719.0</v>
      </c>
    </row>
    <row r="141">
      <c r="B141" s="6" t="str">
        <f t="shared" ref="B141:C141" si="280">H141</f>
        <v>Magwe</v>
      </c>
      <c r="C141" s="7" t="str">
        <f t="shared" si="280"/>
        <v>40-44</v>
      </c>
      <c r="D141" s="6">
        <f t="shared" ref="D141:F141" si="281">J141+P141+V141</f>
        <v>11362</v>
      </c>
      <c r="E141" s="6">
        <f t="shared" si="281"/>
        <v>5603</v>
      </c>
      <c r="F141" s="6">
        <f t="shared" si="281"/>
        <v>5759</v>
      </c>
      <c r="G141" s="6"/>
      <c r="H141" s="8" t="s">
        <v>31</v>
      </c>
      <c r="I141" s="8" t="s">
        <v>16</v>
      </c>
      <c r="J141" s="10">
        <f t="shared" si="5"/>
        <v>706</v>
      </c>
      <c r="K141" s="11">
        <v>349.0</v>
      </c>
      <c r="L141" s="11">
        <v>357.0</v>
      </c>
      <c r="M141" s="5"/>
      <c r="N141" s="8" t="s">
        <v>31</v>
      </c>
      <c r="O141" s="8" t="s">
        <v>16</v>
      </c>
      <c r="P141" s="10">
        <f t="shared" si="6"/>
        <v>9222</v>
      </c>
      <c r="Q141" s="11">
        <v>4848.0</v>
      </c>
      <c r="R141" s="11">
        <v>4374.0</v>
      </c>
      <c r="T141" s="1" t="s">
        <v>31</v>
      </c>
      <c r="U141" s="1" t="s">
        <v>16</v>
      </c>
      <c r="V141" s="10">
        <f t="shared" si="7"/>
        <v>1434</v>
      </c>
      <c r="W141" s="1">
        <v>406.0</v>
      </c>
      <c r="X141" s="1">
        <v>1028.0</v>
      </c>
    </row>
    <row r="142">
      <c r="B142" s="6" t="str">
        <f t="shared" ref="B142:C142" si="282">H142</f>
        <v>Magwe</v>
      </c>
      <c r="C142" s="7" t="str">
        <f t="shared" si="282"/>
        <v>45-49</v>
      </c>
      <c r="D142" s="6">
        <f t="shared" ref="D142:F142" si="283">J142+P142+V142</f>
        <v>8298</v>
      </c>
      <c r="E142" s="6">
        <f t="shared" si="283"/>
        <v>4242</v>
      </c>
      <c r="F142" s="6">
        <f t="shared" si="283"/>
        <v>4056</v>
      </c>
      <c r="G142" s="6"/>
      <c r="H142" s="8" t="s">
        <v>31</v>
      </c>
      <c r="I142" s="8" t="s">
        <v>17</v>
      </c>
      <c r="J142" s="10">
        <f t="shared" si="5"/>
        <v>448</v>
      </c>
      <c r="K142" s="11">
        <v>229.0</v>
      </c>
      <c r="L142" s="11">
        <v>219.0</v>
      </c>
      <c r="M142" s="5"/>
      <c r="N142" s="8" t="s">
        <v>31</v>
      </c>
      <c r="O142" s="8" t="s">
        <v>17</v>
      </c>
      <c r="P142" s="10">
        <f t="shared" si="6"/>
        <v>6591</v>
      </c>
      <c r="Q142" s="11">
        <v>3668.0</v>
      </c>
      <c r="R142" s="11">
        <v>2923.0</v>
      </c>
      <c r="T142" s="1" t="s">
        <v>31</v>
      </c>
      <c r="U142" s="1" t="s">
        <v>17</v>
      </c>
      <c r="V142" s="10">
        <f t="shared" si="7"/>
        <v>1259</v>
      </c>
      <c r="W142" s="1">
        <v>345.0</v>
      </c>
      <c r="X142" s="1">
        <v>914.0</v>
      </c>
    </row>
    <row r="143">
      <c r="B143" s="6" t="str">
        <f t="shared" ref="B143:C143" si="284">H143</f>
        <v>Magwe</v>
      </c>
      <c r="C143" s="7" t="str">
        <f t="shared" si="284"/>
        <v>50-54</v>
      </c>
      <c r="D143" s="6">
        <f t="shared" ref="D143:F143" si="285">J143+P143+V143</f>
        <v>8150</v>
      </c>
      <c r="E143" s="6">
        <f t="shared" si="285"/>
        <v>3914</v>
      </c>
      <c r="F143" s="6">
        <f t="shared" si="285"/>
        <v>4236</v>
      </c>
      <c r="G143" s="6"/>
      <c r="H143" s="8" t="s">
        <v>31</v>
      </c>
      <c r="I143" s="8" t="s">
        <v>18</v>
      </c>
      <c r="J143" s="10">
        <f t="shared" si="5"/>
        <v>428</v>
      </c>
      <c r="K143" s="11">
        <v>184.0</v>
      </c>
      <c r="L143" s="11">
        <v>244.0</v>
      </c>
      <c r="M143" s="5"/>
      <c r="N143" s="8" t="s">
        <v>31</v>
      </c>
      <c r="O143" s="8" t="s">
        <v>18</v>
      </c>
      <c r="P143" s="10">
        <f t="shared" si="6"/>
        <v>5879</v>
      </c>
      <c r="Q143" s="11">
        <v>3322.0</v>
      </c>
      <c r="R143" s="11">
        <v>2557.0</v>
      </c>
      <c r="T143" s="1" t="s">
        <v>31</v>
      </c>
      <c r="U143" s="1" t="s">
        <v>18</v>
      </c>
      <c r="V143" s="10">
        <f t="shared" si="7"/>
        <v>1843</v>
      </c>
      <c r="W143" s="1">
        <v>408.0</v>
      </c>
      <c r="X143" s="1">
        <v>1435.0</v>
      </c>
    </row>
    <row r="144">
      <c r="B144" s="6" t="str">
        <f t="shared" ref="B144:C144" si="286">H144</f>
        <v>Magwe</v>
      </c>
      <c r="C144" s="7" t="str">
        <f t="shared" si="286"/>
        <v>55-59</v>
      </c>
      <c r="D144" s="6">
        <f t="shared" ref="D144:F144" si="287">J144+P144+V144</f>
        <v>4734</v>
      </c>
      <c r="E144" s="6">
        <f t="shared" si="287"/>
        <v>2292</v>
      </c>
      <c r="F144" s="6">
        <f t="shared" si="287"/>
        <v>2442</v>
      </c>
      <c r="G144" s="6"/>
      <c r="H144" s="8" t="s">
        <v>31</v>
      </c>
      <c r="I144" s="8" t="s">
        <v>19</v>
      </c>
      <c r="J144" s="10">
        <f t="shared" si="5"/>
        <v>225</v>
      </c>
      <c r="K144" s="11">
        <v>117.0</v>
      </c>
      <c r="L144" s="11">
        <v>108.0</v>
      </c>
      <c r="M144" s="5"/>
      <c r="N144" s="8" t="s">
        <v>31</v>
      </c>
      <c r="O144" s="8" t="s">
        <v>19</v>
      </c>
      <c r="P144" s="10">
        <f t="shared" si="6"/>
        <v>3333</v>
      </c>
      <c r="Q144" s="11">
        <v>1869.0</v>
      </c>
      <c r="R144" s="11">
        <v>1464.0</v>
      </c>
      <c r="T144" s="1" t="s">
        <v>31</v>
      </c>
      <c r="U144" s="1" t="s">
        <v>19</v>
      </c>
      <c r="V144" s="10">
        <f t="shared" si="7"/>
        <v>1176</v>
      </c>
      <c r="W144" s="1">
        <v>306.0</v>
      </c>
      <c r="X144" s="1">
        <v>870.0</v>
      </c>
    </row>
    <row r="145">
      <c r="B145" s="6" t="str">
        <f t="shared" ref="B145:C145" si="288">H145</f>
        <v>Magwe</v>
      </c>
      <c r="C145" s="7" t="str">
        <f t="shared" si="288"/>
        <v>60+</v>
      </c>
      <c r="D145" s="6">
        <f t="shared" ref="D145:F145" si="289">J145+P145+V145</f>
        <v>14828</v>
      </c>
      <c r="E145" s="6">
        <f t="shared" si="289"/>
        <v>6489</v>
      </c>
      <c r="F145" s="6">
        <f t="shared" si="289"/>
        <v>8339</v>
      </c>
      <c r="G145" s="6"/>
      <c r="H145" s="8" t="s">
        <v>31</v>
      </c>
      <c r="I145" s="8" t="s">
        <v>20</v>
      </c>
      <c r="J145" s="10">
        <f t="shared" si="5"/>
        <v>742</v>
      </c>
      <c r="K145" s="11">
        <v>292.0</v>
      </c>
      <c r="L145" s="11">
        <v>450.0</v>
      </c>
      <c r="M145" s="5"/>
      <c r="N145" s="8" t="s">
        <v>31</v>
      </c>
      <c r="O145" s="8" t="s">
        <v>21</v>
      </c>
      <c r="P145" s="10">
        <f t="shared" si="6"/>
        <v>7066</v>
      </c>
      <c r="Q145" s="11">
        <v>4373.0</v>
      </c>
      <c r="R145" s="11">
        <v>2693.0</v>
      </c>
      <c r="T145" s="1" t="s">
        <v>31</v>
      </c>
      <c r="U145" s="1" t="s">
        <v>21</v>
      </c>
      <c r="V145" s="10">
        <f t="shared" si="7"/>
        <v>7020</v>
      </c>
      <c r="W145" s="1">
        <v>1824.0</v>
      </c>
      <c r="X145" s="1">
        <v>5196.0</v>
      </c>
    </row>
    <row r="146">
      <c r="B146" s="6" t="str">
        <f t="shared" ref="B146:C146" si="290">H146</f>
        <v>Mandalay</v>
      </c>
      <c r="C146" s="7" t="str">
        <f t="shared" si="290"/>
        <v>0-4</v>
      </c>
      <c r="D146" s="6">
        <f t="shared" ref="D146:F146" si="291">J146+P146+V146</f>
        <v>43146</v>
      </c>
      <c r="E146" s="6">
        <f t="shared" si="291"/>
        <v>20972</v>
      </c>
      <c r="F146" s="6">
        <f t="shared" si="291"/>
        <v>22174</v>
      </c>
      <c r="G146" s="6"/>
      <c r="H146" s="8" t="s">
        <v>32</v>
      </c>
      <c r="I146" s="9" t="s">
        <v>10</v>
      </c>
      <c r="J146" s="10">
        <f t="shared" si="5"/>
        <v>43146</v>
      </c>
      <c r="K146" s="11">
        <v>20972.0</v>
      </c>
      <c r="L146" s="11">
        <v>22174.0</v>
      </c>
      <c r="M146" s="5"/>
      <c r="N146" s="8" t="s">
        <v>32</v>
      </c>
      <c r="O146" s="9" t="s">
        <v>10</v>
      </c>
      <c r="P146" s="10">
        <f t="shared" si="6"/>
        <v>0</v>
      </c>
      <c r="Q146" s="11">
        <v>0.0</v>
      </c>
      <c r="R146" s="11">
        <v>0.0</v>
      </c>
      <c r="T146" s="8" t="s">
        <v>32</v>
      </c>
      <c r="U146" s="9" t="s">
        <v>10</v>
      </c>
      <c r="V146" s="10">
        <f t="shared" si="7"/>
        <v>0</v>
      </c>
      <c r="W146" s="11">
        <v>0.0</v>
      </c>
      <c r="X146" s="11">
        <v>0.0</v>
      </c>
    </row>
    <row r="147">
      <c r="B147" s="6" t="str">
        <f t="shared" ref="B147:C147" si="292">H147</f>
        <v>Mandalay</v>
      </c>
      <c r="C147" s="12">
        <f t="shared" si="292"/>
        <v>45786</v>
      </c>
      <c r="D147" s="6">
        <f t="shared" ref="D147:F147" si="293">J147+P147+V147</f>
        <v>36984</v>
      </c>
      <c r="E147" s="6">
        <f t="shared" si="293"/>
        <v>18091</v>
      </c>
      <c r="F147" s="6">
        <f t="shared" si="293"/>
        <v>18893</v>
      </c>
      <c r="G147" s="6"/>
      <c r="H147" s="8" t="s">
        <v>32</v>
      </c>
      <c r="I147" s="13">
        <v>45786.0</v>
      </c>
      <c r="J147" s="10">
        <f t="shared" si="5"/>
        <v>36983</v>
      </c>
      <c r="K147" s="11">
        <v>18091.0</v>
      </c>
      <c r="L147" s="11">
        <v>18892.0</v>
      </c>
      <c r="M147" s="5"/>
      <c r="N147" s="8" t="s">
        <v>32</v>
      </c>
      <c r="O147" s="13">
        <v>45786.0</v>
      </c>
      <c r="P147" s="10">
        <f t="shared" si="6"/>
        <v>1</v>
      </c>
      <c r="Q147" s="11">
        <v>0.0</v>
      </c>
      <c r="R147" s="11">
        <v>1.0</v>
      </c>
      <c r="T147" s="8" t="s">
        <v>32</v>
      </c>
      <c r="U147" s="13">
        <v>45786.0</v>
      </c>
      <c r="V147" s="10">
        <f t="shared" si="7"/>
        <v>0</v>
      </c>
      <c r="W147" s="11">
        <v>0.0</v>
      </c>
      <c r="X147" s="11">
        <v>0.0</v>
      </c>
    </row>
    <row r="148">
      <c r="B148" s="6" t="str">
        <f t="shared" ref="B148:C148" si="294">H148</f>
        <v>Mandalay</v>
      </c>
      <c r="C148" s="12">
        <f t="shared" si="294"/>
        <v>45944</v>
      </c>
      <c r="D148" s="6">
        <f t="shared" ref="D148:F148" si="295">J148+P148+V148</f>
        <v>36358</v>
      </c>
      <c r="E148" s="6">
        <f t="shared" si="295"/>
        <v>18079</v>
      </c>
      <c r="F148" s="6">
        <f t="shared" si="295"/>
        <v>18279</v>
      </c>
      <c r="G148" s="6"/>
      <c r="H148" s="8" t="s">
        <v>32</v>
      </c>
      <c r="I148" s="13">
        <v>45944.0</v>
      </c>
      <c r="J148" s="10">
        <f t="shared" si="5"/>
        <v>36271</v>
      </c>
      <c r="K148" s="11">
        <v>18063.0</v>
      </c>
      <c r="L148" s="11">
        <v>18208.0</v>
      </c>
      <c r="M148" s="5"/>
      <c r="N148" s="8" t="s">
        <v>32</v>
      </c>
      <c r="O148" s="13">
        <v>45944.0</v>
      </c>
      <c r="P148" s="10">
        <f t="shared" si="6"/>
        <v>73</v>
      </c>
      <c r="Q148" s="11">
        <v>15.0</v>
      </c>
      <c r="R148" s="11">
        <v>58.0</v>
      </c>
      <c r="T148" s="8" t="s">
        <v>32</v>
      </c>
      <c r="U148" s="13">
        <v>45944.0</v>
      </c>
      <c r="V148" s="10">
        <f t="shared" si="7"/>
        <v>14</v>
      </c>
      <c r="W148" s="11">
        <v>1.0</v>
      </c>
      <c r="X148" s="11">
        <v>13.0</v>
      </c>
    </row>
    <row r="149">
      <c r="B149" s="6" t="str">
        <f t="shared" ref="B149:C149" si="296">H149</f>
        <v>Mandalay</v>
      </c>
      <c r="C149" s="7" t="str">
        <f t="shared" si="296"/>
        <v>15-19</v>
      </c>
      <c r="D149" s="6">
        <f t="shared" ref="D149:F149" si="297">J149+P149+V149</f>
        <v>34692</v>
      </c>
      <c r="E149" s="6">
        <f t="shared" si="297"/>
        <v>16728</v>
      </c>
      <c r="F149" s="6">
        <f t="shared" si="297"/>
        <v>17964</v>
      </c>
      <c r="G149" s="6"/>
      <c r="H149" s="8" t="s">
        <v>32</v>
      </c>
      <c r="I149" s="9" t="s">
        <v>11</v>
      </c>
      <c r="J149" s="10">
        <f t="shared" si="5"/>
        <v>29011</v>
      </c>
      <c r="K149" s="11">
        <v>15663.0</v>
      </c>
      <c r="L149" s="11">
        <v>13348.0</v>
      </c>
      <c r="M149" s="5"/>
      <c r="N149" s="8" t="s">
        <v>32</v>
      </c>
      <c r="O149" s="9" t="s">
        <v>11</v>
      </c>
      <c r="P149" s="10">
        <f t="shared" si="6"/>
        <v>5014</v>
      </c>
      <c r="Q149" s="11">
        <v>953.0</v>
      </c>
      <c r="R149" s="11">
        <v>4061.0</v>
      </c>
      <c r="T149" s="8" t="s">
        <v>32</v>
      </c>
      <c r="U149" s="9" t="s">
        <v>11</v>
      </c>
      <c r="V149" s="10">
        <f t="shared" si="7"/>
        <v>667</v>
      </c>
      <c r="W149" s="11">
        <v>112.0</v>
      </c>
      <c r="X149" s="11">
        <v>555.0</v>
      </c>
    </row>
    <row r="150">
      <c r="B150" s="6" t="str">
        <f t="shared" ref="B150:C150" si="298">H150</f>
        <v>Mandalay</v>
      </c>
      <c r="C150" s="7" t="str">
        <f t="shared" si="298"/>
        <v>20-24</v>
      </c>
      <c r="D150" s="6">
        <f t="shared" ref="D150:F150" si="299">J150+P150+V150</f>
        <v>34988</v>
      </c>
      <c r="E150" s="6">
        <f t="shared" si="299"/>
        <v>18331</v>
      </c>
      <c r="F150" s="6">
        <f t="shared" si="299"/>
        <v>16657</v>
      </c>
      <c r="G150" s="6"/>
      <c r="H150" s="8" t="s">
        <v>32</v>
      </c>
      <c r="I150" s="9" t="s">
        <v>12</v>
      </c>
      <c r="J150" s="10">
        <f t="shared" si="5"/>
        <v>15060</v>
      </c>
      <c r="K150" s="11">
        <v>10652.0</v>
      </c>
      <c r="L150" s="11">
        <v>4408.0</v>
      </c>
      <c r="M150" s="5"/>
      <c r="N150" s="8" t="s">
        <v>32</v>
      </c>
      <c r="O150" s="9" t="s">
        <v>12</v>
      </c>
      <c r="P150" s="10">
        <f t="shared" si="6"/>
        <v>17779</v>
      </c>
      <c r="Q150" s="11">
        <v>7069.0</v>
      </c>
      <c r="R150" s="11">
        <v>10710.0</v>
      </c>
      <c r="T150" s="8" t="s">
        <v>32</v>
      </c>
      <c r="U150" s="9" t="s">
        <v>12</v>
      </c>
      <c r="V150" s="10">
        <f t="shared" si="7"/>
        <v>2149</v>
      </c>
      <c r="W150" s="11">
        <v>610.0</v>
      </c>
      <c r="X150" s="11">
        <v>1539.0</v>
      </c>
    </row>
    <row r="151">
      <c r="B151" s="6" t="str">
        <f t="shared" ref="B151:C151" si="300">H151</f>
        <v>Mandalay</v>
      </c>
      <c r="C151" s="7" t="str">
        <f t="shared" si="300"/>
        <v>25-29</v>
      </c>
      <c r="D151" s="6">
        <f t="shared" ref="D151:F151" si="301">J151+P151+V151</f>
        <v>32825</v>
      </c>
      <c r="E151" s="6">
        <f t="shared" si="301"/>
        <v>17356</v>
      </c>
      <c r="F151" s="6">
        <f t="shared" si="301"/>
        <v>15469</v>
      </c>
      <c r="G151" s="6"/>
      <c r="H151" s="8" t="s">
        <v>32</v>
      </c>
      <c r="I151" s="9" t="s">
        <v>13</v>
      </c>
      <c r="J151" s="10">
        <f t="shared" si="5"/>
        <v>7244</v>
      </c>
      <c r="K151" s="11">
        <v>5466.0</v>
      </c>
      <c r="L151" s="11">
        <v>1778.0</v>
      </c>
      <c r="M151" s="5"/>
      <c r="N151" s="8" t="s">
        <v>32</v>
      </c>
      <c r="O151" s="9" t="s">
        <v>13</v>
      </c>
      <c r="P151" s="10">
        <f t="shared" si="6"/>
        <v>22790</v>
      </c>
      <c r="Q151" s="11">
        <v>10921.0</v>
      </c>
      <c r="R151" s="11">
        <v>11869.0</v>
      </c>
      <c r="T151" s="1" t="s">
        <v>32</v>
      </c>
      <c r="U151" s="1" t="s">
        <v>13</v>
      </c>
      <c r="V151" s="10">
        <f t="shared" si="7"/>
        <v>2791</v>
      </c>
      <c r="W151" s="1">
        <v>969.0</v>
      </c>
      <c r="X151" s="1">
        <v>1822.0</v>
      </c>
    </row>
    <row r="152">
      <c r="B152" s="6" t="str">
        <f t="shared" ref="B152:C152" si="302">H152</f>
        <v>Mandalay</v>
      </c>
      <c r="C152" s="7" t="str">
        <f t="shared" si="302"/>
        <v>30-34</v>
      </c>
      <c r="D152" s="6">
        <f t="shared" ref="D152:F152" si="303">J152+P152+V152</f>
        <v>29287</v>
      </c>
      <c r="E152" s="6">
        <f t="shared" si="303"/>
        <v>15092</v>
      </c>
      <c r="F152" s="6">
        <f t="shared" si="303"/>
        <v>14195</v>
      </c>
      <c r="G152" s="6"/>
      <c r="H152" s="8" t="s">
        <v>32</v>
      </c>
      <c r="I152" s="8" t="s">
        <v>14</v>
      </c>
      <c r="J152" s="10">
        <f t="shared" si="5"/>
        <v>3049</v>
      </c>
      <c r="K152" s="11">
        <v>2170.0</v>
      </c>
      <c r="L152" s="11">
        <v>879.0</v>
      </c>
      <c r="M152" s="5"/>
      <c r="N152" s="8" t="s">
        <v>32</v>
      </c>
      <c r="O152" s="8" t="s">
        <v>14</v>
      </c>
      <c r="P152" s="10">
        <f t="shared" si="6"/>
        <v>22906</v>
      </c>
      <c r="Q152" s="11">
        <v>11800.0</v>
      </c>
      <c r="R152" s="11">
        <v>11106.0</v>
      </c>
      <c r="T152" s="1" t="s">
        <v>32</v>
      </c>
      <c r="U152" s="1" t="s">
        <v>14</v>
      </c>
      <c r="V152" s="10">
        <f t="shared" si="7"/>
        <v>3332</v>
      </c>
      <c r="W152" s="1">
        <v>1122.0</v>
      </c>
      <c r="X152" s="1">
        <v>2210.0</v>
      </c>
    </row>
    <row r="153">
      <c r="B153" s="6" t="str">
        <f t="shared" ref="B153:C153" si="304">H153</f>
        <v>Mandalay</v>
      </c>
      <c r="C153" s="7" t="str">
        <f t="shared" si="304"/>
        <v>35-39</v>
      </c>
      <c r="D153" s="6">
        <f t="shared" ref="D153:F153" si="305">J153+P153+V153</f>
        <v>28126</v>
      </c>
      <c r="E153" s="6">
        <f t="shared" si="305"/>
        <v>14492</v>
      </c>
      <c r="F153" s="6">
        <f t="shared" si="305"/>
        <v>13634</v>
      </c>
      <c r="G153" s="6"/>
      <c r="H153" s="8" t="s">
        <v>32</v>
      </c>
      <c r="I153" s="8" t="s">
        <v>15</v>
      </c>
      <c r="J153" s="10">
        <f t="shared" si="5"/>
        <v>1809</v>
      </c>
      <c r="K153" s="11">
        <v>1241.0</v>
      </c>
      <c r="L153" s="11">
        <v>568.0</v>
      </c>
      <c r="M153" s="5"/>
      <c r="N153" s="8" t="s">
        <v>32</v>
      </c>
      <c r="O153" s="8" t="s">
        <v>15</v>
      </c>
      <c r="P153" s="10">
        <f t="shared" si="6"/>
        <v>22611</v>
      </c>
      <c r="Q153" s="11">
        <v>12095.0</v>
      </c>
      <c r="R153" s="11">
        <v>10516.0</v>
      </c>
      <c r="T153" s="1" t="s">
        <v>32</v>
      </c>
      <c r="U153" s="1" t="s">
        <v>15</v>
      </c>
      <c r="V153" s="10">
        <f t="shared" si="7"/>
        <v>3706</v>
      </c>
      <c r="W153" s="1">
        <v>1156.0</v>
      </c>
      <c r="X153" s="1">
        <v>2550.0</v>
      </c>
    </row>
    <row r="154">
      <c r="B154" s="6" t="str">
        <f t="shared" ref="B154:C154" si="306">H154</f>
        <v>Mandalay</v>
      </c>
      <c r="C154" s="7" t="str">
        <f t="shared" si="306"/>
        <v>40-44</v>
      </c>
      <c r="D154" s="6">
        <f t="shared" ref="D154:F154" si="307">J154+P154+V154</f>
        <v>23374</v>
      </c>
      <c r="E154" s="6">
        <f t="shared" si="307"/>
        <v>11464</v>
      </c>
      <c r="F154" s="6">
        <f t="shared" si="307"/>
        <v>11910</v>
      </c>
      <c r="G154" s="6"/>
      <c r="H154" s="8" t="s">
        <v>32</v>
      </c>
      <c r="I154" s="8" t="s">
        <v>16</v>
      </c>
      <c r="J154" s="10">
        <f t="shared" si="5"/>
        <v>1221</v>
      </c>
      <c r="K154" s="11">
        <v>766.0</v>
      </c>
      <c r="L154" s="11">
        <v>455.0</v>
      </c>
      <c r="M154" s="5"/>
      <c r="N154" s="8" t="s">
        <v>32</v>
      </c>
      <c r="O154" s="8" t="s">
        <v>16</v>
      </c>
      <c r="P154" s="10">
        <f t="shared" si="6"/>
        <v>17796</v>
      </c>
      <c r="Q154" s="11">
        <v>9547.0</v>
      </c>
      <c r="R154" s="11">
        <v>8249.0</v>
      </c>
      <c r="T154" s="1" t="s">
        <v>32</v>
      </c>
      <c r="U154" s="1" t="s">
        <v>16</v>
      </c>
      <c r="V154" s="10">
        <f t="shared" si="7"/>
        <v>4357</v>
      </c>
      <c r="W154" s="1">
        <v>1151.0</v>
      </c>
      <c r="X154" s="1">
        <v>3206.0</v>
      </c>
    </row>
    <row r="155">
      <c r="B155" s="6" t="str">
        <f t="shared" ref="B155:C155" si="308">H155</f>
        <v>Mandalay</v>
      </c>
      <c r="C155" s="7" t="str">
        <f t="shared" si="308"/>
        <v>45-49</v>
      </c>
      <c r="D155" s="6">
        <f t="shared" ref="D155:F155" si="309">J155+P155+V155</f>
        <v>16416</v>
      </c>
      <c r="E155" s="6">
        <f t="shared" si="309"/>
        <v>8077</v>
      </c>
      <c r="F155" s="6">
        <f t="shared" si="309"/>
        <v>8339</v>
      </c>
      <c r="G155" s="6"/>
      <c r="H155" s="8" t="s">
        <v>32</v>
      </c>
      <c r="I155" s="8" t="s">
        <v>17</v>
      </c>
      <c r="J155" s="10">
        <f t="shared" si="5"/>
        <v>791</v>
      </c>
      <c r="K155" s="11">
        <v>495.0</v>
      </c>
      <c r="L155" s="11">
        <v>296.0</v>
      </c>
      <c r="M155" s="5"/>
      <c r="N155" s="8" t="s">
        <v>32</v>
      </c>
      <c r="O155" s="8" t="s">
        <v>17</v>
      </c>
      <c r="P155" s="10">
        <f t="shared" si="6"/>
        <v>11839</v>
      </c>
      <c r="Q155" s="11">
        <v>6598.0</v>
      </c>
      <c r="R155" s="11">
        <v>5241.0</v>
      </c>
      <c r="T155" s="1" t="s">
        <v>32</v>
      </c>
      <c r="U155" s="1" t="s">
        <v>17</v>
      </c>
      <c r="V155" s="10">
        <f t="shared" si="7"/>
        <v>3786</v>
      </c>
      <c r="W155" s="1">
        <v>984.0</v>
      </c>
      <c r="X155" s="1">
        <v>2802.0</v>
      </c>
    </row>
    <row r="156">
      <c r="B156" s="6" t="str">
        <f t="shared" ref="B156:C156" si="310">H156</f>
        <v>Mandalay</v>
      </c>
      <c r="C156" s="7" t="str">
        <f t="shared" si="310"/>
        <v>50-54</v>
      </c>
      <c r="D156" s="6">
        <f t="shared" ref="D156:F156" si="311">J156+P156+V156</f>
        <v>15800</v>
      </c>
      <c r="E156" s="6">
        <f t="shared" si="311"/>
        <v>7176</v>
      </c>
      <c r="F156" s="6">
        <f t="shared" si="311"/>
        <v>8624</v>
      </c>
      <c r="G156" s="6"/>
      <c r="H156" s="8" t="s">
        <v>32</v>
      </c>
      <c r="I156" s="8" t="s">
        <v>18</v>
      </c>
      <c r="J156" s="10">
        <f t="shared" si="5"/>
        <v>630</v>
      </c>
      <c r="K156" s="11">
        <v>375.0</v>
      </c>
      <c r="L156" s="11">
        <v>255.0</v>
      </c>
      <c r="M156" s="5"/>
      <c r="N156" s="8" t="s">
        <v>32</v>
      </c>
      <c r="O156" s="8" t="s">
        <v>18</v>
      </c>
      <c r="P156" s="10">
        <f t="shared" si="6"/>
        <v>9911</v>
      </c>
      <c r="Q156" s="11">
        <v>5645.0</v>
      </c>
      <c r="R156" s="11">
        <v>4266.0</v>
      </c>
      <c r="T156" s="1" t="s">
        <v>32</v>
      </c>
      <c r="U156" s="1" t="s">
        <v>18</v>
      </c>
      <c r="V156" s="10">
        <f t="shared" si="7"/>
        <v>5259</v>
      </c>
      <c r="W156" s="1">
        <v>1156.0</v>
      </c>
      <c r="X156" s="1">
        <v>4103.0</v>
      </c>
    </row>
    <row r="157">
      <c r="B157" s="6" t="str">
        <f t="shared" ref="B157:C157" si="312">H157</f>
        <v>Mandalay</v>
      </c>
      <c r="C157" s="7" t="str">
        <f t="shared" si="312"/>
        <v>55-59</v>
      </c>
      <c r="D157" s="6">
        <f t="shared" ref="D157:F157" si="313">J157+P157+V157</f>
        <v>9954</v>
      </c>
      <c r="E157" s="6">
        <f t="shared" si="313"/>
        <v>4501</v>
      </c>
      <c r="F157" s="6">
        <f t="shared" si="313"/>
        <v>5453</v>
      </c>
      <c r="G157" s="6"/>
      <c r="H157" s="8" t="s">
        <v>32</v>
      </c>
      <c r="I157" s="8" t="s">
        <v>19</v>
      </c>
      <c r="J157" s="10">
        <f t="shared" si="5"/>
        <v>369</v>
      </c>
      <c r="K157" s="11">
        <v>236.0</v>
      </c>
      <c r="L157" s="11">
        <v>133.0</v>
      </c>
      <c r="M157" s="5"/>
      <c r="N157" s="8" t="s">
        <v>32</v>
      </c>
      <c r="O157" s="8" t="s">
        <v>19</v>
      </c>
      <c r="P157" s="10">
        <f t="shared" si="6"/>
        <v>5801</v>
      </c>
      <c r="Q157" s="11">
        <v>3358.0</v>
      </c>
      <c r="R157" s="11">
        <v>2443.0</v>
      </c>
      <c r="T157" s="1" t="s">
        <v>32</v>
      </c>
      <c r="U157" s="1" t="s">
        <v>19</v>
      </c>
      <c r="V157" s="10">
        <f t="shared" si="7"/>
        <v>3784</v>
      </c>
      <c r="W157" s="1">
        <v>907.0</v>
      </c>
      <c r="X157" s="1">
        <v>2877.0</v>
      </c>
    </row>
    <row r="158">
      <c r="B158" s="6" t="str">
        <f t="shared" ref="B158:C158" si="314">H158</f>
        <v>Mandalay</v>
      </c>
      <c r="C158" s="7" t="str">
        <f t="shared" si="314"/>
        <v>60+</v>
      </c>
      <c r="D158" s="6">
        <f t="shared" ref="D158:F158" si="315">J158+P158+V158</f>
        <v>31539</v>
      </c>
      <c r="E158" s="6">
        <f t="shared" si="315"/>
        <v>13070</v>
      </c>
      <c r="F158" s="6">
        <f t="shared" si="315"/>
        <v>18469</v>
      </c>
      <c r="G158" s="6"/>
      <c r="H158" s="8" t="s">
        <v>32</v>
      </c>
      <c r="I158" s="8" t="s">
        <v>20</v>
      </c>
      <c r="J158" s="10">
        <f t="shared" si="5"/>
        <v>997</v>
      </c>
      <c r="K158" s="11">
        <v>607.0</v>
      </c>
      <c r="L158" s="11">
        <v>390.0</v>
      </c>
      <c r="M158" s="5"/>
      <c r="N158" s="8" t="s">
        <v>32</v>
      </c>
      <c r="O158" s="8" t="s">
        <v>21</v>
      </c>
      <c r="P158" s="10">
        <f t="shared" si="6"/>
        <v>12068</v>
      </c>
      <c r="Q158" s="11">
        <v>8040.0</v>
      </c>
      <c r="R158" s="11">
        <v>4028.0</v>
      </c>
      <c r="T158" s="1" t="s">
        <v>32</v>
      </c>
      <c r="U158" s="1" t="s">
        <v>21</v>
      </c>
      <c r="V158" s="10">
        <f t="shared" si="7"/>
        <v>18474</v>
      </c>
      <c r="W158" s="1">
        <v>4423.0</v>
      </c>
      <c r="X158" s="1">
        <v>14051.0</v>
      </c>
    </row>
    <row r="159">
      <c r="B159" s="6" t="str">
        <f t="shared" ref="B159:C159" si="316">H159</f>
        <v>Meiktila</v>
      </c>
      <c r="C159" s="7" t="str">
        <f t="shared" si="316"/>
        <v>0-4</v>
      </c>
      <c r="D159" s="6">
        <f t="shared" ref="D159:F159" si="317">J159+P159+V159</f>
        <v>28266</v>
      </c>
      <c r="E159" s="6">
        <f t="shared" si="317"/>
        <v>13808</v>
      </c>
      <c r="F159" s="6">
        <f t="shared" si="317"/>
        <v>14458</v>
      </c>
      <c r="G159" s="6"/>
      <c r="H159" s="8" t="s">
        <v>33</v>
      </c>
      <c r="I159" s="9" t="s">
        <v>10</v>
      </c>
      <c r="J159" s="10">
        <f t="shared" si="5"/>
        <v>28266</v>
      </c>
      <c r="K159" s="11">
        <v>13808.0</v>
      </c>
      <c r="L159" s="11">
        <v>14458.0</v>
      </c>
      <c r="M159" s="5"/>
      <c r="N159" s="8" t="s">
        <v>33</v>
      </c>
      <c r="O159" s="9" t="s">
        <v>10</v>
      </c>
      <c r="P159" s="10">
        <f t="shared" si="6"/>
        <v>0</v>
      </c>
      <c r="Q159" s="11">
        <v>0.0</v>
      </c>
      <c r="R159" s="11">
        <v>0.0</v>
      </c>
      <c r="T159" s="8" t="s">
        <v>33</v>
      </c>
      <c r="U159" s="9" t="s">
        <v>10</v>
      </c>
      <c r="V159" s="10">
        <f t="shared" si="7"/>
        <v>0</v>
      </c>
      <c r="W159" s="11">
        <v>0.0</v>
      </c>
      <c r="X159" s="11">
        <v>0.0</v>
      </c>
    </row>
    <row r="160">
      <c r="B160" s="6" t="str">
        <f t="shared" ref="B160:C160" si="318">H160</f>
        <v>Meiktila</v>
      </c>
      <c r="C160" s="12">
        <f t="shared" si="318"/>
        <v>45786</v>
      </c>
      <c r="D160" s="6">
        <f t="shared" ref="D160:F160" si="319">J160+P160+V160</f>
        <v>27521</v>
      </c>
      <c r="E160" s="6">
        <f t="shared" si="319"/>
        <v>13621</v>
      </c>
      <c r="F160" s="6">
        <f t="shared" si="319"/>
        <v>13900</v>
      </c>
      <c r="G160" s="6"/>
      <c r="H160" s="8" t="s">
        <v>33</v>
      </c>
      <c r="I160" s="13">
        <v>45786.0</v>
      </c>
      <c r="J160" s="10">
        <f t="shared" si="5"/>
        <v>27521</v>
      </c>
      <c r="K160" s="11">
        <v>13621.0</v>
      </c>
      <c r="L160" s="11">
        <v>13900.0</v>
      </c>
      <c r="M160" s="5"/>
      <c r="N160" s="8" t="s">
        <v>33</v>
      </c>
      <c r="O160" s="13">
        <v>45786.0</v>
      </c>
      <c r="P160" s="10">
        <f t="shared" si="6"/>
        <v>0</v>
      </c>
      <c r="Q160" s="11">
        <v>0.0</v>
      </c>
      <c r="R160" s="11">
        <v>0.0</v>
      </c>
      <c r="T160" s="8" t="s">
        <v>33</v>
      </c>
      <c r="U160" s="13">
        <v>45786.0</v>
      </c>
      <c r="V160" s="10">
        <f t="shared" si="7"/>
        <v>0</v>
      </c>
      <c r="W160" s="11">
        <v>0.0</v>
      </c>
      <c r="X160" s="11">
        <v>0.0</v>
      </c>
    </row>
    <row r="161">
      <c r="B161" s="6" t="str">
        <f t="shared" ref="B161:C161" si="320">H161</f>
        <v>Meiktila</v>
      </c>
      <c r="C161" s="12">
        <f t="shared" si="320"/>
        <v>45944</v>
      </c>
      <c r="D161" s="6">
        <f t="shared" ref="D161:F161" si="321">J161+P161+V161</f>
        <v>27002</v>
      </c>
      <c r="E161" s="6">
        <f t="shared" si="321"/>
        <v>13386</v>
      </c>
      <c r="F161" s="6">
        <f t="shared" si="321"/>
        <v>13616</v>
      </c>
      <c r="G161" s="6"/>
      <c r="H161" s="8" t="s">
        <v>33</v>
      </c>
      <c r="I161" s="13">
        <v>45944.0</v>
      </c>
      <c r="J161" s="10">
        <f t="shared" si="5"/>
        <v>26981</v>
      </c>
      <c r="K161" s="11">
        <v>13381.0</v>
      </c>
      <c r="L161" s="11">
        <v>13600.0</v>
      </c>
      <c r="M161" s="5"/>
      <c r="N161" s="8" t="s">
        <v>33</v>
      </c>
      <c r="O161" s="13">
        <v>45944.0</v>
      </c>
      <c r="P161" s="10">
        <f t="shared" si="6"/>
        <v>21</v>
      </c>
      <c r="Q161" s="11">
        <v>5.0</v>
      </c>
      <c r="R161" s="11">
        <v>16.0</v>
      </c>
      <c r="T161" s="8" t="s">
        <v>33</v>
      </c>
      <c r="U161" s="13">
        <v>45944.0</v>
      </c>
      <c r="V161" s="10">
        <f t="shared" si="7"/>
        <v>0</v>
      </c>
      <c r="W161" s="11">
        <v>0.0</v>
      </c>
      <c r="X161" s="1">
        <v>0.0</v>
      </c>
    </row>
    <row r="162">
      <c r="B162" s="6" t="str">
        <f t="shared" ref="B162:C162" si="322">H162</f>
        <v>Meiktila</v>
      </c>
      <c r="C162" s="7" t="str">
        <f t="shared" si="322"/>
        <v>15-19</v>
      </c>
      <c r="D162" s="6">
        <f t="shared" ref="D162:F162" si="323">J162+P162+V162</f>
        <v>18206</v>
      </c>
      <c r="E162" s="6">
        <f t="shared" si="323"/>
        <v>7446</v>
      </c>
      <c r="F162" s="6">
        <f t="shared" si="323"/>
        <v>10760</v>
      </c>
      <c r="G162" s="6"/>
      <c r="H162" s="8" t="s">
        <v>33</v>
      </c>
      <c r="I162" s="9" t="s">
        <v>11</v>
      </c>
      <c r="J162" s="10">
        <f t="shared" si="5"/>
        <v>16102</v>
      </c>
      <c r="K162" s="11">
        <v>7042.0</v>
      </c>
      <c r="L162" s="11">
        <v>9060.0</v>
      </c>
      <c r="M162" s="5"/>
      <c r="N162" s="8" t="s">
        <v>33</v>
      </c>
      <c r="O162" s="9" t="s">
        <v>11</v>
      </c>
      <c r="P162" s="10">
        <f t="shared" si="6"/>
        <v>1913</v>
      </c>
      <c r="Q162" s="11">
        <v>379.0</v>
      </c>
      <c r="R162" s="11">
        <v>1534.0</v>
      </c>
      <c r="T162" s="8" t="s">
        <v>33</v>
      </c>
      <c r="U162" s="9" t="s">
        <v>11</v>
      </c>
      <c r="V162" s="10">
        <f t="shared" si="7"/>
        <v>191</v>
      </c>
      <c r="W162" s="11">
        <v>25.0</v>
      </c>
      <c r="X162" s="11">
        <v>166.0</v>
      </c>
    </row>
    <row r="163">
      <c r="B163" s="6" t="str">
        <f t="shared" ref="B163:C163" si="324">H163</f>
        <v>Meiktila</v>
      </c>
      <c r="C163" s="7" t="str">
        <f t="shared" si="324"/>
        <v>20-24</v>
      </c>
      <c r="D163" s="6">
        <f t="shared" ref="D163:F163" si="325">J163+P163+V163</f>
        <v>16909</v>
      </c>
      <c r="E163" s="6">
        <f t="shared" si="325"/>
        <v>7682</v>
      </c>
      <c r="F163" s="6">
        <f t="shared" si="325"/>
        <v>9227</v>
      </c>
      <c r="G163" s="6"/>
      <c r="H163" s="8" t="s">
        <v>33</v>
      </c>
      <c r="I163" s="9" t="s">
        <v>12</v>
      </c>
      <c r="J163" s="10">
        <f t="shared" si="5"/>
        <v>8740</v>
      </c>
      <c r="K163" s="11">
        <v>4808.0</v>
      </c>
      <c r="L163" s="11">
        <v>3932.0</v>
      </c>
      <c r="M163" s="5"/>
      <c r="N163" s="8" t="s">
        <v>33</v>
      </c>
      <c r="O163" s="9" t="s">
        <v>12</v>
      </c>
      <c r="P163" s="10">
        <f t="shared" si="6"/>
        <v>7476</v>
      </c>
      <c r="Q163" s="11">
        <v>2737.0</v>
      </c>
      <c r="R163" s="11">
        <v>4739.0</v>
      </c>
      <c r="T163" s="8" t="s">
        <v>33</v>
      </c>
      <c r="U163" s="9" t="s">
        <v>12</v>
      </c>
      <c r="V163" s="10">
        <f t="shared" si="7"/>
        <v>693</v>
      </c>
      <c r="W163" s="11">
        <v>137.0</v>
      </c>
      <c r="X163" s="11">
        <v>556.0</v>
      </c>
    </row>
    <row r="164">
      <c r="B164" s="6" t="str">
        <f t="shared" ref="B164:C164" si="326">H164</f>
        <v>Meiktila</v>
      </c>
      <c r="C164" s="7" t="str">
        <f t="shared" si="326"/>
        <v>25-29</v>
      </c>
      <c r="D164" s="6">
        <f t="shared" ref="D164:F164" si="327">J164+P164+V164</f>
        <v>15576</v>
      </c>
      <c r="E164" s="6">
        <f t="shared" si="327"/>
        <v>7040</v>
      </c>
      <c r="F164" s="6">
        <f t="shared" si="327"/>
        <v>8536</v>
      </c>
      <c r="G164" s="6"/>
      <c r="H164" s="8" t="s">
        <v>33</v>
      </c>
      <c r="I164" s="9" t="s">
        <v>13</v>
      </c>
      <c r="J164" s="10">
        <f t="shared" si="5"/>
        <v>4091</v>
      </c>
      <c r="K164" s="11">
        <v>2300.0</v>
      </c>
      <c r="L164" s="11">
        <v>1791.0</v>
      </c>
      <c r="M164" s="5"/>
      <c r="N164" s="8" t="s">
        <v>33</v>
      </c>
      <c r="O164" s="9" t="s">
        <v>13</v>
      </c>
      <c r="P164" s="10">
        <f t="shared" si="6"/>
        <v>10414</v>
      </c>
      <c r="Q164" s="11">
        <v>4503.0</v>
      </c>
      <c r="R164" s="11">
        <v>5911.0</v>
      </c>
      <c r="T164" s="1" t="s">
        <v>33</v>
      </c>
      <c r="U164" s="1" t="s">
        <v>13</v>
      </c>
      <c r="V164" s="10">
        <f t="shared" si="7"/>
        <v>1071</v>
      </c>
      <c r="W164" s="1">
        <v>237.0</v>
      </c>
      <c r="X164" s="1">
        <v>834.0</v>
      </c>
    </row>
    <row r="165">
      <c r="B165" s="6" t="str">
        <f t="shared" ref="B165:C165" si="328">H165</f>
        <v>Meiktila</v>
      </c>
      <c r="C165" s="7" t="str">
        <f t="shared" si="328"/>
        <v>30-34</v>
      </c>
      <c r="D165" s="6">
        <f t="shared" ref="D165:F165" si="329">J165+P165+V165</f>
        <v>14251</v>
      </c>
      <c r="E165" s="6">
        <f t="shared" si="329"/>
        <v>6454</v>
      </c>
      <c r="F165" s="6">
        <f t="shared" si="329"/>
        <v>7797</v>
      </c>
      <c r="G165" s="6"/>
      <c r="H165" s="8" t="s">
        <v>33</v>
      </c>
      <c r="I165" s="8" t="s">
        <v>14</v>
      </c>
      <c r="J165" s="10">
        <f t="shared" si="5"/>
        <v>1986</v>
      </c>
      <c r="K165" s="11">
        <v>1031.0</v>
      </c>
      <c r="L165" s="11">
        <v>955.0</v>
      </c>
      <c r="M165" s="5"/>
      <c r="N165" s="8" t="s">
        <v>33</v>
      </c>
      <c r="O165" s="8" t="s">
        <v>14</v>
      </c>
      <c r="P165" s="10">
        <f t="shared" si="6"/>
        <v>10924</v>
      </c>
      <c r="Q165" s="11">
        <v>5118.0</v>
      </c>
      <c r="R165" s="11">
        <v>5806.0</v>
      </c>
      <c r="T165" s="1" t="s">
        <v>33</v>
      </c>
      <c r="U165" s="1" t="s">
        <v>14</v>
      </c>
      <c r="V165" s="10">
        <f t="shared" si="7"/>
        <v>1341</v>
      </c>
      <c r="W165" s="1">
        <v>305.0</v>
      </c>
      <c r="X165" s="1">
        <v>1036.0</v>
      </c>
    </row>
    <row r="166">
      <c r="B166" s="6" t="str">
        <f t="shared" ref="B166:C166" si="330">H166</f>
        <v>Meiktila</v>
      </c>
      <c r="C166" s="7" t="str">
        <f t="shared" si="330"/>
        <v>35-39</v>
      </c>
      <c r="D166" s="6">
        <f t="shared" ref="D166:F166" si="331">J166+P166+V166</f>
        <v>12911</v>
      </c>
      <c r="E166" s="6">
        <f t="shared" si="331"/>
        <v>6370</v>
      </c>
      <c r="F166" s="6">
        <f t="shared" si="331"/>
        <v>6541</v>
      </c>
      <c r="G166" s="6"/>
      <c r="H166" s="8" t="s">
        <v>33</v>
      </c>
      <c r="I166" s="8" t="s">
        <v>15</v>
      </c>
      <c r="J166" s="10">
        <f t="shared" si="5"/>
        <v>1078</v>
      </c>
      <c r="K166" s="11">
        <v>563.0</v>
      </c>
      <c r="L166" s="11">
        <v>515.0</v>
      </c>
      <c r="M166" s="5"/>
      <c r="N166" s="8" t="s">
        <v>33</v>
      </c>
      <c r="O166" s="8" t="s">
        <v>15</v>
      </c>
      <c r="P166" s="10">
        <f t="shared" si="6"/>
        <v>10372</v>
      </c>
      <c r="Q166" s="11">
        <v>5428.0</v>
      </c>
      <c r="R166" s="11">
        <v>4944.0</v>
      </c>
      <c r="T166" s="1" t="s">
        <v>33</v>
      </c>
      <c r="U166" s="1" t="s">
        <v>15</v>
      </c>
      <c r="V166" s="10">
        <f t="shared" si="7"/>
        <v>1461</v>
      </c>
      <c r="W166" s="1">
        <v>379.0</v>
      </c>
      <c r="X166" s="1">
        <v>1082.0</v>
      </c>
    </row>
    <row r="167">
      <c r="B167" s="6" t="str">
        <f t="shared" ref="B167:C167" si="332">H167</f>
        <v>Meiktila</v>
      </c>
      <c r="C167" s="7" t="str">
        <f t="shared" si="332"/>
        <v>40-44</v>
      </c>
      <c r="D167" s="6">
        <f t="shared" ref="D167:F167" si="333">J167+P167+V167</f>
        <v>10552</v>
      </c>
      <c r="E167" s="6">
        <f t="shared" si="333"/>
        <v>4985</v>
      </c>
      <c r="F167" s="6">
        <f t="shared" si="333"/>
        <v>5567</v>
      </c>
      <c r="G167" s="6"/>
      <c r="H167" s="8" t="s">
        <v>33</v>
      </c>
      <c r="I167" s="8" t="s">
        <v>16</v>
      </c>
      <c r="J167" s="10">
        <f t="shared" si="5"/>
        <v>723</v>
      </c>
      <c r="K167" s="11">
        <v>334.0</v>
      </c>
      <c r="L167" s="11">
        <v>389.0</v>
      </c>
      <c r="M167" s="5"/>
      <c r="N167" s="8" t="s">
        <v>33</v>
      </c>
      <c r="O167" s="8" t="s">
        <v>16</v>
      </c>
      <c r="P167" s="10">
        <f t="shared" si="6"/>
        <v>8255</v>
      </c>
      <c r="Q167" s="11">
        <v>4288.0</v>
      </c>
      <c r="R167" s="11">
        <v>3967.0</v>
      </c>
      <c r="T167" s="1" t="s">
        <v>33</v>
      </c>
      <c r="U167" s="1" t="s">
        <v>16</v>
      </c>
      <c r="V167" s="10">
        <f t="shared" si="7"/>
        <v>1574</v>
      </c>
      <c r="W167" s="1">
        <v>363.0</v>
      </c>
      <c r="X167" s="1">
        <v>1211.0</v>
      </c>
    </row>
    <row r="168">
      <c r="B168" s="6" t="str">
        <f t="shared" ref="B168:C168" si="334">H168</f>
        <v>Meiktila</v>
      </c>
      <c r="C168" s="7" t="str">
        <f t="shared" si="334"/>
        <v>45-49</v>
      </c>
      <c r="D168" s="6">
        <f t="shared" ref="D168:F168" si="335">J168+P168+V168</f>
        <v>7342</v>
      </c>
      <c r="E168" s="6">
        <f t="shared" si="335"/>
        <v>3576</v>
      </c>
      <c r="F168" s="6">
        <f t="shared" si="335"/>
        <v>3766</v>
      </c>
      <c r="G168" s="6"/>
      <c r="H168" s="8" t="s">
        <v>33</v>
      </c>
      <c r="I168" s="8" t="s">
        <v>17</v>
      </c>
      <c r="J168" s="10">
        <f t="shared" si="5"/>
        <v>406</v>
      </c>
      <c r="K168" s="11">
        <v>205.0</v>
      </c>
      <c r="L168" s="11">
        <v>201.0</v>
      </c>
      <c r="M168" s="5"/>
      <c r="N168" s="8" t="s">
        <v>33</v>
      </c>
      <c r="O168" s="8" t="s">
        <v>17</v>
      </c>
      <c r="P168" s="10">
        <f t="shared" si="6"/>
        <v>5586</v>
      </c>
      <c r="Q168" s="11">
        <v>3039.0</v>
      </c>
      <c r="R168" s="11">
        <v>2547.0</v>
      </c>
      <c r="T168" s="1" t="s">
        <v>33</v>
      </c>
      <c r="U168" s="1" t="s">
        <v>17</v>
      </c>
      <c r="V168" s="10">
        <f t="shared" si="7"/>
        <v>1350</v>
      </c>
      <c r="W168" s="1">
        <v>332.0</v>
      </c>
      <c r="X168" s="1">
        <v>1018.0</v>
      </c>
    </row>
    <row r="169">
      <c r="B169" s="6" t="str">
        <f t="shared" ref="B169:C169" si="336">H169</f>
        <v>Meiktila</v>
      </c>
      <c r="C169" s="7" t="str">
        <f t="shared" si="336"/>
        <v>50-54</v>
      </c>
      <c r="D169" s="6">
        <f t="shared" ref="D169:F169" si="337">J169+P169+V169</f>
        <v>7158</v>
      </c>
      <c r="E169" s="6">
        <f t="shared" si="337"/>
        <v>3285</v>
      </c>
      <c r="F169" s="6">
        <f t="shared" si="337"/>
        <v>3873</v>
      </c>
      <c r="G169" s="6"/>
      <c r="H169" s="8" t="s">
        <v>33</v>
      </c>
      <c r="I169" s="8" t="s">
        <v>18</v>
      </c>
      <c r="J169" s="10">
        <f t="shared" si="5"/>
        <v>420</v>
      </c>
      <c r="K169" s="11">
        <v>173.0</v>
      </c>
      <c r="L169" s="11">
        <v>247.0</v>
      </c>
      <c r="M169" s="5"/>
      <c r="N169" s="8" t="s">
        <v>33</v>
      </c>
      <c r="O169" s="8" t="s">
        <v>18</v>
      </c>
      <c r="P169" s="10">
        <f t="shared" si="6"/>
        <v>4915</v>
      </c>
      <c r="Q169" s="11">
        <v>2713.0</v>
      </c>
      <c r="R169" s="11">
        <v>2202.0</v>
      </c>
      <c r="T169" s="1" t="s">
        <v>33</v>
      </c>
      <c r="U169" s="1" t="s">
        <v>18</v>
      </c>
      <c r="V169" s="10">
        <f t="shared" si="7"/>
        <v>1823</v>
      </c>
      <c r="W169" s="1">
        <v>399.0</v>
      </c>
      <c r="X169" s="1">
        <v>1424.0</v>
      </c>
    </row>
    <row r="170">
      <c r="B170" s="6" t="str">
        <f t="shared" ref="B170:C170" si="338">H170</f>
        <v>Meiktila</v>
      </c>
      <c r="C170" s="7" t="str">
        <f t="shared" si="338"/>
        <v>55-59</v>
      </c>
      <c r="D170" s="6">
        <f t="shared" ref="D170:F170" si="339">J170+P170+V170</f>
        <v>4479</v>
      </c>
      <c r="E170" s="6">
        <f t="shared" si="339"/>
        <v>2131</v>
      </c>
      <c r="F170" s="6">
        <f t="shared" si="339"/>
        <v>2348</v>
      </c>
      <c r="G170" s="6"/>
      <c r="H170" s="8" t="s">
        <v>33</v>
      </c>
      <c r="I170" s="8" t="s">
        <v>19</v>
      </c>
      <c r="J170" s="10">
        <f t="shared" si="5"/>
        <v>275</v>
      </c>
      <c r="K170" s="11">
        <v>104.0</v>
      </c>
      <c r="L170" s="11">
        <v>171.0</v>
      </c>
      <c r="M170" s="5"/>
      <c r="N170" s="8" t="s">
        <v>33</v>
      </c>
      <c r="O170" s="8" t="s">
        <v>19</v>
      </c>
      <c r="P170" s="10">
        <f t="shared" si="6"/>
        <v>2899</v>
      </c>
      <c r="Q170" s="11">
        <v>1618.0</v>
      </c>
      <c r="R170" s="11">
        <v>1281.0</v>
      </c>
      <c r="T170" s="1" t="s">
        <v>33</v>
      </c>
      <c r="U170" s="1" t="s">
        <v>19</v>
      </c>
      <c r="V170" s="10">
        <f t="shared" si="7"/>
        <v>1305</v>
      </c>
      <c r="W170" s="1">
        <v>409.0</v>
      </c>
      <c r="X170" s="1">
        <v>896.0</v>
      </c>
    </row>
    <row r="171">
      <c r="B171" s="6" t="str">
        <f t="shared" ref="B171:C171" si="340">H171</f>
        <v>Meiktila</v>
      </c>
      <c r="C171" s="7" t="str">
        <f t="shared" si="340"/>
        <v>60+</v>
      </c>
      <c r="D171" s="6">
        <f t="shared" ref="D171:F171" si="341">J171+P171+V171</f>
        <v>15713</v>
      </c>
      <c r="E171" s="6">
        <f t="shared" si="341"/>
        <v>6415</v>
      </c>
      <c r="F171" s="6">
        <f t="shared" si="341"/>
        <v>9298</v>
      </c>
      <c r="G171" s="6"/>
      <c r="H171" s="8" t="s">
        <v>33</v>
      </c>
      <c r="I171" s="8" t="s">
        <v>20</v>
      </c>
      <c r="J171" s="10">
        <f t="shared" si="5"/>
        <v>800</v>
      </c>
      <c r="K171" s="11">
        <v>334.0</v>
      </c>
      <c r="L171" s="11">
        <v>466.0</v>
      </c>
      <c r="M171" s="5"/>
      <c r="N171" s="8" t="s">
        <v>33</v>
      </c>
      <c r="O171" s="8" t="s">
        <v>21</v>
      </c>
      <c r="P171" s="10">
        <f t="shared" si="6"/>
        <v>7159</v>
      </c>
      <c r="Q171" s="11">
        <v>4279.0</v>
      </c>
      <c r="R171" s="11">
        <v>2880.0</v>
      </c>
      <c r="T171" s="1" t="s">
        <v>33</v>
      </c>
      <c r="U171" s="1" t="s">
        <v>21</v>
      </c>
      <c r="V171" s="10">
        <f t="shared" si="7"/>
        <v>7754</v>
      </c>
      <c r="W171" s="1">
        <v>1802.0</v>
      </c>
      <c r="X171" s="1">
        <v>5952.0</v>
      </c>
    </row>
    <row r="172">
      <c r="B172" s="6" t="str">
        <f t="shared" ref="B172:C172" si="342">H172</f>
        <v>Mergui</v>
      </c>
      <c r="C172" s="7" t="str">
        <f t="shared" si="342"/>
        <v>0-4</v>
      </c>
      <c r="D172" s="6">
        <f t="shared" ref="D172:F172" si="343">J172+P172+V172</f>
        <v>10313</v>
      </c>
      <c r="E172" s="6">
        <f t="shared" si="343"/>
        <v>5174</v>
      </c>
      <c r="F172" s="6">
        <f t="shared" si="343"/>
        <v>5139</v>
      </c>
      <c r="G172" s="6"/>
      <c r="H172" s="8" t="s">
        <v>34</v>
      </c>
      <c r="I172" s="9" t="s">
        <v>10</v>
      </c>
      <c r="J172" s="10">
        <f t="shared" si="5"/>
        <v>10313</v>
      </c>
      <c r="K172" s="11">
        <v>5174.0</v>
      </c>
      <c r="L172" s="11">
        <v>5139.0</v>
      </c>
      <c r="M172" s="5"/>
      <c r="N172" s="8" t="s">
        <v>34</v>
      </c>
      <c r="O172" s="9" t="s">
        <v>10</v>
      </c>
      <c r="P172" s="10">
        <f t="shared" si="6"/>
        <v>0</v>
      </c>
      <c r="Q172" s="11">
        <v>0.0</v>
      </c>
      <c r="R172" s="11">
        <v>0.0</v>
      </c>
      <c r="T172" s="8" t="s">
        <v>34</v>
      </c>
      <c r="U172" s="9" t="s">
        <v>10</v>
      </c>
      <c r="V172" s="10">
        <f t="shared" si="7"/>
        <v>0</v>
      </c>
      <c r="W172" s="11">
        <v>0.0</v>
      </c>
      <c r="X172" s="11">
        <v>0.0</v>
      </c>
    </row>
    <row r="173">
      <c r="B173" s="6" t="str">
        <f t="shared" ref="B173:C173" si="344">H173</f>
        <v>Mergui</v>
      </c>
      <c r="C173" s="12">
        <f t="shared" si="344"/>
        <v>45786</v>
      </c>
      <c r="D173" s="6">
        <f t="shared" ref="D173:F173" si="345">J173+P173+V173</f>
        <v>10266</v>
      </c>
      <c r="E173" s="6">
        <f t="shared" si="345"/>
        <v>5288</v>
      </c>
      <c r="F173" s="6">
        <f t="shared" si="345"/>
        <v>4978</v>
      </c>
      <c r="G173" s="6"/>
      <c r="H173" s="8" t="s">
        <v>34</v>
      </c>
      <c r="I173" s="13">
        <v>45786.0</v>
      </c>
      <c r="J173" s="10">
        <f t="shared" si="5"/>
        <v>10266</v>
      </c>
      <c r="K173" s="11">
        <v>5288.0</v>
      </c>
      <c r="L173" s="11">
        <v>4978.0</v>
      </c>
      <c r="M173" s="5"/>
      <c r="N173" s="8" t="s">
        <v>34</v>
      </c>
      <c r="O173" s="13">
        <v>45786.0</v>
      </c>
      <c r="P173" s="10">
        <f t="shared" si="6"/>
        <v>0</v>
      </c>
      <c r="Q173" s="11">
        <v>0.0</v>
      </c>
      <c r="R173" s="11">
        <v>0.0</v>
      </c>
      <c r="T173" s="8" t="s">
        <v>34</v>
      </c>
      <c r="U173" s="13">
        <v>45786.0</v>
      </c>
      <c r="V173" s="10">
        <f t="shared" si="7"/>
        <v>0</v>
      </c>
      <c r="W173" s="11">
        <v>0.0</v>
      </c>
      <c r="X173" s="11">
        <v>0.0</v>
      </c>
    </row>
    <row r="174">
      <c r="B174" s="6" t="str">
        <f t="shared" ref="B174:C174" si="346">H174</f>
        <v>Mergui</v>
      </c>
      <c r="C174" s="12">
        <f t="shared" si="346"/>
        <v>45944</v>
      </c>
      <c r="D174" s="6">
        <f t="shared" ref="D174:F174" si="347">J174+P174+V174</f>
        <v>8694</v>
      </c>
      <c r="E174" s="6">
        <f t="shared" si="347"/>
        <v>4612</v>
      </c>
      <c r="F174" s="6">
        <f t="shared" si="347"/>
        <v>4082</v>
      </c>
      <c r="G174" s="6"/>
      <c r="H174" s="8" t="s">
        <v>34</v>
      </c>
      <c r="I174" s="13">
        <v>45944.0</v>
      </c>
      <c r="J174" s="10">
        <f t="shared" si="5"/>
        <v>8680</v>
      </c>
      <c r="K174" s="11">
        <v>4610.0</v>
      </c>
      <c r="L174" s="11">
        <v>4070.0</v>
      </c>
      <c r="M174" s="5"/>
      <c r="N174" s="8" t="s">
        <v>34</v>
      </c>
      <c r="O174" s="13">
        <v>45944.0</v>
      </c>
      <c r="P174" s="10">
        <f t="shared" si="6"/>
        <v>12</v>
      </c>
      <c r="Q174" s="11">
        <v>2.0</v>
      </c>
      <c r="R174" s="11">
        <v>10.0</v>
      </c>
      <c r="T174" s="8" t="s">
        <v>34</v>
      </c>
      <c r="U174" s="13">
        <v>45944.0</v>
      </c>
      <c r="V174" s="10">
        <f t="shared" si="7"/>
        <v>2</v>
      </c>
      <c r="W174" s="11">
        <v>0.0</v>
      </c>
      <c r="X174" s="11">
        <v>2.0</v>
      </c>
    </row>
    <row r="175">
      <c r="B175" s="6" t="str">
        <f t="shared" ref="B175:C175" si="348">H175</f>
        <v>Mergui</v>
      </c>
      <c r="C175" s="7" t="str">
        <f t="shared" si="348"/>
        <v>15-19</v>
      </c>
      <c r="D175" s="6">
        <f t="shared" ref="D175:F175" si="349">J175+P175+V175</f>
        <v>6867</v>
      </c>
      <c r="E175" s="6">
        <f t="shared" si="349"/>
        <v>3338</v>
      </c>
      <c r="F175" s="6">
        <f t="shared" si="349"/>
        <v>3529</v>
      </c>
      <c r="G175" s="6"/>
      <c r="H175" s="8" t="s">
        <v>34</v>
      </c>
      <c r="I175" s="9" t="s">
        <v>11</v>
      </c>
      <c r="J175" s="10">
        <f t="shared" si="5"/>
        <v>5962</v>
      </c>
      <c r="K175" s="11">
        <v>3159.0</v>
      </c>
      <c r="L175" s="11">
        <v>2803.0</v>
      </c>
      <c r="M175" s="5"/>
      <c r="N175" s="8" t="s">
        <v>34</v>
      </c>
      <c r="O175" s="9" t="s">
        <v>11</v>
      </c>
      <c r="P175" s="10">
        <f t="shared" si="6"/>
        <v>859</v>
      </c>
      <c r="Q175" s="11">
        <v>177.0</v>
      </c>
      <c r="R175" s="11">
        <v>682.0</v>
      </c>
      <c r="T175" s="8" t="s">
        <v>34</v>
      </c>
      <c r="U175" s="8" t="s">
        <v>11</v>
      </c>
      <c r="V175" s="10">
        <f t="shared" si="7"/>
        <v>46</v>
      </c>
      <c r="W175" s="11">
        <v>2.0</v>
      </c>
      <c r="X175" s="11">
        <v>44.0</v>
      </c>
    </row>
    <row r="176">
      <c r="B176" s="6" t="str">
        <f t="shared" ref="B176:C176" si="350">H176</f>
        <v>Mergui</v>
      </c>
      <c r="C176" s="7" t="str">
        <f t="shared" si="350"/>
        <v>20-24</v>
      </c>
      <c r="D176" s="6">
        <f t="shared" ref="D176:F176" si="351">J176+P176+V176</f>
        <v>6913</v>
      </c>
      <c r="E176" s="6">
        <f t="shared" si="351"/>
        <v>3519</v>
      </c>
      <c r="F176" s="6">
        <f t="shared" si="351"/>
        <v>3394</v>
      </c>
      <c r="G176" s="6"/>
      <c r="H176" s="8" t="s">
        <v>34</v>
      </c>
      <c r="I176" s="9" t="s">
        <v>12</v>
      </c>
      <c r="J176" s="10">
        <f t="shared" si="5"/>
        <v>3462</v>
      </c>
      <c r="K176" s="11">
        <v>2346.0</v>
      </c>
      <c r="L176" s="11">
        <v>1116.0</v>
      </c>
      <c r="M176" s="5"/>
      <c r="N176" s="8" t="s">
        <v>34</v>
      </c>
      <c r="O176" s="9" t="s">
        <v>12</v>
      </c>
      <c r="P176" s="10">
        <f t="shared" si="6"/>
        <v>3221</v>
      </c>
      <c r="Q176" s="1">
        <v>1111.0</v>
      </c>
      <c r="R176" s="11">
        <v>2110.0</v>
      </c>
      <c r="T176" s="8" t="s">
        <v>34</v>
      </c>
      <c r="U176" s="8" t="s">
        <v>12</v>
      </c>
      <c r="V176" s="10">
        <f t="shared" si="7"/>
        <v>230</v>
      </c>
      <c r="W176" s="11">
        <v>62.0</v>
      </c>
      <c r="X176" s="11">
        <v>168.0</v>
      </c>
    </row>
    <row r="177">
      <c r="B177" s="6" t="str">
        <f t="shared" ref="B177:C177" si="352">H177</f>
        <v>Mergui</v>
      </c>
      <c r="C177" s="7" t="str">
        <f t="shared" si="352"/>
        <v>25-29</v>
      </c>
      <c r="D177" s="6">
        <f t="shared" ref="D177:F177" si="353">J177+P177+V177</f>
        <v>6606</v>
      </c>
      <c r="E177" s="6">
        <f t="shared" si="353"/>
        <v>3505</v>
      </c>
      <c r="F177" s="6">
        <f t="shared" si="353"/>
        <v>3101</v>
      </c>
      <c r="G177" s="6"/>
      <c r="H177" s="8" t="s">
        <v>34</v>
      </c>
      <c r="I177" s="9" t="s">
        <v>13</v>
      </c>
      <c r="J177" s="10">
        <f t="shared" si="5"/>
        <v>1471</v>
      </c>
      <c r="K177" s="11">
        <v>1129.0</v>
      </c>
      <c r="L177" s="11">
        <v>342.0</v>
      </c>
      <c r="M177" s="5"/>
      <c r="N177" s="8" t="s">
        <v>34</v>
      </c>
      <c r="O177" s="9" t="s">
        <v>13</v>
      </c>
      <c r="P177" s="10">
        <f t="shared" si="6"/>
        <v>4823</v>
      </c>
      <c r="Q177" s="11">
        <v>2254.0</v>
      </c>
      <c r="R177" s="11">
        <v>2569.0</v>
      </c>
      <c r="T177" s="8" t="s">
        <v>34</v>
      </c>
      <c r="U177" s="9" t="s">
        <v>13</v>
      </c>
      <c r="V177" s="10">
        <f t="shared" si="7"/>
        <v>312</v>
      </c>
      <c r="W177" s="1">
        <v>122.0</v>
      </c>
      <c r="X177" s="11">
        <v>190.0</v>
      </c>
    </row>
    <row r="178">
      <c r="B178" s="6" t="str">
        <f t="shared" ref="B178:C178" si="354">H178</f>
        <v>Mergui</v>
      </c>
      <c r="C178" s="7" t="str">
        <f t="shared" si="354"/>
        <v>30-34</v>
      </c>
      <c r="D178" s="6">
        <f t="shared" ref="D178:F178" si="355">J178+P178+V178</f>
        <v>5703</v>
      </c>
      <c r="E178" s="6">
        <f t="shared" si="355"/>
        <v>3179</v>
      </c>
      <c r="F178" s="6">
        <f t="shared" si="355"/>
        <v>2524</v>
      </c>
      <c r="G178" s="6"/>
      <c r="H178" s="8" t="s">
        <v>34</v>
      </c>
      <c r="I178" s="8" t="s">
        <v>14</v>
      </c>
      <c r="J178" s="10">
        <f t="shared" si="5"/>
        <v>598</v>
      </c>
      <c r="K178" s="11">
        <v>482.0</v>
      </c>
      <c r="L178" s="11">
        <v>116.0</v>
      </c>
      <c r="M178" s="5"/>
      <c r="N178" s="8" t="s">
        <v>34</v>
      </c>
      <c r="O178" s="8" t="s">
        <v>14</v>
      </c>
      <c r="P178" s="10">
        <f t="shared" si="6"/>
        <v>4705</v>
      </c>
      <c r="Q178" s="11">
        <v>2510.0</v>
      </c>
      <c r="R178" s="11">
        <v>2195.0</v>
      </c>
      <c r="T178" s="8" t="s">
        <v>34</v>
      </c>
      <c r="U178" s="9" t="s">
        <v>14</v>
      </c>
      <c r="V178" s="10">
        <f t="shared" si="7"/>
        <v>400</v>
      </c>
      <c r="W178" s="1">
        <v>187.0</v>
      </c>
      <c r="X178" s="11">
        <v>213.0</v>
      </c>
    </row>
    <row r="179">
      <c r="B179" s="6" t="str">
        <f t="shared" ref="B179:C179" si="356">H179</f>
        <v>Mergui</v>
      </c>
      <c r="C179" s="7" t="str">
        <f t="shared" si="356"/>
        <v>35-39</v>
      </c>
      <c r="D179" s="6">
        <f t="shared" ref="D179:F179" si="357">J179+P179+V179</f>
        <v>4364</v>
      </c>
      <c r="E179" s="6">
        <f t="shared" si="357"/>
        <v>2496</v>
      </c>
      <c r="F179" s="6">
        <f t="shared" si="357"/>
        <v>1868</v>
      </c>
      <c r="G179" s="6"/>
      <c r="H179" s="8" t="s">
        <v>34</v>
      </c>
      <c r="I179" s="8" t="s">
        <v>15</v>
      </c>
      <c r="J179" s="10">
        <f t="shared" si="5"/>
        <v>267</v>
      </c>
      <c r="K179" s="11">
        <v>217.0</v>
      </c>
      <c r="L179" s="11">
        <v>50.0</v>
      </c>
      <c r="M179" s="5"/>
      <c r="N179" s="8" t="s">
        <v>34</v>
      </c>
      <c r="O179" s="8" t="s">
        <v>15</v>
      </c>
      <c r="P179" s="10">
        <f t="shared" si="6"/>
        <v>3753</v>
      </c>
      <c r="Q179" s="11">
        <v>2120.0</v>
      </c>
      <c r="R179" s="11">
        <v>1633.0</v>
      </c>
      <c r="T179" s="8" t="s">
        <v>34</v>
      </c>
      <c r="U179" s="9" t="s">
        <v>15</v>
      </c>
      <c r="V179" s="10">
        <f t="shared" si="7"/>
        <v>344</v>
      </c>
      <c r="W179" s="1">
        <v>159.0</v>
      </c>
      <c r="X179" s="11">
        <v>185.0</v>
      </c>
    </row>
    <row r="180">
      <c r="B180" s="6" t="str">
        <f t="shared" ref="B180:C180" si="358">H180</f>
        <v>Mergui</v>
      </c>
      <c r="C180" s="7" t="str">
        <f t="shared" si="358"/>
        <v>40-44</v>
      </c>
      <c r="D180" s="6">
        <f t="shared" ref="D180:F180" si="359">J180+P180+V180</f>
        <v>3599</v>
      </c>
      <c r="E180" s="6">
        <f t="shared" si="359"/>
        <v>1961</v>
      </c>
      <c r="F180" s="6">
        <f t="shared" si="359"/>
        <v>1638</v>
      </c>
      <c r="G180" s="6"/>
      <c r="H180" s="8" t="s">
        <v>34</v>
      </c>
      <c r="I180" s="8" t="s">
        <v>16</v>
      </c>
      <c r="J180" s="10">
        <f t="shared" si="5"/>
        <v>145</v>
      </c>
      <c r="K180" s="11">
        <v>111.0</v>
      </c>
      <c r="L180" s="11">
        <v>34.0</v>
      </c>
      <c r="M180" s="5"/>
      <c r="N180" s="8" t="s">
        <v>34</v>
      </c>
      <c r="O180" s="8" t="s">
        <v>16</v>
      </c>
      <c r="P180" s="10">
        <f t="shared" si="6"/>
        <v>3050</v>
      </c>
      <c r="Q180" s="11">
        <v>1659.0</v>
      </c>
      <c r="R180" s="11">
        <v>1391.0</v>
      </c>
      <c r="T180" s="8" t="s">
        <v>34</v>
      </c>
      <c r="U180" s="9" t="s">
        <v>16</v>
      </c>
      <c r="V180" s="10">
        <f t="shared" si="7"/>
        <v>404</v>
      </c>
      <c r="W180" s="1">
        <v>191.0</v>
      </c>
      <c r="X180" s="11">
        <v>213.0</v>
      </c>
    </row>
    <row r="181">
      <c r="B181" s="6" t="str">
        <f t="shared" ref="B181:C181" si="360">H181</f>
        <v>Mergui</v>
      </c>
      <c r="C181" s="7" t="str">
        <f t="shared" si="360"/>
        <v>45-49</v>
      </c>
      <c r="D181" s="6">
        <f t="shared" ref="D181:F181" si="361">J181+P181+V181</f>
        <v>2867</v>
      </c>
      <c r="E181" s="6">
        <f t="shared" si="361"/>
        <v>1611</v>
      </c>
      <c r="F181" s="6">
        <f t="shared" si="361"/>
        <v>1256</v>
      </c>
      <c r="G181" s="6"/>
      <c r="H181" s="8" t="s">
        <v>34</v>
      </c>
      <c r="I181" s="8" t="s">
        <v>17</v>
      </c>
      <c r="J181" s="10">
        <f t="shared" si="5"/>
        <v>118</v>
      </c>
      <c r="K181" s="11">
        <v>91.0</v>
      </c>
      <c r="L181" s="11">
        <v>27.0</v>
      </c>
      <c r="M181" s="5"/>
      <c r="N181" s="8" t="s">
        <v>34</v>
      </c>
      <c r="O181" s="8" t="s">
        <v>17</v>
      </c>
      <c r="P181" s="10">
        <f t="shared" si="6"/>
        <v>2342</v>
      </c>
      <c r="Q181" s="11">
        <v>1363.0</v>
      </c>
      <c r="R181" s="11">
        <v>979.0</v>
      </c>
      <c r="T181" s="8" t="s">
        <v>34</v>
      </c>
      <c r="U181" s="9" t="s">
        <v>17</v>
      </c>
      <c r="V181" s="10">
        <f t="shared" si="7"/>
        <v>407</v>
      </c>
      <c r="W181" s="1">
        <v>157.0</v>
      </c>
      <c r="X181" s="11">
        <v>250.0</v>
      </c>
    </row>
    <row r="182">
      <c r="B182" s="6" t="str">
        <f t="shared" ref="B182:C182" si="362">H182</f>
        <v>Mergui</v>
      </c>
      <c r="C182" s="7" t="str">
        <f t="shared" si="362"/>
        <v>50-54</v>
      </c>
      <c r="D182" s="6">
        <f t="shared" ref="D182:F182" si="363">J182+P182+V182</f>
        <v>2644</v>
      </c>
      <c r="E182" s="6">
        <f t="shared" si="363"/>
        <v>1429</v>
      </c>
      <c r="F182" s="6">
        <f t="shared" si="363"/>
        <v>1215</v>
      </c>
      <c r="G182" s="6"/>
      <c r="H182" s="8" t="s">
        <v>34</v>
      </c>
      <c r="I182" s="8" t="s">
        <v>18</v>
      </c>
      <c r="J182" s="10">
        <f t="shared" si="5"/>
        <v>153</v>
      </c>
      <c r="K182" s="11">
        <v>85.0</v>
      </c>
      <c r="L182" s="11">
        <v>68.0</v>
      </c>
      <c r="M182" s="5"/>
      <c r="N182" s="8" t="s">
        <v>34</v>
      </c>
      <c r="O182" s="8" t="s">
        <v>18</v>
      </c>
      <c r="P182" s="10">
        <f t="shared" si="6"/>
        <v>1918</v>
      </c>
      <c r="Q182" s="11">
        <v>1141.0</v>
      </c>
      <c r="R182" s="11">
        <v>777.0</v>
      </c>
      <c r="T182" s="8" t="s">
        <v>34</v>
      </c>
      <c r="U182" s="9" t="s">
        <v>18</v>
      </c>
      <c r="V182" s="10">
        <f t="shared" si="7"/>
        <v>573</v>
      </c>
      <c r="W182" s="1">
        <v>203.0</v>
      </c>
      <c r="X182" s="11">
        <v>370.0</v>
      </c>
    </row>
    <row r="183">
      <c r="B183" s="6" t="str">
        <f t="shared" ref="B183:C183" si="364">H183</f>
        <v>Mergui</v>
      </c>
      <c r="C183" s="7" t="str">
        <f t="shared" si="364"/>
        <v>55-59</v>
      </c>
      <c r="D183" s="6">
        <f t="shared" ref="D183:F183" si="365">J183+P183+V183</f>
        <v>1651</v>
      </c>
      <c r="E183" s="6">
        <f t="shared" si="365"/>
        <v>880</v>
      </c>
      <c r="F183" s="6">
        <f t="shared" si="365"/>
        <v>771</v>
      </c>
      <c r="G183" s="6"/>
      <c r="H183" s="8" t="s">
        <v>34</v>
      </c>
      <c r="I183" s="8" t="s">
        <v>19</v>
      </c>
      <c r="J183" s="10">
        <f t="shared" si="5"/>
        <v>59</v>
      </c>
      <c r="K183" s="11">
        <v>43.0</v>
      </c>
      <c r="L183" s="11">
        <v>16.0</v>
      </c>
      <c r="M183" s="5"/>
      <c r="N183" s="8" t="s">
        <v>34</v>
      </c>
      <c r="O183" s="8" t="s">
        <v>19</v>
      </c>
      <c r="P183" s="10">
        <f t="shared" si="6"/>
        <v>1147</v>
      </c>
      <c r="Q183" s="11">
        <v>693.0</v>
      </c>
      <c r="R183" s="11">
        <v>454.0</v>
      </c>
      <c r="T183" s="8" t="s">
        <v>34</v>
      </c>
      <c r="U183" s="9" t="s">
        <v>19</v>
      </c>
      <c r="V183" s="10">
        <f t="shared" si="7"/>
        <v>445</v>
      </c>
      <c r="W183" s="1">
        <v>144.0</v>
      </c>
      <c r="X183" s="11">
        <v>301.0</v>
      </c>
    </row>
    <row r="184">
      <c r="B184" s="6" t="str">
        <f t="shared" ref="B184:C184" si="366">H184</f>
        <v>Mergui</v>
      </c>
      <c r="C184" s="7" t="str">
        <f t="shared" si="366"/>
        <v>60+</v>
      </c>
      <c r="D184" s="6">
        <f t="shared" ref="D184:F184" si="367">J184+P184+V184</f>
        <v>3343</v>
      </c>
      <c r="E184" s="6">
        <f t="shared" si="367"/>
        <v>1844</v>
      </c>
      <c r="F184" s="6">
        <f t="shared" si="367"/>
        <v>1499</v>
      </c>
      <c r="G184" s="6"/>
      <c r="H184" s="8" t="s">
        <v>34</v>
      </c>
      <c r="I184" s="8" t="s">
        <v>20</v>
      </c>
      <c r="J184" s="10">
        <f t="shared" si="5"/>
        <v>75</v>
      </c>
      <c r="K184" s="11">
        <v>48.0</v>
      </c>
      <c r="L184" s="11">
        <v>27.0</v>
      </c>
      <c r="M184" s="5"/>
      <c r="N184" s="8" t="s">
        <v>34</v>
      </c>
      <c r="O184" s="8" t="s">
        <v>21</v>
      </c>
      <c r="P184" s="10">
        <f t="shared" si="6"/>
        <v>1807</v>
      </c>
      <c r="Q184" s="11">
        <v>1277.0</v>
      </c>
      <c r="R184" s="11">
        <v>530.0</v>
      </c>
      <c r="T184" s="8" t="s">
        <v>34</v>
      </c>
      <c r="U184" s="1" t="s">
        <v>21</v>
      </c>
      <c r="V184" s="10">
        <f t="shared" si="7"/>
        <v>1461</v>
      </c>
      <c r="W184" s="1">
        <v>519.0</v>
      </c>
      <c r="X184" s="11">
        <v>942.0</v>
      </c>
    </row>
    <row r="185">
      <c r="B185" s="6" t="str">
        <f t="shared" ref="B185:C185" si="368">H185</f>
        <v>Minbu</v>
      </c>
      <c r="C185" s="7" t="str">
        <f t="shared" si="368"/>
        <v>0-4</v>
      </c>
      <c r="D185" s="6">
        <f t="shared" ref="D185:F185" si="369">J185+P185+V185</f>
        <v>31481</v>
      </c>
      <c r="E185" s="6">
        <f t="shared" si="369"/>
        <v>15359</v>
      </c>
      <c r="F185" s="6">
        <f t="shared" si="369"/>
        <v>16122</v>
      </c>
      <c r="G185" s="6"/>
      <c r="H185" s="8" t="s">
        <v>35</v>
      </c>
      <c r="I185" s="9" t="s">
        <v>10</v>
      </c>
      <c r="J185" s="10">
        <f t="shared" si="5"/>
        <v>31481</v>
      </c>
      <c r="K185" s="11">
        <v>15359.0</v>
      </c>
      <c r="L185" s="11">
        <v>16122.0</v>
      </c>
      <c r="M185" s="5"/>
      <c r="N185" s="8" t="s">
        <v>35</v>
      </c>
      <c r="O185" s="9" t="s">
        <v>10</v>
      </c>
      <c r="P185" s="10">
        <f t="shared" si="6"/>
        <v>0</v>
      </c>
      <c r="Q185" s="11">
        <v>0.0</v>
      </c>
      <c r="R185" s="11">
        <v>0.0</v>
      </c>
      <c r="T185" s="8" t="s">
        <v>35</v>
      </c>
      <c r="U185" s="9" t="s">
        <v>10</v>
      </c>
      <c r="V185" s="10">
        <f t="shared" si="7"/>
        <v>0</v>
      </c>
      <c r="W185" s="11">
        <v>0.0</v>
      </c>
      <c r="X185" s="11">
        <v>0.0</v>
      </c>
    </row>
    <row r="186">
      <c r="B186" s="6" t="str">
        <f t="shared" ref="B186:C186" si="370">H186</f>
        <v>Minbu</v>
      </c>
      <c r="C186" s="12">
        <f t="shared" si="370"/>
        <v>45786</v>
      </c>
      <c r="D186" s="6">
        <f t="shared" ref="D186:F186" si="371">J186+P186+V186</f>
        <v>27483</v>
      </c>
      <c r="E186" s="6">
        <f t="shared" si="371"/>
        <v>13674</v>
      </c>
      <c r="F186" s="6">
        <f t="shared" si="371"/>
        <v>13809</v>
      </c>
      <c r="G186" s="6"/>
      <c r="H186" s="8" t="s">
        <v>35</v>
      </c>
      <c r="I186" s="13">
        <v>45786.0</v>
      </c>
      <c r="J186" s="10">
        <f t="shared" si="5"/>
        <v>27483</v>
      </c>
      <c r="K186" s="11">
        <v>13674.0</v>
      </c>
      <c r="L186" s="11">
        <v>13809.0</v>
      </c>
      <c r="M186" s="5"/>
      <c r="N186" s="8" t="s">
        <v>35</v>
      </c>
      <c r="O186" s="13">
        <v>45786.0</v>
      </c>
      <c r="P186" s="10">
        <f t="shared" si="6"/>
        <v>0</v>
      </c>
      <c r="Q186" s="11">
        <v>0.0</v>
      </c>
      <c r="R186" s="11">
        <v>0.0</v>
      </c>
      <c r="T186" s="8" t="s">
        <v>35</v>
      </c>
      <c r="U186" s="13">
        <v>45786.0</v>
      </c>
      <c r="V186" s="10">
        <f t="shared" si="7"/>
        <v>0</v>
      </c>
      <c r="W186" s="11">
        <v>0.0</v>
      </c>
      <c r="X186" s="11">
        <v>0.0</v>
      </c>
    </row>
    <row r="187">
      <c r="B187" s="6" t="str">
        <f t="shared" ref="B187:C187" si="372">H187</f>
        <v>Minbu</v>
      </c>
      <c r="C187" s="12">
        <f t="shared" si="372"/>
        <v>45944</v>
      </c>
      <c r="D187" s="6">
        <f t="shared" ref="D187:F187" si="373">J187+P187+V187</f>
        <v>24839</v>
      </c>
      <c r="E187" s="6">
        <f t="shared" si="373"/>
        <v>12539</v>
      </c>
      <c r="F187" s="6">
        <f t="shared" si="373"/>
        <v>12300</v>
      </c>
      <c r="G187" s="6"/>
      <c r="H187" s="8" t="s">
        <v>35</v>
      </c>
      <c r="I187" s="13">
        <v>45944.0</v>
      </c>
      <c r="J187" s="10">
        <f t="shared" si="5"/>
        <v>24787</v>
      </c>
      <c r="K187" s="11">
        <v>12526.0</v>
      </c>
      <c r="L187" s="11">
        <v>12261.0</v>
      </c>
      <c r="M187" s="5"/>
      <c r="N187" s="8" t="s">
        <v>35</v>
      </c>
      <c r="O187" s="13">
        <v>45944.0</v>
      </c>
      <c r="P187" s="10">
        <f t="shared" si="6"/>
        <v>48</v>
      </c>
      <c r="Q187" s="11">
        <v>13.0</v>
      </c>
      <c r="R187" s="11">
        <v>35.0</v>
      </c>
      <c r="T187" s="8" t="s">
        <v>35</v>
      </c>
      <c r="U187" s="13">
        <v>45944.0</v>
      </c>
      <c r="V187" s="10">
        <f t="shared" si="7"/>
        <v>4</v>
      </c>
      <c r="W187" s="11">
        <v>0.0</v>
      </c>
      <c r="X187" s="11">
        <v>4.0</v>
      </c>
    </row>
    <row r="188">
      <c r="B188" s="6" t="str">
        <f t="shared" ref="B188:C188" si="374">H188</f>
        <v>Minbu</v>
      </c>
      <c r="C188" s="7" t="str">
        <f t="shared" si="374"/>
        <v>15-19</v>
      </c>
      <c r="D188" s="6">
        <f t="shared" ref="D188:F188" si="375">J188+P188+V188</f>
        <v>20198</v>
      </c>
      <c r="E188" s="6">
        <f t="shared" si="375"/>
        <v>9279</v>
      </c>
      <c r="F188" s="6">
        <f t="shared" si="375"/>
        <v>10919</v>
      </c>
      <c r="G188" s="6"/>
      <c r="H188" s="8" t="s">
        <v>35</v>
      </c>
      <c r="I188" s="9" t="s">
        <v>11</v>
      </c>
      <c r="J188" s="10">
        <f t="shared" si="5"/>
        <v>17136</v>
      </c>
      <c r="K188" s="11">
        <v>8732.0</v>
      </c>
      <c r="L188" s="11">
        <v>8404.0</v>
      </c>
      <c r="M188" s="5"/>
      <c r="N188" s="8" t="s">
        <v>35</v>
      </c>
      <c r="O188" s="9" t="s">
        <v>11</v>
      </c>
      <c r="P188" s="10">
        <f t="shared" si="6"/>
        <v>2797</v>
      </c>
      <c r="Q188" s="11">
        <v>514.0</v>
      </c>
      <c r="R188" s="11">
        <v>2283.0</v>
      </c>
      <c r="T188" s="8" t="s">
        <v>35</v>
      </c>
      <c r="U188" s="9" t="s">
        <v>11</v>
      </c>
      <c r="V188" s="10">
        <f t="shared" si="7"/>
        <v>265</v>
      </c>
      <c r="W188" s="11">
        <v>33.0</v>
      </c>
      <c r="X188" s="11">
        <v>232.0</v>
      </c>
    </row>
    <row r="189">
      <c r="B189" s="6" t="str">
        <f t="shared" ref="B189:C189" si="376">H189</f>
        <v>Minbu</v>
      </c>
      <c r="C189" s="7" t="str">
        <f t="shared" si="376"/>
        <v>20-24</v>
      </c>
      <c r="D189" s="6">
        <f t="shared" ref="D189:F189" si="377">J189+P189+V189</f>
        <v>18464</v>
      </c>
      <c r="E189" s="6">
        <f t="shared" si="377"/>
        <v>8716</v>
      </c>
      <c r="F189" s="6">
        <f t="shared" si="377"/>
        <v>9748</v>
      </c>
      <c r="G189" s="14"/>
      <c r="H189" s="8" t="s">
        <v>35</v>
      </c>
      <c r="I189" s="9" t="s">
        <v>12</v>
      </c>
      <c r="J189" s="10">
        <f t="shared" si="5"/>
        <v>7580</v>
      </c>
      <c r="K189" s="11">
        <v>4652.0</v>
      </c>
      <c r="L189" s="11">
        <v>2928.0</v>
      </c>
      <c r="M189" s="5"/>
      <c r="N189" s="8" t="s">
        <v>35</v>
      </c>
      <c r="O189" s="9" t="s">
        <v>12</v>
      </c>
      <c r="P189" s="10">
        <f t="shared" si="6"/>
        <v>9980</v>
      </c>
      <c r="Q189" s="11">
        <v>3832.0</v>
      </c>
      <c r="R189" s="11">
        <v>6148.0</v>
      </c>
      <c r="T189" s="8" t="s">
        <v>35</v>
      </c>
      <c r="U189" s="9" t="s">
        <v>12</v>
      </c>
      <c r="V189" s="10">
        <f t="shared" si="7"/>
        <v>904</v>
      </c>
      <c r="W189" s="11">
        <v>232.0</v>
      </c>
      <c r="X189" s="11">
        <v>672.0</v>
      </c>
    </row>
    <row r="190">
      <c r="B190" s="6" t="str">
        <f t="shared" ref="B190:C190" si="378">H190</f>
        <v>Minbu</v>
      </c>
      <c r="C190" s="7" t="str">
        <f t="shared" si="378"/>
        <v>25-29</v>
      </c>
      <c r="D190" s="6">
        <f t="shared" ref="D190:F190" si="379">J190+P190+V190</f>
        <v>16264</v>
      </c>
      <c r="E190" s="6">
        <f t="shared" si="379"/>
        <v>7687</v>
      </c>
      <c r="F190" s="6">
        <f t="shared" si="379"/>
        <v>8577</v>
      </c>
      <c r="G190" s="14"/>
      <c r="H190" s="8" t="s">
        <v>35</v>
      </c>
      <c r="I190" s="9" t="s">
        <v>13</v>
      </c>
      <c r="J190" s="10">
        <f t="shared" si="5"/>
        <v>3031</v>
      </c>
      <c r="K190" s="11">
        <v>1823.0</v>
      </c>
      <c r="L190" s="11">
        <v>1208.0</v>
      </c>
      <c r="M190" s="5"/>
      <c r="N190" s="8" t="s">
        <v>35</v>
      </c>
      <c r="O190" s="9" t="s">
        <v>13</v>
      </c>
      <c r="P190" s="10">
        <f t="shared" si="6"/>
        <v>12105</v>
      </c>
      <c r="Q190" s="11">
        <v>5544.0</v>
      </c>
      <c r="R190" s="11">
        <v>6561.0</v>
      </c>
      <c r="T190" s="1" t="s">
        <v>35</v>
      </c>
      <c r="U190" s="1" t="s">
        <v>13</v>
      </c>
      <c r="V190" s="10">
        <f t="shared" si="7"/>
        <v>1128</v>
      </c>
      <c r="W190" s="1">
        <v>320.0</v>
      </c>
      <c r="X190" s="1">
        <v>808.0</v>
      </c>
    </row>
    <row r="191">
      <c r="B191" s="6" t="str">
        <f t="shared" ref="B191:C191" si="380">H191</f>
        <v>Minbu</v>
      </c>
      <c r="C191" s="7" t="str">
        <f t="shared" si="380"/>
        <v>30-34</v>
      </c>
      <c r="D191" s="6">
        <f t="shared" ref="D191:F191" si="381">J191+P191+V191</f>
        <v>14745</v>
      </c>
      <c r="E191" s="6">
        <f t="shared" si="381"/>
        <v>6940</v>
      </c>
      <c r="F191" s="6">
        <f t="shared" si="381"/>
        <v>7805</v>
      </c>
      <c r="G191" s="14"/>
      <c r="H191" s="8" t="s">
        <v>35</v>
      </c>
      <c r="I191" s="8" t="s">
        <v>14</v>
      </c>
      <c r="J191" s="10">
        <f t="shared" si="5"/>
        <v>1536</v>
      </c>
      <c r="K191" s="11">
        <v>796.0</v>
      </c>
      <c r="L191" s="11">
        <v>740.0</v>
      </c>
      <c r="M191" s="5"/>
      <c r="N191" s="8" t="s">
        <v>35</v>
      </c>
      <c r="O191" s="8" t="s">
        <v>14</v>
      </c>
      <c r="P191" s="10">
        <f t="shared" si="6"/>
        <v>12012</v>
      </c>
      <c r="Q191" s="11">
        <v>5808.0</v>
      </c>
      <c r="R191" s="11">
        <v>6204.0</v>
      </c>
      <c r="T191" s="1" t="s">
        <v>35</v>
      </c>
      <c r="U191" s="1" t="s">
        <v>14</v>
      </c>
      <c r="V191" s="10">
        <f t="shared" si="7"/>
        <v>1197</v>
      </c>
      <c r="W191" s="1">
        <v>336.0</v>
      </c>
      <c r="X191" s="1">
        <v>861.0</v>
      </c>
    </row>
    <row r="192">
      <c r="B192" s="6" t="str">
        <f t="shared" ref="B192:C192" si="382">H192</f>
        <v>Minbu</v>
      </c>
      <c r="C192" s="7" t="str">
        <f t="shared" si="382"/>
        <v>35-39</v>
      </c>
      <c r="D192" s="6">
        <f t="shared" ref="D192:F192" si="383">J192+P192+V192</f>
        <v>13151</v>
      </c>
      <c r="E192" s="6">
        <f t="shared" si="383"/>
        <v>6456</v>
      </c>
      <c r="F192" s="6">
        <f t="shared" si="383"/>
        <v>6695</v>
      </c>
      <c r="G192" s="14"/>
      <c r="H192" s="8" t="s">
        <v>35</v>
      </c>
      <c r="I192" s="8" t="s">
        <v>15</v>
      </c>
      <c r="J192" s="10">
        <f t="shared" si="5"/>
        <v>909</v>
      </c>
      <c r="K192" s="11">
        <v>472.0</v>
      </c>
      <c r="L192" s="11">
        <v>437.0</v>
      </c>
      <c r="M192" s="5"/>
      <c r="N192" s="8" t="s">
        <v>35</v>
      </c>
      <c r="O192" s="8" t="s">
        <v>15</v>
      </c>
      <c r="P192" s="10">
        <f t="shared" si="6"/>
        <v>10979</v>
      </c>
      <c r="Q192" s="11">
        <v>5626.0</v>
      </c>
      <c r="R192" s="11">
        <v>5353.0</v>
      </c>
      <c r="T192" s="1" t="s">
        <v>35</v>
      </c>
      <c r="U192" s="1" t="s">
        <v>15</v>
      </c>
      <c r="V192" s="10">
        <f t="shared" si="7"/>
        <v>1263</v>
      </c>
      <c r="W192" s="1">
        <v>358.0</v>
      </c>
      <c r="X192" s="1">
        <v>905.0</v>
      </c>
    </row>
    <row r="193">
      <c r="B193" s="6" t="str">
        <f t="shared" ref="B193:C193" si="384">H193</f>
        <v>Minbu</v>
      </c>
      <c r="C193" s="7" t="str">
        <f t="shared" si="384"/>
        <v>40-44</v>
      </c>
      <c r="D193" s="6">
        <f t="shared" ref="D193:F193" si="385">J193+P193+V193</f>
        <v>12401</v>
      </c>
      <c r="E193" s="6">
        <f t="shared" si="385"/>
        <v>5819</v>
      </c>
      <c r="F193" s="6">
        <f t="shared" si="385"/>
        <v>6582</v>
      </c>
      <c r="G193" s="14"/>
      <c r="H193" s="8" t="s">
        <v>35</v>
      </c>
      <c r="I193" s="8" t="s">
        <v>16</v>
      </c>
      <c r="J193" s="10">
        <f t="shared" si="5"/>
        <v>748</v>
      </c>
      <c r="K193" s="11">
        <v>355.0</v>
      </c>
      <c r="L193" s="11">
        <v>393.0</v>
      </c>
      <c r="M193" s="5"/>
      <c r="N193" s="8" t="s">
        <v>35</v>
      </c>
      <c r="O193" s="8" t="s">
        <v>16</v>
      </c>
      <c r="P193" s="10">
        <f t="shared" si="6"/>
        <v>10040</v>
      </c>
      <c r="Q193" s="11">
        <v>5110.0</v>
      </c>
      <c r="R193" s="11">
        <v>4930.0</v>
      </c>
      <c r="T193" s="1" t="s">
        <v>35</v>
      </c>
      <c r="U193" s="1" t="s">
        <v>16</v>
      </c>
      <c r="V193" s="10">
        <f t="shared" si="7"/>
        <v>1613</v>
      </c>
      <c r="W193" s="1">
        <v>354.0</v>
      </c>
      <c r="X193" s="1">
        <v>1259.0</v>
      </c>
    </row>
    <row r="194">
      <c r="B194" s="6" t="str">
        <f t="shared" ref="B194:C194" si="386">H194</f>
        <v>Minbu</v>
      </c>
      <c r="C194" s="7" t="str">
        <f t="shared" si="386"/>
        <v>45-49</v>
      </c>
      <c r="D194" s="6">
        <f t="shared" ref="D194:F194" si="387">J194+P194+V194</f>
        <v>8898</v>
      </c>
      <c r="E194" s="6">
        <f t="shared" si="387"/>
        <v>4388</v>
      </c>
      <c r="F194" s="6">
        <f t="shared" si="387"/>
        <v>4510</v>
      </c>
      <c r="G194" s="14"/>
      <c r="H194" s="8" t="s">
        <v>35</v>
      </c>
      <c r="I194" s="8" t="s">
        <v>17</v>
      </c>
      <c r="J194" s="10">
        <f t="shared" si="5"/>
        <v>424</v>
      </c>
      <c r="K194" s="11">
        <v>206.0</v>
      </c>
      <c r="L194" s="11">
        <v>218.0</v>
      </c>
      <c r="M194" s="5"/>
      <c r="N194" s="8" t="s">
        <v>35</v>
      </c>
      <c r="O194" s="8" t="s">
        <v>17</v>
      </c>
      <c r="P194" s="10">
        <f t="shared" si="6"/>
        <v>7034</v>
      </c>
      <c r="Q194" s="11">
        <v>3839.0</v>
      </c>
      <c r="R194" s="11">
        <v>3195.0</v>
      </c>
      <c r="T194" s="1" t="s">
        <v>35</v>
      </c>
      <c r="U194" s="1" t="s">
        <v>17</v>
      </c>
      <c r="V194" s="10">
        <f t="shared" si="7"/>
        <v>1440</v>
      </c>
      <c r="W194" s="1">
        <v>343.0</v>
      </c>
      <c r="X194" s="1">
        <v>1097.0</v>
      </c>
    </row>
    <row r="195">
      <c r="B195" s="6" t="str">
        <f t="shared" ref="B195:C195" si="388">H195</f>
        <v>Minbu</v>
      </c>
      <c r="C195" s="7" t="str">
        <f t="shared" si="388"/>
        <v>50-54</v>
      </c>
      <c r="D195" s="6">
        <f t="shared" ref="D195:F195" si="389">J195+P195+V195</f>
        <v>9350</v>
      </c>
      <c r="E195" s="6">
        <f t="shared" si="389"/>
        <v>4222</v>
      </c>
      <c r="F195" s="6">
        <f t="shared" si="389"/>
        <v>5128</v>
      </c>
      <c r="G195" s="14"/>
      <c r="H195" s="8" t="s">
        <v>35</v>
      </c>
      <c r="I195" s="8" t="s">
        <v>18</v>
      </c>
      <c r="J195" s="10">
        <f t="shared" si="5"/>
        <v>492</v>
      </c>
      <c r="K195" s="11">
        <v>192.0</v>
      </c>
      <c r="L195" s="11">
        <v>300.0</v>
      </c>
      <c r="M195" s="5"/>
      <c r="N195" s="8" t="s">
        <v>35</v>
      </c>
      <c r="O195" s="8" t="s">
        <v>18</v>
      </c>
      <c r="P195" s="10">
        <f t="shared" si="6"/>
        <v>6618</v>
      </c>
      <c r="Q195" s="11">
        <v>3583.0</v>
      </c>
      <c r="R195" s="11">
        <v>3035.0</v>
      </c>
      <c r="T195" s="1" t="s">
        <v>35</v>
      </c>
      <c r="U195" s="1" t="s">
        <v>18</v>
      </c>
      <c r="V195" s="10">
        <f t="shared" si="7"/>
        <v>2240</v>
      </c>
      <c r="W195" s="1">
        <v>447.0</v>
      </c>
      <c r="X195" s="1">
        <v>1793.0</v>
      </c>
    </row>
    <row r="196">
      <c r="B196" s="6" t="str">
        <f t="shared" ref="B196:C196" si="390">H196</f>
        <v>Minbu</v>
      </c>
      <c r="C196" s="7" t="str">
        <f t="shared" si="390"/>
        <v>55-59</v>
      </c>
      <c r="D196" s="6">
        <f t="shared" ref="D196:F196" si="391">J196+P196+V196</f>
        <v>5561</v>
      </c>
      <c r="E196" s="6">
        <f t="shared" si="391"/>
        <v>2625</v>
      </c>
      <c r="F196" s="6">
        <f t="shared" si="391"/>
        <v>2936</v>
      </c>
      <c r="G196" s="14"/>
      <c r="H196" s="8" t="s">
        <v>35</v>
      </c>
      <c r="I196" s="8" t="s">
        <v>19</v>
      </c>
      <c r="J196" s="10">
        <f t="shared" si="5"/>
        <v>338</v>
      </c>
      <c r="K196" s="11">
        <v>149.0</v>
      </c>
      <c r="L196" s="11">
        <v>189.0</v>
      </c>
      <c r="M196" s="5"/>
      <c r="N196" s="8" t="s">
        <v>35</v>
      </c>
      <c r="O196" s="8" t="s">
        <v>19</v>
      </c>
      <c r="P196" s="10">
        <f t="shared" si="6"/>
        <v>3769</v>
      </c>
      <c r="Q196" s="11">
        <v>2126.0</v>
      </c>
      <c r="R196" s="11">
        <v>1643.0</v>
      </c>
      <c r="T196" s="1" t="s">
        <v>35</v>
      </c>
      <c r="U196" s="1" t="s">
        <v>19</v>
      </c>
      <c r="V196" s="10">
        <f t="shared" si="7"/>
        <v>1454</v>
      </c>
      <c r="W196" s="1">
        <v>350.0</v>
      </c>
      <c r="X196" s="1">
        <v>1104.0</v>
      </c>
    </row>
    <row r="197">
      <c r="B197" s="6" t="str">
        <f t="shared" ref="B197:C197" si="392">H197</f>
        <v>Minbu</v>
      </c>
      <c r="C197" s="7" t="str">
        <f t="shared" si="392"/>
        <v>60+</v>
      </c>
      <c r="D197" s="6">
        <f t="shared" ref="D197:F197" si="393">J197+P197+V197</f>
        <v>21602</v>
      </c>
      <c r="E197" s="6">
        <f t="shared" si="393"/>
        <v>8853</v>
      </c>
      <c r="F197" s="6">
        <f t="shared" si="393"/>
        <v>12749</v>
      </c>
      <c r="G197" s="14"/>
      <c r="H197" s="8" t="s">
        <v>35</v>
      </c>
      <c r="I197" s="8" t="s">
        <v>20</v>
      </c>
      <c r="J197" s="10">
        <f t="shared" si="5"/>
        <v>1031</v>
      </c>
      <c r="K197" s="11">
        <v>381.0</v>
      </c>
      <c r="L197" s="11">
        <v>650.0</v>
      </c>
      <c r="M197" s="5"/>
      <c r="N197" s="8" t="s">
        <v>35</v>
      </c>
      <c r="O197" s="8" t="s">
        <v>21</v>
      </c>
      <c r="P197" s="10">
        <f t="shared" si="6"/>
        <v>9806</v>
      </c>
      <c r="Q197" s="11">
        <v>6082.0</v>
      </c>
      <c r="R197" s="11">
        <v>3724.0</v>
      </c>
      <c r="T197" s="1" t="s">
        <v>35</v>
      </c>
      <c r="U197" s="1" t="s">
        <v>21</v>
      </c>
      <c r="V197" s="10">
        <f t="shared" si="7"/>
        <v>10765</v>
      </c>
      <c r="W197" s="1">
        <v>2390.0</v>
      </c>
      <c r="X197" s="1">
        <v>8375.0</v>
      </c>
    </row>
    <row r="198">
      <c r="B198" s="6" t="str">
        <f t="shared" ref="B198:C198" si="394">H198</f>
        <v>Myingyan</v>
      </c>
      <c r="C198" s="7" t="str">
        <f t="shared" si="394"/>
        <v>0-4</v>
      </c>
      <c r="D198" s="6">
        <f t="shared" ref="D198:F198" si="395">J198+P198+V198</f>
        <v>50857</v>
      </c>
      <c r="E198" s="6">
        <f t="shared" si="395"/>
        <v>25177</v>
      </c>
      <c r="F198" s="6">
        <f t="shared" si="395"/>
        <v>25680</v>
      </c>
      <c r="G198" s="14"/>
      <c r="H198" s="8" t="s">
        <v>36</v>
      </c>
      <c r="I198" s="9" t="s">
        <v>10</v>
      </c>
      <c r="J198" s="10">
        <f t="shared" si="5"/>
        <v>50857</v>
      </c>
      <c r="K198" s="11">
        <v>25177.0</v>
      </c>
      <c r="L198" s="11">
        <v>25680.0</v>
      </c>
      <c r="M198" s="5"/>
      <c r="N198" s="8" t="s">
        <v>36</v>
      </c>
      <c r="O198" s="9" t="s">
        <v>10</v>
      </c>
      <c r="P198" s="10">
        <f t="shared" si="6"/>
        <v>0</v>
      </c>
      <c r="Q198" s="11">
        <v>0.0</v>
      </c>
      <c r="R198" s="11">
        <v>0.0</v>
      </c>
      <c r="T198" s="8" t="s">
        <v>36</v>
      </c>
      <c r="U198" s="9" t="s">
        <v>10</v>
      </c>
      <c r="V198" s="10">
        <f t="shared" si="7"/>
        <v>0</v>
      </c>
      <c r="W198" s="11">
        <v>0.0</v>
      </c>
      <c r="X198" s="11">
        <v>0.0</v>
      </c>
    </row>
    <row r="199">
      <c r="B199" s="6" t="str">
        <f t="shared" ref="B199:C199" si="396">H199</f>
        <v>Myingyan</v>
      </c>
      <c r="C199" s="12">
        <f t="shared" si="396"/>
        <v>45786</v>
      </c>
      <c r="D199" s="6">
        <f t="shared" ref="D199:F199" si="397">J199+P199+V199</f>
        <v>45503</v>
      </c>
      <c r="E199" s="6">
        <f t="shared" si="397"/>
        <v>22416</v>
      </c>
      <c r="F199" s="6">
        <f t="shared" si="397"/>
        <v>23087</v>
      </c>
      <c r="G199" s="14"/>
      <c r="H199" s="8" t="s">
        <v>36</v>
      </c>
      <c r="I199" s="13">
        <v>45786.0</v>
      </c>
      <c r="J199" s="10">
        <f t="shared" si="5"/>
        <v>45503</v>
      </c>
      <c r="K199" s="11">
        <v>22416.0</v>
      </c>
      <c r="L199" s="11">
        <v>23087.0</v>
      </c>
      <c r="M199" s="5"/>
      <c r="N199" s="8" t="s">
        <v>36</v>
      </c>
      <c r="O199" s="13">
        <v>45786.0</v>
      </c>
      <c r="P199" s="10">
        <f t="shared" si="6"/>
        <v>0</v>
      </c>
      <c r="Q199" s="11">
        <v>0.0</v>
      </c>
      <c r="R199" s="11">
        <v>0.0</v>
      </c>
      <c r="T199" s="8" t="s">
        <v>36</v>
      </c>
      <c r="U199" s="13">
        <v>45786.0</v>
      </c>
      <c r="V199" s="10">
        <f t="shared" si="7"/>
        <v>0</v>
      </c>
      <c r="W199" s="11">
        <v>0.0</v>
      </c>
      <c r="X199" s="11">
        <v>0.0</v>
      </c>
    </row>
    <row r="200">
      <c r="B200" s="6" t="str">
        <f t="shared" ref="B200:C200" si="398">H200</f>
        <v>Myingyan</v>
      </c>
      <c r="C200" s="12">
        <f t="shared" si="398"/>
        <v>45944</v>
      </c>
      <c r="D200" s="6">
        <f t="shared" ref="D200:F200" si="399">J200+P200+V200</f>
        <v>41794</v>
      </c>
      <c r="E200" s="6">
        <f t="shared" si="399"/>
        <v>20801</v>
      </c>
      <c r="F200" s="6">
        <f t="shared" si="399"/>
        <v>20993</v>
      </c>
      <c r="G200" s="14"/>
      <c r="H200" s="8" t="s">
        <v>36</v>
      </c>
      <c r="I200" s="13">
        <v>45944.0</v>
      </c>
      <c r="J200" s="10">
        <f t="shared" si="5"/>
        <v>41728</v>
      </c>
      <c r="K200" s="11">
        <v>20791.0</v>
      </c>
      <c r="L200" s="11">
        <v>20937.0</v>
      </c>
      <c r="M200" s="5"/>
      <c r="N200" s="8" t="s">
        <v>36</v>
      </c>
      <c r="O200" s="13">
        <v>45944.0</v>
      </c>
      <c r="P200" s="10">
        <f t="shared" si="6"/>
        <v>66</v>
      </c>
      <c r="Q200" s="11">
        <v>10.0</v>
      </c>
      <c r="R200" s="11">
        <v>56.0</v>
      </c>
      <c r="T200" s="8" t="s">
        <v>36</v>
      </c>
      <c r="U200" s="13">
        <v>45944.0</v>
      </c>
      <c r="V200" s="10">
        <f t="shared" si="7"/>
        <v>0</v>
      </c>
      <c r="W200" s="11">
        <v>0.0</v>
      </c>
      <c r="X200" s="11">
        <v>0.0</v>
      </c>
    </row>
    <row r="201">
      <c r="B201" s="6" t="str">
        <f t="shared" ref="B201:C201" si="400">H201</f>
        <v>Myingyan</v>
      </c>
      <c r="C201" s="7" t="str">
        <f t="shared" si="400"/>
        <v>15-19</v>
      </c>
      <c r="D201" s="6">
        <f t="shared" ref="D201:F201" si="401">J201+P201+V201</f>
        <v>33478</v>
      </c>
      <c r="E201" s="6">
        <f t="shared" si="401"/>
        <v>14865</v>
      </c>
      <c r="F201" s="6">
        <f t="shared" si="401"/>
        <v>18613</v>
      </c>
      <c r="G201" s="14"/>
      <c r="H201" s="8" t="s">
        <v>36</v>
      </c>
      <c r="I201" s="9" t="s">
        <v>11</v>
      </c>
      <c r="J201" s="10">
        <f t="shared" si="5"/>
        <v>29710</v>
      </c>
      <c r="K201" s="11">
        <v>14053.0</v>
      </c>
      <c r="L201" s="11">
        <v>15657.0</v>
      </c>
      <c r="M201" s="5"/>
      <c r="N201" s="8" t="s">
        <v>36</v>
      </c>
      <c r="O201" s="9" t="s">
        <v>11</v>
      </c>
      <c r="P201" s="10">
        <f t="shared" si="6"/>
        <v>3428</v>
      </c>
      <c r="Q201" s="11">
        <v>748.0</v>
      </c>
      <c r="R201" s="11">
        <v>2680.0</v>
      </c>
      <c r="T201" s="8" t="s">
        <v>36</v>
      </c>
      <c r="U201" s="9" t="s">
        <v>11</v>
      </c>
      <c r="V201" s="10">
        <f t="shared" si="7"/>
        <v>340</v>
      </c>
      <c r="W201" s="11">
        <v>64.0</v>
      </c>
      <c r="X201" s="11">
        <v>276.0</v>
      </c>
    </row>
    <row r="202">
      <c r="B202" s="6" t="str">
        <f t="shared" ref="B202:C202" si="402">H202</f>
        <v>Myingyan</v>
      </c>
      <c r="C202" s="7" t="str">
        <f t="shared" si="402"/>
        <v>20-24</v>
      </c>
      <c r="D202" s="6">
        <f t="shared" ref="D202:F202" si="403">J202+P202+V202</f>
        <v>29204</v>
      </c>
      <c r="E202" s="6">
        <f t="shared" si="403"/>
        <v>13181</v>
      </c>
      <c r="F202" s="6">
        <f t="shared" si="403"/>
        <v>16023</v>
      </c>
      <c r="G202" s="6"/>
      <c r="H202" s="8" t="s">
        <v>36</v>
      </c>
      <c r="I202" s="9" t="s">
        <v>12</v>
      </c>
      <c r="J202" s="10">
        <f t="shared" si="5"/>
        <v>13663</v>
      </c>
      <c r="K202" s="11">
        <v>7479.0</v>
      </c>
      <c r="L202" s="11">
        <v>6184.0</v>
      </c>
      <c r="M202" s="5"/>
      <c r="N202" s="8" t="s">
        <v>36</v>
      </c>
      <c r="O202" s="9" t="s">
        <v>12</v>
      </c>
      <c r="P202" s="10">
        <f t="shared" si="6"/>
        <v>14407</v>
      </c>
      <c r="Q202" s="11">
        <v>5466.0</v>
      </c>
      <c r="R202" s="11">
        <v>8941.0</v>
      </c>
      <c r="T202" s="8" t="s">
        <v>36</v>
      </c>
      <c r="U202" s="9" t="s">
        <v>12</v>
      </c>
      <c r="V202" s="10">
        <f t="shared" si="7"/>
        <v>1134</v>
      </c>
      <c r="W202" s="11">
        <v>236.0</v>
      </c>
      <c r="X202" s="11">
        <v>898.0</v>
      </c>
    </row>
    <row r="203">
      <c r="B203" s="6" t="str">
        <f t="shared" ref="B203:C203" si="404">H203</f>
        <v>Myingyan</v>
      </c>
      <c r="C203" s="7" t="str">
        <f t="shared" si="404"/>
        <v>25-29</v>
      </c>
      <c r="D203" s="6">
        <f t="shared" ref="D203:F203" si="405">J203+P203+V203</f>
        <v>26136</v>
      </c>
      <c r="E203" s="6">
        <f t="shared" si="405"/>
        <v>12204</v>
      </c>
      <c r="F203" s="6">
        <f t="shared" si="405"/>
        <v>13932</v>
      </c>
      <c r="G203" s="6"/>
      <c r="H203" s="8" t="s">
        <v>36</v>
      </c>
      <c r="I203" s="9" t="s">
        <v>13</v>
      </c>
      <c r="J203" s="10">
        <f t="shared" si="5"/>
        <v>6128</v>
      </c>
      <c r="K203" s="11">
        <v>3431.0</v>
      </c>
      <c r="L203" s="11">
        <v>2697.0</v>
      </c>
      <c r="M203" s="5"/>
      <c r="N203" s="8" t="s">
        <v>36</v>
      </c>
      <c r="O203" s="9" t="s">
        <v>13</v>
      </c>
      <c r="P203" s="10">
        <f t="shared" si="6"/>
        <v>18305</v>
      </c>
      <c r="Q203" s="11">
        <v>8377.0</v>
      </c>
      <c r="R203" s="11">
        <v>9928.0</v>
      </c>
      <c r="T203" s="1" t="s">
        <v>36</v>
      </c>
      <c r="U203" s="1" t="s">
        <v>13</v>
      </c>
      <c r="V203" s="10">
        <f t="shared" si="7"/>
        <v>1703</v>
      </c>
      <c r="W203" s="1">
        <v>396.0</v>
      </c>
      <c r="X203" s="1">
        <v>1307.0</v>
      </c>
    </row>
    <row r="204">
      <c r="B204" s="6" t="str">
        <f t="shared" ref="B204:C204" si="406">H204</f>
        <v>Myingyan</v>
      </c>
      <c r="C204" s="7" t="str">
        <f t="shared" si="406"/>
        <v>30-34</v>
      </c>
      <c r="D204" s="6">
        <f t="shared" ref="D204:F204" si="407">J204+P204+V204</f>
        <v>23368</v>
      </c>
      <c r="E204" s="6">
        <f t="shared" si="407"/>
        <v>10736</v>
      </c>
      <c r="F204" s="6">
        <f t="shared" si="407"/>
        <v>12632</v>
      </c>
      <c r="G204" s="6"/>
      <c r="H204" s="8" t="s">
        <v>36</v>
      </c>
      <c r="I204" s="8" t="s">
        <v>14</v>
      </c>
      <c r="J204" s="10">
        <f t="shared" si="5"/>
        <v>2954</v>
      </c>
      <c r="K204" s="11">
        <v>1471.0</v>
      </c>
      <c r="L204" s="11">
        <v>1483.0</v>
      </c>
      <c r="M204" s="5"/>
      <c r="N204" s="8" t="s">
        <v>36</v>
      </c>
      <c r="O204" s="8" t="s">
        <v>14</v>
      </c>
      <c r="P204" s="10">
        <f t="shared" si="6"/>
        <v>18372</v>
      </c>
      <c r="Q204" s="11">
        <v>8759.0</v>
      </c>
      <c r="R204" s="11">
        <v>9613.0</v>
      </c>
      <c r="T204" s="1" t="s">
        <v>36</v>
      </c>
      <c r="U204" s="1" t="s">
        <v>14</v>
      </c>
      <c r="V204" s="10">
        <f t="shared" si="7"/>
        <v>2042</v>
      </c>
      <c r="W204" s="1">
        <v>506.0</v>
      </c>
      <c r="X204" s="1">
        <v>1536.0</v>
      </c>
    </row>
    <row r="205">
      <c r="B205" s="6" t="str">
        <f t="shared" ref="B205:C205" si="408">H205</f>
        <v>Myingyan</v>
      </c>
      <c r="C205" s="7" t="str">
        <f t="shared" si="408"/>
        <v>35-39</v>
      </c>
      <c r="D205" s="6">
        <f t="shared" ref="D205:F205" si="409">J205+P205+V205</f>
        <v>20890</v>
      </c>
      <c r="E205" s="6">
        <f t="shared" si="409"/>
        <v>10089</v>
      </c>
      <c r="F205" s="6">
        <f t="shared" si="409"/>
        <v>10801</v>
      </c>
      <c r="G205" s="6"/>
      <c r="H205" s="8" t="s">
        <v>36</v>
      </c>
      <c r="I205" s="8" t="s">
        <v>15</v>
      </c>
      <c r="J205" s="10">
        <f t="shared" si="5"/>
        <v>1796</v>
      </c>
      <c r="K205" s="11">
        <v>896.0</v>
      </c>
      <c r="L205" s="11">
        <v>900.0</v>
      </c>
      <c r="M205" s="5"/>
      <c r="N205" s="8" t="s">
        <v>36</v>
      </c>
      <c r="O205" s="8" t="s">
        <v>15</v>
      </c>
      <c r="P205" s="10">
        <f t="shared" si="6"/>
        <v>16981</v>
      </c>
      <c r="Q205" s="11">
        <v>8677.0</v>
      </c>
      <c r="R205" s="11">
        <v>8304.0</v>
      </c>
      <c r="T205" s="1" t="s">
        <v>36</v>
      </c>
      <c r="U205" s="1" t="s">
        <v>15</v>
      </c>
      <c r="V205" s="10">
        <f t="shared" si="7"/>
        <v>2113</v>
      </c>
      <c r="W205" s="1">
        <v>516.0</v>
      </c>
      <c r="X205" s="1">
        <v>1597.0</v>
      </c>
    </row>
    <row r="206">
      <c r="B206" s="6" t="str">
        <f t="shared" ref="B206:C206" si="410">H206</f>
        <v>Myingyan</v>
      </c>
      <c r="C206" s="7" t="str">
        <f t="shared" si="410"/>
        <v>40-44</v>
      </c>
      <c r="D206" s="6">
        <f t="shared" ref="D206:F206" si="411">J206+P206+V206</f>
        <v>17916</v>
      </c>
      <c r="E206" s="6">
        <f t="shared" si="411"/>
        <v>8357</v>
      </c>
      <c r="F206" s="6">
        <f t="shared" si="411"/>
        <v>9559</v>
      </c>
      <c r="G206" s="6"/>
      <c r="H206" s="8" t="s">
        <v>36</v>
      </c>
      <c r="I206" s="8" t="s">
        <v>16</v>
      </c>
      <c r="J206" s="10">
        <f t="shared" si="5"/>
        <v>1329</v>
      </c>
      <c r="K206" s="11">
        <v>573.0</v>
      </c>
      <c r="L206" s="11">
        <v>756.0</v>
      </c>
      <c r="M206" s="5"/>
      <c r="N206" s="8" t="s">
        <v>36</v>
      </c>
      <c r="O206" s="8" t="s">
        <v>16</v>
      </c>
      <c r="P206" s="10">
        <f t="shared" si="6"/>
        <v>14088</v>
      </c>
      <c r="Q206" s="11">
        <v>7237.0</v>
      </c>
      <c r="R206" s="11">
        <v>6851.0</v>
      </c>
      <c r="T206" s="1" t="s">
        <v>36</v>
      </c>
      <c r="U206" s="1" t="s">
        <v>16</v>
      </c>
      <c r="V206" s="10">
        <f t="shared" si="7"/>
        <v>2499</v>
      </c>
      <c r="W206" s="1">
        <v>547.0</v>
      </c>
      <c r="X206" s="1">
        <v>1952.0</v>
      </c>
    </row>
    <row r="207">
      <c r="B207" s="6" t="str">
        <f t="shared" ref="B207:C207" si="412">H207</f>
        <v>Myingyan</v>
      </c>
      <c r="C207" s="7" t="str">
        <f t="shared" si="412"/>
        <v>45-49</v>
      </c>
      <c r="D207" s="6">
        <f t="shared" ref="D207:F207" si="413">J207+P207+V207</f>
        <v>12615</v>
      </c>
      <c r="E207" s="6">
        <f t="shared" si="413"/>
        <v>6122</v>
      </c>
      <c r="F207" s="6">
        <f t="shared" si="413"/>
        <v>6493</v>
      </c>
      <c r="G207" s="6"/>
      <c r="H207" s="8" t="s">
        <v>36</v>
      </c>
      <c r="I207" s="8" t="s">
        <v>17</v>
      </c>
      <c r="J207" s="10">
        <f t="shared" si="5"/>
        <v>818</v>
      </c>
      <c r="K207" s="11">
        <v>356.0</v>
      </c>
      <c r="L207" s="11">
        <v>462.0</v>
      </c>
      <c r="M207" s="5"/>
      <c r="N207" s="8" t="s">
        <v>36</v>
      </c>
      <c r="O207" s="8" t="s">
        <v>17</v>
      </c>
      <c r="P207" s="10">
        <f t="shared" si="6"/>
        <v>9667</v>
      </c>
      <c r="Q207" s="11">
        <v>5283.0</v>
      </c>
      <c r="R207" s="11">
        <v>4384.0</v>
      </c>
      <c r="T207" s="1" t="s">
        <v>36</v>
      </c>
      <c r="U207" s="1" t="s">
        <v>17</v>
      </c>
      <c r="V207" s="10">
        <f t="shared" si="7"/>
        <v>2130</v>
      </c>
      <c r="W207" s="1">
        <v>483.0</v>
      </c>
      <c r="X207" s="1">
        <v>1647.0</v>
      </c>
    </row>
    <row r="208">
      <c r="B208" s="6" t="str">
        <f t="shared" ref="B208:C208" si="414">H208</f>
        <v>Myingyan</v>
      </c>
      <c r="C208" s="7" t="str">
        <f t="shared" si="414"/>
        <v>50-54</v>
      </c>
      <c r="D208" s="6">
        <f t="shared" ref="D208:F208" si="415">J208+P208+V208</f>
        <v>12978</v>
      </c>
      <c r="E208" s="6">
        <f t="shared" si="415"/>
        <v>5680</v>
      </c>
      <c r="F208" s="6">
        <f t="shared" si="415"/>
        <v>7298</v>
      </c>
      <c r="G208" s="6"/>
      <c r="H208" s="8" t="s">
        <v>36</v>
      </c>
      <c r="I208" s="8" t="s">
        <v>18</v>
      </c>
      <c r="J208" s="10">
        <f t="shared" si="5"/>
        <v>965</v>
      </c>
      <c r="K208" s="11">
        <v>367.0</v>
      </c>
      <c r="L208" s="11">
        <v>598.0</v>
      </c>
      <c r="M208" s="5"/>
      <c r="N208" s="8" t="s">
        <v>36</v>
      </c>
      <c r="O208" s="8" t="s">
        <v>18</v>
      </c>
      <c r="P208" s="10">
        <f t="shared" si="6"/>
        <v>8870</v>
      </c>
      <c r="Q208" s="11">
        <v>4687.0</v>
      </c>
      <c r="R208" s="11">
        <v>4183.0</v>
      </c>
      <c r="T208" s="1" t="s">
        <v>36</v>
      </c>
      <c r="U208" s="1" t="s">
        <v>18</v>
      </c>
      <c r="V208" s="10">
        <f t="shared" si="7"/>
        <v>3143</v>
      </c>
      <c r="W208" s="1">
        <v>626.0</v>
      </c>
      <c r="X208" s="1">
        <v>2517.0</v>
      </c>
    </row>
    <row r="209">
      <c r="B209" s="6" t="str">
        <f t="shared" ref="B209:C209" si="416">H209</f>
        <v>Myingyan</v>
      </c>
      <c r="C209" s="7" t="str">
        <f t="shared" si="416"/>
        <v>55-59</v>
      </c>
      <c r="D209" s="6">
        <f t="shared" ref="D209:F209" si="417">J209+P209+V209</f>
        <v>8241</v>
      </c>
      <c r="E209" s="6">
        <f t="shared" si="417"/>
        <v>3671</v>
      </c>
      <c r="F209" s="6">
        <f t="shared" si="417"/>
        <v>4570</v>
      </c>
      <c r="G209" s="6"/>
      <c r="H209" s="8" t="s">
        <v>36</v>
      </c>
      <c r="I209" s="8" t="s">
        <v>19</v>
      </c>
      <c r="J209" s="10">
        <f t="shared" si="5"/>
        <v>548</v>
      </c>
      <c r="K209" s="11">
        <v>230.0</v>
      </c>
      <c r="L209" s="11">
        <v>318.0</v>
      </c>
      <c r="M209" s="5"/>
      <c r="N209" s="8" t="s">
        <v>36</v>
      </c>
      <c r="O209" s="8" t="s">
        <v>19</v>
      </c>
      <c r="P209" s="10">
        <f t="shared" si="6"/>
        <v>5328</v>
      </c>
      <c r="Q209" s="11">
        <v>2891.0</v>
      </c>
      <c r="R209" s="11">
        <v>2437.0</v>
      </c>
      <c r="T209" s="1" t="s">
        <v>36</v>
      </c>
      <c r="U209" s="1" t="s">
        <v>19</v>
      </c>
      <c r="V209" s="10">
        <f t="shared" si="7"/>
        <v>2365</v>
      </c>
      <c r="W209" s="1">
        <v>550.0</v>
      </c>
      <c r="X209" s="1">
        <v>1815.0</v>
      </c>
    </row>
    <row r="210">
      <c r="B210" s="6" t="str">
        <f t="shared" ref="B210:C210" si="418">H210</f>
        <v>Myingyan</v>
      </c>
      <c r="C210" s="7" t="str">
        <f t="shared" si="418"/>
        <v>60+</v>
      </c>
      <c r="D210" s="6">
        <f t="shared" ref="D210:F210" si="419">J210+P210+V210</f>
        <v>28498</v>
      </c>
      <c r="E210" s="6">
        <f t="shared" si="419"/>
        <v>11357</v>
      </c>
      <c r="F210" s="6">
        <f t="shared" si="419"/>
        <v>17141</v>
      </c>
      <c r="G210" s="6"/>
      <c r="H210" s="8" t="s">
        <v>36</v>
      </c>
      <c r="I210" s="8" t="s">
        <v>20</v>
      </c>
      <c r="J210" s="10">
        <f t="shared" si="5"/>
        <v>1863</v>
      </c>
      <c r="K210" s="11">
        <v>701.0</v>
      </c>
      <c r="L210" s="11">
        <v>1162.0</v>
      </c>
      <c r="M210" s="5"/>
      <c r="N210" s="8" t="s">
        <v>36</v>
      </c>
      <c r="O210" s="8" t="s">
        <v>21</v>
      </c>
      <c r="P210" s="10">
        <f t="shared" si="6"/>
        <v>12720</v>
      </c>
      <c r="Q210" s="11">
        <v>7519.0</v>
      </c>
      <c r="R210" s="11">
        <v>5201.0</v>
      </c>
      <c r="T210" s="1" t="s">
        <v>36</v>
      </c>
      <c r="U210" s="1" t="s">
        <v>21</v>
      </c>
      <c r="V210" s="10">
        <f t="shared" si="7"/>
        <v>13915</v>
      </c>
      <c r="W210" s="1">
        <v>3137.0</v>
      </c>
      <c r="X210" s="1">
        <v>10778.0</v>
      </c>
    </row>
    <row r="211">
      <c r="B211" s="6" t="str">
        <f t="shared" ref="B211:C211" si="420">H211</f>
        <v>Northern Arakan</v>
      </c>
      <c r="C211" s="7" t="str">
        <f t="shared" si="420"/>
        <v>0-4</v>
      </c>
      <c r="D211" s="6">
        <f t="shared" ref="D211:F211" si="421">J211+P211+V211</f>
        <v>1373</v>
      </c>
      <c r="E211" s="6">
        <f t="shared" si="421"/>
        <v>705</v>
      </c>
      <c r="F211" s="6">
        <f t="shared" si="421"/>
        <v>668</v>
      </c>
      <c r="G211" s="6"/>
      <c r="H211" s="8" t="s">
        <v>37</v>
      </c>
      <c r="I211" s="9" t="s">
        <v>10</v>
      </c>
      <c r="J211" s="10">
        <f t="shared" si="5"/>
        <v>1373</v>
      </c>
      <c r="K211" s="11">
        <v>705.0</v>
      </c>
      <c r="L211" s="11">
        <v>668.0</v>
      </c>
      <c r="M211" s="5"/>
      <c r="N211" s="8" t="s">
        <v>37</v>
      </c>
      <c r="O211" s="9" t="s">
        <v>10</v>
      </c>
      <c r="P211" s="10">
        <f t="shared" si="6"/>
        <v>0</v>
      </c>
      <c r="Q211" s="11">
        <v>0.0</v>
      </c>
      <c r="R211" s="11">
        <v>0.0</v>
      </c>
      <c r="T211" s="8" t="s">
        <v>37</v>
      </c>
      <c r="U211" s="9" t="s">
        <v>10</v>
      </c>
      <c r="V211" s="10">
        <f t="shared" si="7"/>
        <v>0</v>
      </c>
      <c r="W211" s="11">
        <v>0.0</v>
      </c>
      <c r="X211" s="11">
        <v>0.0</v>
      </c>
    </row>
    <row r="212">
      <c r="B212" s="6" t="str">
        <f t="shared" ref="B212:C212" si="422">H212</f>
        <v>Northern Arakan</v>
      </c>
      <c r="C212" s="12">
        <f t="shared" si="422"/>
        <v>45786</v>
      </c>
      <c r="D212" s="6">
        <f t="shared" ref="D212:F212" si="423">J212+P212+V212</f>
        <v>1682</v>
      </c>
      <c r="E212" s="6">
        <f t="shared" si="423"/>
        <v>821</v>
      </c>
      <c r="F212" s="6">
        <f t="shared" si="423"/>
        <v>861</v>
      </c>
      <c r="G212" s="6"/>
      <c r="H212" s="8" t="s">
        <v>37</v>
      </c>
      <c r="I212" s="13">
        <v>45786.0</v>
      </c>
      <c r="J212" s="10">
        <f t="shared" si="5"/>
        <v>1682</v>
      </c>
      <c r="K212" s="11">
        <v>821.0</v>
      </c>
      <c r="L212" s="11">
        <v>861.0</v>
      </c>
      <c r="M212" s="5"/>
      <c r="N212" s="8" t="s">
        <v>37</v>
      </c>
      <c r="O212" s="13">
        <v>45786.0</v>
      </c>
      <c r="P212" s="10">
        <f t="shared" si="6"/>
        <v>0</v>
      </c>
      <c r="Q212" s="11">
        <v>0.0</v>
      </c>
      <c r="R212" s="11">
        <v>0.0</v>
      </c>
      <c r="T212" s="8" t="s">
        <v>37</v>
      </c>
      <c r="U212" s="13">
        <v>45786.0</v>
      </c>
      <c r="V212" s="10">
        <f t="shared" si="7"/>
        <v>0</v>
      </c>
      <c r="W212" s="11">
        <v>0.0</v>
      </c>
      <c r="X212" s="11">
        <v>0.0</v>
      </c>
    </row>
    <row r="213">
      <c r="B213" s="6" t="str">
        <f t="shared" ref="B213:C213" si="424">H213</f>
        <v>Northern Arakan</v>
      </c>
      <c r="C213" s="12">
        <f t="shared" si="424"/>
        <v>45944</v>
      </c>
      <c r="D213" s="6">
        <f t="shared" ref="D213:F213" si="425">J213+P213+V213</f>
        <v>1486</v>
      </c>
      <c r="E213" s="6">
        <f t="shared" si="425"/>
        <v>765</v>
      </c>
      <c r="F213" s="6">
        <f t="shared" si="425"/>
        <v>721</v>
      </c>
      <c r="G213" s="6"/>
      <c r="H213" s="8" t="s">
        <v>37</v>
      </c>
      <c r="I213" s="13">
        <v>45944.0</v>
      </c>
      <c r="J213" s="10">
        <f t="shared" si="5"/>
        <v>1463</v>
      </c>
      <c r="K213" s="11">
        <v>757.0</v>
      </c>
      <c r="L213" s="11">
        <v>706.0</v>
      </c>
      <c r="M213" s="5"/>
      <c r="N213" s="8" t="s">
        <v>37</v>
      </c>
      <c r="O213" s="13">
        <v>45944.0</v>
      </c>
      <c r="P213" s="10">
        <f t="shared" si="6"/>
        <v>22</v>
      </c>
      <c r="Q213" s="11">
        <v>7.0</v>
      </c>
      <c r="R213" s="11">
        <v>15.0</v>
      </c>
      <c r="T213" s="8" t="s">
        <v>37</v>
      </c>
      <c r="U213" s="13">
        <v>45944.0</v>
      </c>
      <c r="V213" s="10">
        <f t="shared" si="7"/>
        <v>1</v>
      </c>
      <c r="W213" s="11">
        <v>1.0</v>
      </c>
      <c r="X213" s="11">
        <v>0.0</v>
      </c>
    </row>
    <row r="214">
      <c r="B214" s="6" t="str">
        <f t="shared" ref="B214:C214" si="426">H214</f>
        <v>Northern Arakan</v>
      </c>
      <c r="C214" s="7" t="str">
        <f t="shared" si="426"/>
        <v>15-19</v>
      </c>
      <c r="D214" s="6">
        <f t="shared" ref="D214:F214" si="427">J214+P214+V214</f>
        <v>1331</v>
      </c>
      <c r="E214" s="6">
        <f t="shared" si="427"/>
        <v>627</v>
      </c>
      <c r="F214" s="6">
        <f t="shared" si="427"/>
        <v>704</v>
      </c>
      <c r="G214" s="6"/>
      <c r="H214" s="8" t="s">
        <v>37</v>
      </c>
      <c r="I214" s="9" t="s">
        <v>11</v>
      </c>
      <c r="J214" s="10">
        <f t="shared" si="5"/>
        <v>969</v>
      </c>
      <c r="K214" s="11">
        <v>555.0</v>
      </c>
      <c r="L214" s="11">
        <v>414.0</v>
      </c>
      <c r="M214" s="5"/>
      <c r="N214" s="8" t="s">
        <v>37</v>
      </c>
      <c r="O214" s="9" t="s">
        <v>11</v>
      </c>
      <c r="P214" s="10">
        <f t="shared" si="6"/>
        <v>358</v>
      </c>
      <c r="Q214" s="11">
        <v>68.0</v>
      </c>
      <c r="R214" s="11">
        <v>290.0</v>
      </c>
      <c r="T214" s="8" t="s">
        <v>37</v>
      </c>
      <c r="U214" s="8" t="s">
        <v>11</v>
      </c>
      <c r="V214" s="10">
        <f t="shared" si="7"/>
        <v>4</v>
      </c>
      <c r="W214" s="11">
        <v>4.0</v>
      </c>
      <c r="X214" s="11">
        <v>0.0</v>
      </c>
    </row>
    <row r="215">
      <c r="B215" s="6" t="str">
        <f t="shared" ref="B215:C215" si="428">H215</f>
        <v>Northern Arakan</v>
      </c>
      <c r="C215" s="7" t="str">
        <f t="shared" si="428"/>
        <v>20-24</v>
      </c>
      <c r="D215" s="6">
        <f t="shared" ref="D215:F215" si="429">J215+P215+V215</f>
        <v>1586</v>
      </c>
      <c r="E215" s="6">
        <f t="shared" si="429"/>
        <v>737</v>
      </c>
      <c r="F215" s="6">
        <f t="shared" si="429"/>
        <v>849</v>
      </c>
      <c r="G215" s="6"/>
      <c r="H215" s="8" t="s">
        <v>37</v>
      </c>
      <c r="I215" s="9" t="s">
        <v>12</v>
      </c>
      <c r="J215" s="10">
        <f t="shared" si="5"/>
        <v>457</v>
      </c>
      <c r="K215" s="11">
        <v>336.0</v>
      </c>
      <c r="L215" s="11">
        <v>121.0</v>
      </c>
      <c r="M215" s="5"/>
      <c r="N215" s="8" t="s">
        <v>37</v>
      </c>
      <c r="O215" s="9" t="s">
        <v>12</v>
      </c>
      <c r="P215" s="10">
        <f t="shared" si="6"/>
        <v>1109</v>
      </c>
      <c r="Q215" s="11">
        <v>390.0</v>
      </c>
      <c r="R215" s="11">
        <v>719.0</v>
      </c>
      <c r="T215" s="8" t="s">
        <v>37</v>
      </c>
      <c r="U215" s="8" t="s">
        <v>12</v>
      </c>
      <c r="V215" s="10">
        <f t="shared" si="7"/>
        <v>20</v>
      </c>
      <c r="W215" s="11">
        <v>11.0</v>
      </c>
      <c r="X215" s="11">
        <v>9.0</v>
      </c>
    </row>
    <row r="216">
      <c r="B216" s="6" t="str">
        <f t="shared" ref="B216:C216" si="430">H216</f>
        <v>Northern Arakan</v>
      </c>
      <c r="C216" s="7" t="str">
        <f t="shared" si="430"/>
        <v>25-29</v>
      </c>
      <c r="D216" s="6">
        <f t="shared" ref="D216:F216" si="431">J216+P216+V216</f>
        <v>1423</v>
      </c>
      <c r="E216" s="6">
        <f t="shared" si="431"/>
        <v>710</v>
      </c>
      <c r="F216" s="6">
        <f t="shared" si="431"/>
        <v>713</v>
      </c>
      <c r="G216" s="6"/>
      <c r="H216" s="8" t="s">
        <v>37</v>
      </c>
      <c r="I216" s="9" t="s">
        <v>13</v>
      </c>
      <c r="J216" s="10">
        <f t="shared" si="5"/>
        <v>165</v>
      </c>
      <c r="K216" s="11">
        <v>140.0</v>
      </c>
      <c r="L216" s="11">
        <v>25.0</v>
      </c>
      <c r="M216" s="5"/>
      <c r="N216" s="8" t="s">
        <v>37</v>
      </c>
      <c r="O216" s="9" t="s">
        <v>13</v>
      </c>
      <c r="P216" s="10">
        <f t="shared" si="6"/>
        <v>1235</v>
      </c>
      <c r="Q216" s="11">
        <v>560.0</v>
      </c>
      <c r="R216" s="11">
        <v>675.0</v>
      </c>
      <c r="T216" s="8" t="s">
        <v>37</v>
      </c>
      <c r="U216" s="8" t="s">
        <v>13</v>
      </c>
      <c r="V216" s="10">
        <f t="shared" si="7"/>
        <v>23</v>
      </c>
      <c r="W216" s="11">
        <v>10.0</v>
      </c>
      <c r="X216" s="11">
        <v>13.0</v>
      </c>
    </row>
    <row r="217">
      <c r="B217" s="6" t="str">
        <f t="shared" ref="B217:C217" si="432">H217</f>
        <v>Northern Arakan</v>
      </c>
      <c r="C217" s="7" t="str">
        <f t="shared" si="432"/>
        <v>30-34</v>
      </c>
      <c r="D217" s="6">
        <f t="shared" ref="D217:F217" si="433">J217+P217+V217</f>
        <v>1643</v>
      </c>
      <c r="E217" s="6">
        <f t="shared" si="433"/>
        <v>920</v>
      </c>
      <c r="F217" s="6">
        <f t="shared" si="433"/>
        <v>723</v>
      </c>
      <c r="G217" s="6"/>
      <c r="H217" s="8" t="s">
        <v>37</v>
      </c>
      <c r="I217" s="8" t="s">
        <v>14</v>
      </c>
      <c r="J217" s="10">
        <f t="shared" si="5"/>
        <v>91</v>
      </c>
      <c r="K217" s="11">
        <v>72.0</v>
      </c>
      <c r="L217" s="11">
        <v>19.0</v>
      </c>
      <c r="M217" s="5"/>
      <c r="N217" s="8" t="s">
        <v>37</v>
      </c>
      <c r="O217" s="8" t="s">
        <v>14</v>
      </c>
      <c r="P217" s="10">
        <f t="shared" si="6"/>
        <v>1497</v>
      </c>
      <c r="Q217" s="11">
        <v>816.0</v>
      </c>
      <c r="R217" s="11">
        <v>681.0</v>
      </c>
      <c r="T217" s="8" t="s">
        <v>37</v>
      </c>
      <c r="U217" s="8" t="s">
        <v>14</v>
      </c>
      <c r="V217" s="10">
        <f t="shared" si="7"/>
        <v>55</v>
      </c>
      <c r="W217" s="11">
        <v>32.0</v>
      </c>
      <c r="X217" s="11">
        <v>23.0</v>
      </c>
    </row>
    <row r="218">
      <c r="B218" s="6" t="str">
        <f t="shared" ref="B218:C218" si="434">H218</f>
        <v>Northern Arakan</v>
      </c>
      <c r="C218" s="7" t="str">
        <f t="shared" si="434"/>
        <v>35-39</v>
      </c>
      <c r="D218" s="6">
        <f t="shared" ref="D218:F218" si="435">J218+P218+V218</f>
        <v>814</v>
      </c>
      <c r="E218" s="6">
        <f t="shared" si="435"/>
        <v>440</v>
      </c>
      <c r="F218" s="6">
        <f t="shared" si="435"/>
        <v>374</v>
      </c>
      <c r="G218" s="6"/>
      <c r="H218" s="8" t="s">
        <v>37</v>
      </c>
      <c r="I218" s="8" t="s">
        <v>15</v>
      </c>
      <c r="J218" s="10">
        <f t="shared" si="5"/>
        <v>32</v>
      </c>
      <c r="K218" s="11">
        <v>21.0</v>
      </c>
      <c r="L218" s="11">
        <v>11.0</v>
      </c>
      <c r="M218" s="5"/>
      <c r="N218" s="8" t="s">
        <v>37</v>
      </c>
      <c r="O218" s="8" t="s">
        <v>15</v>
      </c>
      <c r="P218" s="10">
        <f t="shared" si="6"/>
        <v>751</v>
      </c>
      <c r="Q218" s="11">
        <v>400.0</v>
      </c>
      <c r="R218" s="11">
        <v>351.0</v>
      </c>
      <c r="T218" s="8" t="s">
        <v>37</v>
      </c>
      <c r="U218" s="8" t="s">
        <v>15</v>
      </c>
      <c r="V218" s="10">
        <f t="shared" si="7"/>
        <v>31</v>
      </c>
      <c r="W218" s="11">
        <v>19.0</v>
      </c>
      <c r="X218" s="11">
        <v>12.0</v>
      </c>
    </row>
    <row r="219">
      <c r="B219" s="6" t="str">
        <f t="shared" ref="B219:C219" si="436">H219</f>
        <v>Northern Arakan</v>
      </c>
      <c r="C219" s="7" t="str">
        <f t="shared" si="436"/>
        <v>40-44</v>
      </c>
      <c r="D219" s="6">
        <f t="shared" ref="D219:F219" si="437">J219+P219+V219</f>
        <v>1106</v>
      </c>
      <c r="E219" s="6">
        <f t="shared" si="437"/>
        <v>608</v>
      </c>
      <c r="F219" s="6">
        <f t="shared" si="437"/>
        <v>498</v>
      </c>
      <c r="G219" s="6"/>
      <c r="H219" s="8" t="s">
        <v>37</v>
      </c>
      <c r="I219" s="8" t="s">
        <v>16</v>
      </c>
      <c r="J219" s="10">
        <f t="shared" si="5"/>
        <v>22</v>
      </c>
      <c r="K219" s="11">
        <v>11.0</v>
      </c>
      <c r="L219" s="11">
        <v>11.0</v>
      </c>
      <c r="M219" s="5"/>
      <c r="N219" s="8" t="s">
        <v>37</v>
      </c>
      <c r="O219" s="8" t="s">
        <v>16</v>
      </c>
      <c r="P219" s="10">
        <f t="shared" si="6"/>
        <v>1014</v>
      </c>
      <c r="Q219" s="11">
        <v>564.0</v>
      </c>
      <c r="R219" s="11">
        <v>450.0</v>
      </c>
      <c r="T219" s="8" t="s">
        <v>37</v>
      </c>
      <c r="U219" s="8" t="s">
        <v>16</v>
      </c>
      <c r="V219" s="10">
        <f t="shared" si="7"/>
        <v>70</v>
      </c>
      <c r="W219" s="11">
        <v>33.0</v>
      </c>
      <c r="X219" s="11">
        <v>37.0</v>
      </c>
    </row>
    <row r="220">
      <c r="B220" s="6" t="str">
        <f t="shared" ref="B220:C220" si="438">H220</f>
        <v>Northern Arakan</v>
      </c>
      <c r="C220" s="7" t="str">
        <f t="shared" si="438"/>
        <v>45-49</v>
      </c>
      <c r="D220" s="6">
        <f t="shared" ref="D220:F220" si="439">J220+P220+V220</f>
        <v>491</v>
      </c>
      <c r="E220" s="6">
        <f t="shared" si="439"/>
        <v>291</v>
      </c>
      <c r="F220" s="6">
        <f t="shared" si="439"/>
        <v>200</v>
      </c>
      <c r="G220" s="6"/>
      <c r="H220" s="8" t="s">
        <v>37</v>
      </c>
      <c r="I220" s="8" t="s">
        <v>17</v>
      </c>
      <c r="J220" s="10">
        <f t="shared" si="5"/>
        <v>33</v>
      </c>
      <c r="K220" s="11">
        <v>22.0</v>
      </c>
      <c r="L220" s="11">
        <v>11.0</v>
      </c>
      <c r="M220" s="5"/>
      <c r="N220" s="8" t="s">
        <v>37</v>
      </c>
      <c r="O220" s="8" t="s">
        <v>17</v>
      </c>
      <c r="P220" s="10">
        <f t="shared" si="6"/>
        <v>428</v>
      </c>
      <c r="Q220" s="11">
        <v>264.0</v>
      </c>
      <c r="R220" s="11">
        <v>164.0</v>
      </c>
      <c r="T220" s="8" t="s">
        <v>37</v>
      </c>
      <c r="U220" s="8" t="s">
        <v>17</v>
      </c>
      <c r="V220" s="10">
        <f t="shared" si="7"/>
        <v>30</v>
      </c>
      <c r="W220" s="11">
        <v>5.0</v>
      </c>
      <c r="X220" s="11">
        <v>25.0</v>
      </c>
    </row>
    <row r="221">
      <c r="B221" s="6" t="str">
        <f t="shared" ref="B221:C221" si="440">H221</f>
        <v>Northern Arakan</v>
      </c>
      <c r="C221" s="7" t="str">
        <f t="shared" si="440"/>
        <v>50-54</v>
      </c>
      <c r="D221" s="6">
        <f t="shared" ref="D221:F221" si="441">J221+P221+V221</f>
        <v>845</v>
      </c>
      <c r="E221" s="6">
        <f t="shared" si="441"/>
        <v>423</v>
      </c>
      <c r="F221" s="6">
        <f t="shared" si="441"/>
        <v>422</v>
      </c>
      <c r="G221" s="6"/>
      <c r="H221" s="8" t="s">
        <v>37</v>
      </c>
      <c r="I221" s="8" t="s">
        <v>18</v>
      </c>
      <c r="J221" s="10">
        <f t="shared" si="5"/>
        <v>37</v>
      </c>
      <c r="K221" s="11">
        <v>22.0</v>
      </c>
      <c r="L221" s="11">
        <v>15.0</v>
      </c>
      <c r="M221" s="5"/>
      <c r="N221" s="8" t="s">
        <v>37</v>
      </c>
      <c r="O221" s="8" t="s">
        <v>18</v>
      </c>
      <c r="P221" s="10">
        <f t="shared" si="6"/>
        <v>762</v>
      </c>
      <c r="Q221" s="11">
        <v>381.0</v>
      </c>
      <c r="R221" s="11">
        <v>381.0</v>
      </c>
      <c r="T221" s="8" t="s">
        <v>37</v>
      </c>
      <c r="U221" s="8" t="s">
        <v>18</v>
      </c>
      <c r="V221" s="10">
        <f t="shared" si="7"/>
        <v>46</v>
      </c>
      <c r="W221" s="11">
        <v>20.0</v>
      </c>
      <c r="X221" s="11">
        <v>26.0</v>
      </c>
    </row>
    <row r="222">
      <c r="B222" s="6" t="str">
        <f t="shared" ref="B222:C222" si="442">H222</f>
        <v>Northern Arakan</v>
      </c>
      <c r="C222" s="7" t="str">
        <f t="shared" si="442"/>
        <v>55-59</v>
      </c>
      <c r="D222" s="6">
        <f t="shared" ref="D222:F222" si="443">J222+P222+V222</f>
        <v>306</v>
      </c>
      <c r="E222" s="6">
        <f t="shared" si="443"/>
        <v>201</v>
      </c>
      <c r="F222" s="6">
        <f t="shared" si="443"/>
        <v>105</v>
      </c>
      <c r="G222" s="6"/>
      <c r="H222" s="8" t="s">
        <v>37</v>
      </c>
      <c r="I222" s="8" t="s">
        <v>19</v>
      </c>
      <c r="J222" s="10">
        <f t="shared" si="5"/>
        <v>22</v>
      </c>
      <c r="K222" s="11">
        <v>13.0</v>
      </c>
      <c r="L222" s="11">
        <v>9.0</v>
      </c>
      <c r="M222" s="5"/>
      <c r="N222" s="8" t="s">
        <v>37</v>
      </c>
      <c r="O222" s="8" t="s">
        <v>19</v>
      </c>
      <c r="P222" s="10">
        <f t="shared" si="6"/>
        <v>210</v>
      </c>
      <c r="Q222" s="11">
        <v>129.0</v>
      </c>
      <c r="R222" s="11">
        <v>81.0</v>
      </c>
      <c r="T222" s="8" t="s">
        <v>37</v>
      </c>
      <c r="U222" s="8" t="s">
        <v>19</v>
      </c>
      <c r="V222" s="10">
        <f t="shared" si="7"/>
        <v>74</v>
      </c>
      <c r="W222" s="11">
        <v>59.0</v>
      </c>
      <c r="X222" s="11">
        <v>15.0</v>
      </c>
    </row>
    <row r="223">
      <c r="B223" s="6" t="str">
        <f t="shared" ref="B223:C223" si="444">H223</f>
        <v>Northern Arakan</v>
      </c>
      <c r="C223" s="7" t="str">
        <f t="shared" si="444"/>
        <v>60+</v>
      </c>
      <c r="D223" s="6">
        <f t="shared" ref="D223:F223" si="445">J223+P223+V223</f>
        <v>610</v>
      </c>
      <c r="E223" s="6">
        <f t="shared" si="445"/>
        <v>415</v>
      </c>
      <c r="F223" s="6">
        <f t="shared" si="445"/>
        <v>195</v>
      </c>
      <c r="G223" s="6"/>
      <c r="H223" s="8" t="s">
        <v>37</v>
      </c>
      <c r="I223" s="8" t="s">
        <v>20</v>
      </c>
      <c r="J223" s="10">
        <f t="shared" si="5"/>
        <v>58</v>
      </c>
      <c r="K223" s="11">
        <v>36.0</v>
      </c>
      <c r="L223" s="11">
        <v>22.0</v>
      </c>
      <c r="M223" s="5"/>
      <c r="N223" s="8" t="s">
        <v>37</v>
      </c>
      <c r="O223" s="8" t="s">
        <v>21</v>
      </c>
      <c r="P223" s="10">
        <f t="shared" si="6"/>
        <v>465</v>
      </c>
      <c r="Q223" s="11">
        <v>346.0</v>
      </c>
      <c r="R223" s="11">
        <v>119.0</v>
      </c>
      <c r="T223" s="8" t="s">
        <v>37</v>
      </c>
      <c r="U223" s="8" t="s">
        <v>21</v>
      </c>
      <c r="V223" s="10">
        <f t="shared" si="7"/>
        <v>87</v>
      </c>
      <c r="W223" s="11">
        <v>33.0</v>
      </c>
      <c r="X223" s="11">
        <v>54.0</v>
      </c>
    </row>
    <row r="224">
      <c r="B224" s="6" t="str">
        <f t="shared" ref="B224:C224" si="446">H224</f>
        <v>Pakôkkû</v>
      </c>
      <c r="C224" s="7" t="str">
        <f t="shared" si="446"/>
        <v>0-4</v>
      </c>
      <c r="D224" s="6">
        <f t="shared" ref="D224:F224" si="447">J224+P224+V224</f>
        <v>43753</v>
      </c>
      <c r="E224" s="6">
        <f t="shared" si="447"/>
        <v>21444</v>
      </c>
      <c r="F224" s="6">
        <f t="shared" si="447"/>
        <v>22309</v>
      </c>
      <c r="G224" s="6"/>
      <c r="H224" s="8" t="s">
        <v>38</v>
      </c>
      <c r="I224" s="9" t="s">
        <v>10</v>
      </c>
      <c r="J224" s="10">
        <f t="shared" si="5"/>
        <v>43753</v>
      </c>
      <c r="K224" s="11">
        <v>21444.0</v>
      </c>
      <c r="L224" s="11">
        <v>22309.0</v>
      </c>
      <c r="M224" s="5"/>
      <c r="N224" s="8" t="s">
        <v>38</v>
      </c>
      <c r="O224" s="9" t="s">
        <v>10</v>
      </c>
      <c r="P224" s="10">
        <f t="shared" si="6"/>
        <v>0</v>
      </c>
      <c r="Q224" s="11">
        <v>0.0</v>
      </c>
      <c r="R224" s="11">
        <v>0.0</v>
      </c>
      <c r="T224" s="8" t="s">
        <v>38</v>
      </c>
      <c r="U224" s="9" t="s">
        <v>10</v>
      </c>
      <c r="V224" s="10">
        <f t="shared" si="7"/>
        <v>0</v>
      </c>
      <c r="W224" s="11">
        <v>0.0</v>
      </c>
      <c r="X224" s="11">
        <v>0.0</v>
      </c>
    </row>
    <row r="225">
      <c r="B225" s="6" t="str">
        <f t="shared" ref="B225:C225" si="448">H225</f>
        <v>Pakôkkû</v>
      </c>
      <c r="C225" s="12">
        <f t="shared" si="448"/>
        <v>45786</v>
      </c>
      <c r="D225" s="6">
        <f t="shared" ref="D225:F225" si="449">J225+P225+V225</f>
        <v>38511</v>
      </c>
      <c r="E225" s="6">
        <f t="shared" si="449"/>
        <v>19044</v>
      </c>
      <c r="F225" s="6">
        <f t="shared" si="449"/>
        <v>19467</v>
      </c>
      <c r="G225" s="6"/>
      <c r="H225" s="8" t="s">
        <v>38</v>
      </c>
      <c r="I225" s="13">
        <v>45786.0</v>
      </c>
      <c r="J225" s="10">
        <f t="shared" si="5"/>
        <v>38511</v>
      </c>
      <c r="K225" s="11">
        <v>19044.0</v>
      </c>
      <c r="L225" s="11">
        <v>19467.0</v>
      </c>
      <c r="M225" s="5"/>
      <c r="N225" s="8" t="s">
        <v>38</v>
      </c>
      <c r="O225" s="13">
        <v>45786.0</v>
      </c>
      <c r="P225" s="10">
        <f t="shared" si="6"/>
        <v>0</v>
      </c>
      <c r="Q225" s="11">
        <v>0.0</v>
      </c>
      <c r="R225" s="11">
        <v>0.0</v>
      </c>
      <c r="T225" s="8" t="s">
        <v>38</v>
      </c>
      <c r="U225" s="13">
        <v>45786.0</v>
      </c>
      <c r="V225" s="10">
        <f t="shared" si="7"/>
        <v>0</v>
      </c>
      <c r="W225" s="11">
        <v>0.0</v>
      </c>
      <c r="X225" s="11">
        <v>0.0</v>
      </c>
    </row>
    <row r="226">
      <c r="B226" s="6" t="str">
        <f t="shared" ref="B226:C226" si="450">H226</f>
        <v>Pakôkkû</v>
      </c>
      <c r="C226" s="12">
        <f t="shared" si="450"/>
        <v>45944</v>
      </c>
      <c r="D226" s="6">
        <f t="shared" ref="D226:F226" si="451">J226+P226+V226</f>
        <v>34980</v>
      </c>
      <c r="E226" s="6">
        <f t="shared" si="451"/>
        <v>17655</v>
      </c>
      <c r="F226" s="6">
        <f t="shared" si="451"/>
        <v>17325</v>
      </c>
      <c r="G226" s="6"/>
      <c r="H226" s="8" t="s">
        <v>38</v>
      </c>
      <c r="I226" s="13">
        <v>45944.0</v>
      </c>
      <c r="J226" s="10">
        <f t="shared" si="5"/>
        <v>34861</v>
      </c>
      <c r="K226" s="11">
        <v>17627.0</v>
      </c>
      <c r="L226" s="11">
        <v>17234.0</v>
      </c>
      <c r="M226" s="5"/>
      <c r="N226" s="8" t="s">
        <v>38</v>
      </c>
      <c r="O226" s="13">
        <v>45944.0</v>
      </c>
      <c r="P226" s="10">
        <f t="shared" si="6"/>
        <v>115</v>
      </c>
      <c r="Q226" s="11">
        <v>27.0</v>
      </c>
      <c r="R226" s="11">
        <v>88.0</v>
      </c>
      <c r="T226" s="8" t="s">
        <v>38</v>
      </c>
      <c r="U226" s="13">
        <v>45944.0</v>
      </c>
      <c r="V226" s="10">
        <f t="shared" si="7"/>
        <v>4</v>
      </c>
      <c r="W226" s="11">
        <v>1.0</v>
      </c>
      <c r="X226" s="11">
        <v>3.0</v>
      </c>
    </row>
    <row r="227">
      <c r="B227" s="6" t="str">
        <f t="shared" ref="B227:C227" si="452">H227</f>
        <v>Pakôkkû</v>
      </c>
      <c r="C227" s="7" t="str">
        <f t="shared" si="452"/>
        <v>15-19</v>
      </c>
      <c r="D227" s="6">
        <f t="shared" ref="D227:F227" si="453">J227+P227+V227</f>
        <v>28399</v>
      </c>
      <c r="E227" s="6">
        <f t="shared" si="453"/>
        <v>12897</v>
      </c>
      <c r="F227" s="6">
        <f t="shared" si="453"/>
        <v>15502</v>
      </c>
      <c r="G227" s="6"/>
      <c r="H227" s="8" t="s">
        <v>38</v>
      </c>
      <c r="I227" s="9" t="s">
        <v>11</v>
      </c>
      <c r="J227" s="10">
        <f t="shared" si="5"/>
        <v>23634</v>
      </c>
      <c r="K227" s="11">
        <v>11830.0</v>
      </c>
      <c r="L227" s="11">
        <v>11804.0</v>
      </c>
      <c r="M227" s="5"/>
      <c r="N227" s="8" t="s">
        <v>38</v>
      </c>
      <c r="O227" s="9" t="s">
        <v>11</v>
      </c>
      <c r="P227" s="10">
        <f t="shared" si="6"/>
        <v>4405</v>
      </c>
      <c r="Q227" s="11">
        <v>1014.0</v>
      </c>
      <c r="R227" s="11">
        <v>3391.0</v>
      </c>
      <c r="T227" s="8" t="s">
        <v>38</v>
      </c>
      <c r="U227" s="9" t="s">
        <v>11</v>
      </c>
      <c r="V227" s="10">
        <f t="shared" si="7"/>
        <v>360</v>
      </c>
      <c r="W227" s="11">
        <v>53.0</v>
      </c>
      <c r="X227" s="11">
        <v>307.0</v>
      </c>
    </row>
    <row r="228">
      <c r="B228" s="6" t="str">
        <f t="shared" ref="B228:C228" si="454">H228</f>
        <v>Pakôkkû</v>
      </c>
      <c r="C228" s="7" t="str">
        <f t="shared" si="454"/>
        <v>20-24</v>
      </c>
      <c r="D228" s="6">
        <f t="shared" ref="D228:F228" si="455">J228+P228+V228</f>
        <v>24762</v>
      </c>
      <c r="E228" s="6">
        <f t="shared" si="455"/>
        <v>11596</v>
      </c>
      <c r="F228" s="6">
        <f t="shared" si="455"/>
        <v>13166</v>
      </c>
      <c r="G228" s="6"/>
      <c r="H228" s="8" t="s">
        <v>38</v>
      </c>
      <c r="I228" s="9" t="s">
        <v>12</v>
      </c>
      <c r="J228" s="10">
        <f t="shared" si="5"/>
        <v>10201</v>
      </c>
      <c r="K228" s="11">
        <v>5974.0</v>
      </c>
      <c r="L228" s="11">
        <v>4227.0</v>
      </c>
      <c r="M228" s="5"/>
      <c r="N228" s="8" t="s">
        <v>38</v>
      </c>
      <c r="O228" s="9" t="s">
        <v>12</v>
      </c>
      <c r="P228" s="10">
        <f t="shared" si="6"/>
        <v>13483</v>
      </c>
      <c r="Q228" s="11">
        <v>5401.0</v>
      </c>
      <c r="R228" s="11">
        <v>8082.0</v>
      </c>
      <c r="T228" s="8" t="s">
        <v>38</v>
      </c>
      <c r="U228" s="9" t="s">
        <v>12</v>
      </c>
      <c r="V228" s="10">
        <f t="shared" si="7"/>
        <v>1078</v>
      </c>
      <c r="W228" s="11">
        <v>221.0</v>
      </c>
      <c r="X228" s="11">
        <v>857.0</v>
      </c>
    </row>
    <row r="229">
      <c r="B229" s="6" t="str">
        <f t="shared" ref="B229:C229" si="456">H229</f>
        <v>Pakôkkû</v>
      </c>
      <c r="C229" s="7" t="str">
        <f t="shared" si="456"/>
        <v>25-29</v>
      </c>
      <c r="D229" s="6">
        <f t="shared" ref="D229:F229" si="457">J229+P229+V229</f>
        <v>20952</v>
      </c>
      <c r="E229" s="6">
        <f t="shared" si="457"/>
        <v>9787</v>
      </c>
      <c r="F229" s="6">
        <f t="shared" si="457"/>
        <v>11165</v>
      </c>
      <c r="G229" s="6"/>
      <c r="H229" s="8" t="s">
        <v>38</v>
      </c>
      <c r="I229" s="9" t="s">
        <v>13</v>
      </c>
      <c r="J229" s="10">
        <f t="shared" si="5"/>
        <v>3904</v>
      </c>
      <c r="K229" s="11">
        <v>2226.0</v>
      </c>
      <c r="L229" s="11">
        <v>1678.0</v>
      </c>
      <c r="M229" s="5"/>
      <c r="N229" s="8" t="s">
        <v>38</v>
      </c>
      <c r="O229" s="9" t="s">
        <v>13</v>
      </c>
      <c r="P229" s="10">
        <f t="shared" si="6"/>
        <v>15669</v>
      </c>
      <c r="Q229" s="11">
        <v>7213.0</v>
      </c>
      <c r="R229" s="11">
        <v>8456.0</v>
      </c>
      <c r="T229" s="1" t="s">
        <v>38</v>
      </c>
      <c r="U229" s="1" t="s">
        <v>13</v>
      </c>
      <c r="V229" s="10">
        <f t="shared" si="7"/>
        <v>1379</v>
      </c>
      <c r="W229" s="1">
        <v>348.0</v>
      </c>
      <c r="X229" s="1">
        <v>1031.0</v>
      </c>
    </row>
    <row r="230">
      <c r="B230" s="6" t="str">
        <f t="shared" ref="B230:C230" si="458">H230</f>
        <v>Pakôkkû</v>
      </c>
      <c r="C230" s="7" t="str">
        <f t="shared" si="458"/>
        <v>30-34</v>
      </c>
      <c r="D230" s="6">
        <f t="shared" ref="D230:F230" si="459">J230+P230+V230</f>
        <v>20228</v>
      </c>
      <c r="E230" s="6">
        <f t="shared" si="459"/>
        <v>9585</v>
      </c>
      <c r="F230" s="6">
        <f t="shared" si="459"/>
        <v>10643</v>
      </c>
      <c r="G230" s="6"/>
      <c r="H230" s="8" t="s">
        <v>38</v>
      </c>
      <c r="I230" s="8" t="s">
        <v>14</v>
      </c>
      <c r="J230" s="10">
        <f t="shared" si="5"/>
        <v>2045</v>
      </c>
      <c r="K230" s="11">
        <v>1027.0</v>
      </c>
      <c r="L230" s="11">
        <v>1018.0</v>
      </c>
      <c r="M230" s="5"/>
      <c r="N230" s="8" t="s">
        <v>38</v>
      </c>
      <c r="O230" s="8" t="s">
        <v>14</v>
      </c>
      <c r="P230" s="10">
        <f t="shared" si="6"/>
        <v>16567</v>
      </c>
      <c r="Q230" s="11">
        <v>8202.0</v>
      </c>
      <c r="R230" s="11">
        <v>8365.0</v>
      </c>
      <c r="T230" s="1" t="s">
        <v>38</v>
      </c>
      <c r="U230" s="1" t="s">
        <v>14</v>
      </c>
      <c r="V230" s="10">
        <f t="shared" si="7"/>
        <v>1616</v>
      </c>
      <c r="W230" s="1">
        <v>356.0</v>
      </c>
      <c r="X230" s="1">
        <v>1260.0</v>
      </c>
    </row>
    <row r="231">
      <c r="B231" s="6" t="str">
        <f t="shared" ref="B231:C231" si="460">H231</f>
        <v>Pakôkkû</v>
      </c>
      <c r="C231" s="7" t="str">
        <f t="shared" si="460"/>
        <v>35-39</v>
      </c>
      <c r="D231" s="6">
        <f t="shared" ref="D231:F231" si="461">J231+P231+V231</f>
        <v>18303</v>
      </c>
      <c r="E231" s="6">
        <f t="shared" si="461"/>
        <v>8876</v>
      </c>
      <c r="F231" s="6">
        <f t="shared" si="461"/>
        <v>9427</v>
      </c>
      <c r="G231" s="6"/>
      <c r="H231" s="8" t="s">
        <v>38</v>
      </c>
      <c r="I231" s="8" t="s">
        <v>15</v>
      </c>
      <c r="J231" s="10">
        <f t="shared" si="5"/>
        <v>1347</v>
      </c>
      <c r="K231" s="11">
        <v>629.0</v>
      </c>
      <c r="L231" s="11">
        <v>718.0</v>
      </c>
      <c r="M231" s="5"/>
      <c r="N231" s="8" t="s">
        <v>38</v>
      </c>
      <c r="O231" s="8" t="s">
        <v>15</v>
      </c>
      <c r="P231" s="10">
        <f t="shared" si="6"/>
        <v>15217</v>
      </c>
      <c r="Q231" s="11">
        <v>7841.0</v>
      </c>
      <c r="R231" s="11">
        <v>7376.0</v>
      </c>
      <c r="T231" s="1" t="s">
        <v>38</v>
      </c>
      <c r="U231" s="1" t="s">
        <v>15</v>
      </c>
      <c r="V231" s="10">
        <f t="shared" si="7"/>
        <v>1739</v>
      </c>
      <c r="W231" s="1">
        <v>406.0</v>
      </c>
      <c r="X231" s="1">
        <v>1333.0</v>
      </c>
    </row>
    <row r="232">
      <c r="B232" s="6" t="str">
        <f t="shared" ref="B232:C232" si="462">H232</f>
        <v>Pakôkkû</v>
      </c>
      <c r="C232" s="7" t="str">
        <f t="shared" si="462"/>
        <v>40-44</v>
      </c>
      <c r="D232" s="6">
        <f t="shared" ref="D232:F232" si="463">J232+P232+V232</f>
        <v>16691</v>
      </c>
      <c r="E232" s="6">
        <f t="shared" si="463"/>
        <v>7733</v>
      </c>
      <c r="F232" s="6">
        <f t="shared" si="463"/>
        <v>8958</v>
      </c>
      <c r="G232" s="6"/>
      <c r="H232" s="8" t="s">
        <v>38</v>
      </c>
      <c r="I232" s="8" t="s">
        <v>16</v>
      </c>
      <c r="J232" s="10">
        <f t="shared" si="5"/>
        <v>1052</v>
      </c>
      <c r="K232" s="11">
        <v>421.0</v>
      </c>
      <c r="L232" s="11">
        <v>631.0</v>
      </c>
      <c r="M232" s="5"/>
      <c r="N232" s="8" t="s">
        <v>38</v>
      </c>
      <c r="O232" s="8" t="s">
        <v>16</v>
      </c>
      <c r="P232" s="10">
        <f t="shared" si="6"/>
        <v>13453</v>
      </c>
      <c r="Q232" s="11">
        <v>6875.0</v>
      </c>
      <c r="R232" s="11">
        <v>6578.0</v>
      </c>
      <c r="T232" s="1" t="s">
        <v>38</v>
      </c>
      <c r="U232" s="1" t="s">
        <v>16</v>
      </c>
      <c r="V232" s="10">
        <f t="shared" si="7"/>
        <v>2186</v>
      </c>
      <c r="W232" s="1">
        <v>437.0</v>
      </c>
      <c r="X232" s="1">
        <v>1749.0</v>
      </c>
    </row>
    <row r="233">
      <c r="B233" s="6" t="str">
        <f t="shared" ref="B233:C233" si="464">H233</f>
        <v>Pakôkkû</v>
      </c>
      <c r="C233" s="7" t="str">
        <f t="shared" si="464"/>
        <v>45-49</v>
      </c>
      <c r="D233" s="6">
        <f t="shared" ref="D233:F233" si="465">J233+P233+V233</f>
        <v>11980</v>
      </c>
      <c r="E233" s="6">
        <f t="shared" si="465"/>
        <v>5738</v>
      </c>
      <c r="F233" s="6">
        <f t="shared" si="465"/>
        <v>6242</v>
      </c>
      <c r="G233" s="6"/>
      <c r="H233" s="8" t="s">
        <v>38</v>
      </c>
      <c r="I233" s="8" t="s">
        <v>17</v>
      </c>
      <c r="J233" s="10">
        <f t="shared" si="5"/>
        <v>628</v>
      </c>
      <c r="K233" s="11">
        <v>268.0</v>
      </c>
      <c r="L233" s="11">
        <v>360.0</v>
      </c>
      <c r="M233" s="5"/>
      <c r="N233" s="8" t="s">
        <v>38</v>
      </c>
      <c r="O233" s="8" t="s">
        <v>17</v>
      </c>
      <c r="P233" s="10">
        <f t="shared" si="6"/>
        <v>9388</v>
      </c>
      <c r="Q233" s="11">
        <v>5097.0</v>
      </c>
      <c r="R233" s="11">
        <v>4291.0</v>
      </c>
      <c r="T233" s="1" t="s">
        <v>38</v>
      </c>
      <c r="U233" s="1" t="s">
        <v>17</v>
      </c>
      <c r="V233" s="10">
        <f t="shared" si="7"/>
        <v>1964</v>
      </c>
      <c r="W233" s="1">
        <v>373.0</v>
      </c>
      <c r="X233" s="1">
        <v>1591.0</v>
      </c>
    </row>
    <row r="234">
      <c r="B234" s="6" t="str">
        <f t="shared" ref="B234:C234" si="466">H234</f>
        <v>Pakôkkû</v>
      </c>
      <c r="C234" s="7" t="str">
        <f t="shared" si="466"/>
        <v>50-54</v>
      </c>
      <c r="D234" s="6">
        <f t="shared" ref="D234:F234" si="467">J234+P234+V234</f>
        <v>12171</v>
      </c>
      <c r="E234" s="6">
        <f t="shared" si="467"/>
        <v>5351</v>
      </c>
      <c r="F234" s="6">
        <f t="shared" si="467"/>
        <v>6820</v>
      </c>
      <c r="G234" s="6"/>
      <c r="H234" s="8" t="s">
        <v>38</v>
      </c>
      <c r="I234" s="8" t="s">
        <v>18</v>
      </c>
      <c r="J234" s="10">
        <f t="shared" si="5"/>
        <v>736</v>
      </c>
      <c r="K234" s="11">
        <v>272.0</v>
      </c>
      <c r="L234" s="11">
        <v>464.0</v>
      </c>
      <c r="M234" s="5"/>
      <c r="N234" s="8" t="s">
        <v>38</v>
      </c>
      <c r="O234" s="8" t="s">
        <v>18</v>
      </c>
      <c r="P234" s="10">
        <f t="shared" si="6"/>
        <v>8511</v>
      </c>
      <c r="Q234" s="11">
        <v>4584.0</v>
      </c>
      <c r="R234" s="11">
        <v>3927.0</v>
      </c>
      <c r="T234" s="1" t="s">
        <v>38</v>
      </c>
      <c r="U234" s="1" t="s">
        <v>18</v>
      </c>
      <c r="V234" s="10">
        <f t="shared" si="7"/>
        <v>2924</v>
      </c>
      <c r="W234" s="1">
        <v>495.0</v>
      </c>
      <c r="X234" s="1">
        <v>2429.0</v>
      </c>
    </row>
    <row r="235">
      <c r="B235" s="6" t="str">
        <f t="shared" ref="B235:C235" si="468">H235</f>
        <v>Pakôkkû</v>
      </c>
      <c r="C235" s="7" t="str">
        <f t="shared" si="468"/>
        <v>55-59</v>
      </c>
      <c r="D235" s="6">
        <f t="shared" ref="D235:F235" si="469">J235+P235+V235</f>
        <v>7229</v>
      </c>
      <c r="E235" s="6">
        <f t="shared" si="469"/>
        <v>3273</v>
      </c>
      <c r="F235" s="6">
        <f t="shared" si="469"/>
        <v>3956</v>
      </c>
      <c r="G235" s="6"/>
      <c r="H235" s="8" t="s">
        <v>38</v>
      </c>
      <c r="I235" s="8" t="s">
        <v>19</v>
      </c>
      <c r="J235" s="10">
        <f t="shared" si="5"/>
        <v>528</v>
      </c>
      <c r="K235" s="11">
        <v>261.0</v>
      </c>
      <c r="L235" s="11">
        <v>267.0</v>
      </c>
      <c r="M235" s="5"/>
      <c r="N235" s="8" t="s">
        <v>38</v>
      </c>
      <c r="O235" s="8" t="s">
        <v>19</v>
      </c>
      <c r="P235" s="10">
        <f t="shared" si="6"/>
        <v>4771</v>
      </c>
      <c r="Q235" s="11">
        <v>2630.0</v>
      </c>
      <c r="R235" s="11">
        <v>2141.0</v>
      </c>
      <c r="T235" s="1" t="s">
        <v>38</v>
      </c>
      <c r="U235" s="1" t="s">
        <v>19</v>
      </c>
      <c r="V235" s="10">
        <f t="shared" si="7"/>
        <v>1930</v>
      </c>
      <c r="W235" s="1">
        <v>382.0</v>
      </c>
      <c r="X235" s="1">
        <v>1548.0</v>
      </c>
    </row>
    <row r="236">
      <c r="B236" s="6" t="str">
        <f t="shared" ref="B236:C236" si="470">H236</f>
        <v>Pakôkkû</v>
      </c>
      <c r="C236" s="7" t="str">
        <f t="shared" si="470"/>
        <v>60+</v>
      </c>
      <c r="D236" s="6">
        <f t="shared" ref="D236:F236" si="471">J236+P236+V236</f>
        <v>26460</v>
      </c>
      <c r="E236" s="6">
        <f t="shared" si="471"/>
        <v>10466</v>
      </c>
      <c r="F236" s="6">
        <f t="shared" si="471"/>
        <v>15994</v>
      </c>
      <c r="G236" s="6"/>
      <c r="H236" s="8" t="s">
        <v>38</v>
      </c>
      <c r="I236" s="8" t="s">
        <v>20</v>
      </c>
      <c r="J236" s="10">
        <f t="shared" si="5"/>
        <v>1486</v>
      </c>
      <c r="K236" s="11">
        <v>589.0</v>
      </c>
      <c r="L236" s="11">
        <v>897.0</v>
      </c>
      <c r="M236" s="5"/>
      <c r="N236" s="8" t="s">
        <v>38</v>
      </c>
      <c r="O236" s="8" t="s">
        <v>21</v>
      </c>
      <c r="P236" s="10">
        <f t="shared" si="6"/>
        <v>11830</v>
      </c>
      <c r="Q236" s="11">
        <v>7176.0</v>
      </c>
      <c r="R236" s="11">
        <v>4654.0</v>
      </c>
      <c r="T236" s="1" t="s">
        <v>38</v>
      </c>
      <c r="U236" s="1" t="s">
        <v>21</v>
      </c>
      <c r="V236" s="10">
        <f t="shared" si="7"/>
        <v>13144</v>
      </c>
      <c r="W236" s="1">
        <v>2701.0</v>
      </c>
      <c r="X236" s="1">
        <v>10443.0</v>
      </c>
    </row>
    <row r="237">
      <c r="B237" s="6" t="str">
        <f t="shared" ref="B237:C237" si="472">H237</f>
        <v>Pegu</v>
      </c>
      <c r="C237" s="7" t="str">
        <f t="shared" si="472"/>
        <v>0-4</v>
      </c>
      <c r="D237" s="6">
        <f t="shared" ref="D237:F237" si="473">J237+P237+V237</f>
        <v>42499</v>
      </c>
      <c r="E237" s="6">
        <f t="shared" si="473"/>
        <v>21062</v>
      </c>
      <c r="F237" s="6">
        <f t="shared" si="473"/>
        <v>21437</v>
      </c>
      <c r="G237" s="6"/>
      <c r="H237" s="8" t="s">
        <v>39</v>
      </c>
      <c r="I237" s="9" t="s">
        <v>10</v>
      </c>
      <c r="J237" s="10">
        <f t="shared" si="5"/>
        <v>42499</v>
      </c>
      <c r="K237" s="11">
        <v>21062.0</v>
      </c>
      <c r="L237" s="11">
        <v>21437.0</v>
      </c>
      <c r="M237" s="5"/>
      <c r="N237" s="8" t="s">
        <v>39</v>
      </c>
      <c r="O237" s="9" t="s">
        <v>10</v>
      </c>
      <c r="P237" s="10">
        <f t="shared" si="6"/>
        <v>0</v>
      </c>
      <c r="Q237" s="11">
        <v>0.0</v>
      </c>
      <c r="R237" s="11">
        <v>0.0</v>
      </c>
      <c r="T237" s="8" t="s">
        <v>39</v>
      </c>
      <c r="U237" s="9" t="s">
        <v>10</v>
      </c>
      <c r="V237" s="10">
        <f t="shared" si="7"/>
        <v>0</v>
      </c>
      <c r="W237" s="11">
        <v>0.0</v>
      </c>
      <c r="X237" s="11">
        <v>0.0</v>
      </c>
    </row>
    <row r="238">
      <c r="B238" s="6" t="str">
        <f t="shared" ref="B238:C238" si="474">H238</f>
        <v>Pegu</v>
      </c>
      <c r="C238" s="12">
        <f t="shared" si="474"/>
        <v>45786</v>
      </c>
      <c r="D238" s="6">
        <f t="shared" ref="D238:F238" si="475">J238+P238+V238</f>
        <v>37512</v>
      </c>
      <c r="E238" s="6">
        <f t="shared" si="475"/>
        <v>19129</v>
      </c>
      <c r="F238" s="6">
        <f t="shared" si="475"/>
        <v>18383</v>
      </c>
      <c r="G238" s="6"/>
      <c r="H238" s="8" t="s">
        <v>39</v>
      </c>
      <c r="I238" s="13">
        <v>45786.0</v>
      </c>
      <c r="J238" s="10">
        <f t="shared" si="5"/>
        <v>37512</v>
      </c>
      <c r="K238" s="11">
        <v>19129.0</v>
      </c>
      <c r="L238" s="11">
        <v>18383.0</v>
      </c>
      <c r="M238" s="5"/>
      <c r="N238" s="8" t="s">
        <v>39</v>
      </c>
      <c r="O238" s="13">
        <v>45786.0</v>
      </c>
      <c r="P238" s="10">
        <f t="shared" si="6"/>
        <v>0</v>
      </c>
      <c r="Q238" s="11">
        <v>0.0</v>
      </c>
      <c r="R238" s="11">
        <v>0.0</v>
      </c>
      <c r="T238" s="8" t="s">
        <v>39</v>
      </c>
      <c r="U238" s="13">
        <v>45786.0</v>
      </c>
      <c r="V238" s="10">
        <f t="shared" si="7"/>
        <v>0</v>
      </c>
      <c r="W238" s="11">
        <v>0.0</v>
      </c>
      <c r="X238" s="11">
        <v>0.0</v>
      </c>
    </row>
    <row r="239">
      <c r="B239" s="6" t="str">
        <f t="shared" ref="B239:C239" si="476">H239</f>
        <v>Pegu</v>
      </c>
      <c r="C239" s="12">
        <f t="shared" si="476"/>
        <v>45944</v>
      </c>
      <c r="D239" s="6">
        <f t="shared" ref="D239:F239" si="477">J239+P239+V239</f>
        <v>35067</v>
      </c>
      <c r="E239" s="6">
        <f t="shared" si="477"/>
        <v>18806</v>
      </c>
      <c r="F239" s="6">
        <f t="shared" si="477"/>
        <v>16261</v>
      </c>
      <c r="G239" s="6"/>
      <c r="H239" s="8" t="s">
        <v>39</v>
      </c>
      <c r="I239" s="13">
        <v>45944.0</v>
      </c>
      <c r="J239" s="10">
        <f t="shared" si="5"/>
        <v>34952</v>
      </c>
      <c r="K239" s="11">
        <v>18775.0</v>
      </c>
      <c r="L239" s="11">
        <v>16177.0</v>
      </c>
      <c r="M239" s="5"/>
      <c r="N239" s="8" t="s">
        <v>39</v>
      </c>
      <c r="O239" s="13">
        <v>45944.0</v>
      </c>
      <c r="P239" s="10">
        <f t="shared" si="6"/>
        <v>109</v>
      </c>
      <c r="Q239" s="11">
        <v>30.0</v>
      </c>
      <c r="R239" s="11">
        <v>79.0</v>
      </c>
      <c r="T239" s="8" t="s">
        <v>39</v>
      </c>
      <c r="U239" s="13">
        <v>45944.0</v>
      </c>
      <c r="V239" s="10">
        <f t="shared" si="7"/>
        <v>6</v>
      </c>
      <c r="W239" s="11">
        <v>1.0</v>
      </c>
      <c r="X239" s="11">
        <v>5.0</v>
      </c>
    </row>
    <row r="240">
      <c r="B240" s="6" t="str">
        <f t="shared" ref="B240:C240" si="478">H240</f>
        <v>Pegu</v>
      </c>
      <c r="C240" s="7" t="str">
        <f t="shared" si="478"/>
        <v>15-19</v>
      </c>
      <c r="D240" s="6">
        <f t="shared" ref="D240:F240" si="479">J240+P240+V240</f>
        <v>29676</v>
      </c>
      <c r="E240" s="6">
        <f t="shared" si="479"/>
        <v>15246</v>
      </c>
      <c r="F240" s="6">
        <f t="shared" si="479"/>
        <v>14430</v>
      </c>
      <c r="G240" s="6"/>
      <c r="H240" s="8" t="s">
        <v>39</v>
      </c>
      <c r="I240" s="9" t="s">
        <v>11</v>
      </c>
      <c r="J240" s="10">
        <f t="shared" si="5"/>
        <v>24425</v>
      </c>
      <c r="K240" s="11">
        <v>14365.0</v>
      </c>
      <c r="L240" s="11">
        <v>10060.0</v>
      </c>
      <c r="M240" s="5"/>
      <c r="N240" s="8" t="s">
        <v>39</v>
      </c>
      <c r="O240" s="9" t="s">
        <v>11</v>
      </c>
      <c r="P240" s="10">
        <f t="shared" si="6"/>
        <v>4925</v>
      </c>
      <c r="Q240" s="11">
        <v>820.0</v>
      </c>
      <c r="R240" s="11">
        <v>4105.0</v>
      </c>
      <c r="T240" s="8" t="s">
        <v>39</v>
      </c>
      <c r="U240" s="8" t="s">
        <v>11</v>
      </c>
      <c r="V240" s="10">
        <f t="shared" si="7"/>
        <v>326</v>
      </c>
      <c r="W240" s="11">
        <v>61.0</v>
      </c>
      <c r="X240" s="11">
        <v>265.0</v>
      </c>
    </row>
    <row r="241">
      <c r="B241" s="6" t="str">
        <f t="shared" ref="B241:C241" si="480">H241</f>
        <v>Pegu</v>
      </c>
      <c r="C241" s="7" t="str">
        <f t="shared" si="480"/>
        <v>20-24</v>
      </c>
      <c r="D241" s="6">
        <f t="shared" ref="D241:F241" si="481">J241+P241+V241</f>
        <v>30419</v>
      </c>
      <c r="E241" s="6">
        <f t="shared" si="481"/>
        <v>18053</v>
      </c>
      <c r="F241" s="6">
        <f t="shared" si="481"/>
        <v>12366</v>
      </c>
      <c r="G241" s="6"/>
      <c r="H241" s="8" t="s">
        <v>39</v>
      </c>
      <c r="I241" s="9" t="s">
        <v>12</v>
      </c>
      <c r="J241" s="10">
        <f t="shared" si="5"/>
        <v>14274</v>
      </c>
      <c r="K241" s="11">
        <v>11843.0</v>
      </c>
      <c r="L241" s="11">
        <v>2431.0</v>
      </c>
      <c r="M241" s="5"/>
      <c r="N241" s="8" t="s">
        <v>39</v>
      </c>
      <c r="O241" s="9" t="s">
        <v>12</v>
      </c>
      <c r="P241" s="10">
        <f t="shared" si="6"/>
        <v>15241</v>
      </c>
      <c r="Q241" s="11">
        <v>5875.0</v>
      </c>
      <c r="R241" s="11">
        <v>9366.0</v>
      </c>
      <c r="T241" s="8" t="s">
        <v>39</v>
      </c>
      <c r="U241" s="8" t="s">
        <v>12</v>
      </c>
      <c r="V241" s="10">
        <f t="shared" si="7"/>
        <v>904</v>
      </c>
      <c r="W241" s="11">
        <v>335.0</v>
      </c>
      <c r="X241" s="11">
        <v>569.0</v>
      </c>
    </row>
    <row r="242">
      <c r="B242" s="6" t="str">
        <f t="shared" ref="B242:C242" si="482">H242</f>
        <v>Pegu</v>
      </c>
      <c r="C242" s="7" t="str">
        <f t="shared" si="482"/>
        <v>25-29</v>
      </c>
      <c r="D242" s="6">
        <f t="shared" ref="D242:F242" si="483">J242+P242+V242</f>
        <v>27089</v>
      </c>
      <c r="E242" s="6">
        <f t="shared" si="483"/>
        <v>15714</v>
      </c>
      <c r="F242" s="6">
        <f t="shared" si="483"/>
        <v>11375</v>
      </c>
      <c r="G242" s="6"/>
      <c r="H242" s="8" t="s">
        <v>39</v>
      </c>
      <c r="I242" s="9" t="s">
        <v>13</v>
      </c>
      <c r="J242" s="10">
        <f t="shared" si="5"/>
        <v>5085</v>
      </c>
      <c r="K242" s="11">
        <v>4446.0</v>
      </c>
      <c r="L242" s="11">
        <v>639.0</v>
      </c>
      <c r="M242" s="5"/>
      <c r="N242" s="8" t="s">
        <v>39</v>
      </c>
      <c r="O242" s="9" t="s">
        <v>13</v>
      </c>
      <c r="P242" s="10">
        <f t="shared" si="6"/>
        <v>20782</v>
      </c>
      <c r="Q242" s="11">
        <v>10616.0</v>
      </c>
      <c r="R242" s="11">
        <v>10166.0</v>
      </c>
      <c r="T242" s="8" t="s">
        <v>39</v>
      </c>
      <c r="U242" s="9" t="s">
        <v>13</v>
      </c>
      <c r="V242" s="10">
        <f t="shared" si="7"/>
        <v>1222</v>
      </c>
      <c r="W242" s="1">
        <v>652.0</v>
      </c>
      <c r="X242" s="11">
        <v>570.0</v>
      </c>
    </row>
    <row r="243">
      <c r="B243" s="6" t="str">
        <f t="shared" ref="B243:C243" si="484">H243</f>
        <v>Pegu</v>
      </c>
      <c r="C243" s="7" t="str">
        <f t="shared" si="484"/>
        <v>30-34</v>
      </c>
      <c r="D243" s="6">
        <f t="shared" ref="D243:F243" si="485">J243+P243+V243</f>
        <v>24484</v>
      </c>
      <c r="E243" s="6">
        <f t="shared" si="485"/>
        <v>15697</v>
      </c>
      <c r="F243" s="6">
        <f t="shared" si="485"/>
        <v>8787</v>
      </c>
      <c r="G243" s="6"/>
      <c r="H243" s="8" t="s">
        <v>39</v>
      </c>
      <c r="I243" s="8" t="s">
        <v>14</v>
      </c>
      <c r="J243" s="10">
        <f t="shared" si="5"/>
        <v>3426</v>
      </c>
      <c r="K243" s="11">
        <v>3166.0</v>
      </c>
      <c r="L243" s="11">
        <v>260.0</v>
      </c>
      <c r="M243" s="5"/>
      <c r="N243" s="8" t="s">
        <v>39</v>
      </c>
      <c r="O243" s="8" t="s">
        <v>14</v>
      </c>
      <c r="P243" s="10">
        <f t="shared" si="6"/>
        <v>19539</v>
      </c>
      <c r="Q243" s="11">
        <v>11666.0</v>
      </c>
      <c r="R243" s="11">
        <v>7873.0</v>
      </c>
      <c r="T243" s="8" t="s">
        <v>39</v>
      </c>
      <c r="U243" s="9" t="s">
        <v>14</v>
      </c>
      <c r="V243" s="10">
        <f t="shared" si="7"/>
        <v>1519</v>
      </c>
      <c r="W243" s="1">
        <v>865.0</v>
      </c>
      <c r="X243" s="11">
        <v>654.0</v>
      </c>
    </row>
    <row r="244">
      <c r="B244" s="6" t="str">
        <f t="shared" ref="B244:C244" si="486">H244</f>
        <v>Pegu</v>
      </c>
      <c r="C244" s="7" t="str">
        <f t="shared" si="486"/>
        <v>35-39</v>
      </c>
      <c r="D244" s="6">
        <f t="shared" ref="D244:F244" si="487">J244+P244+V244</f>
        <v>18327</v>
      </c>
      <c r="E244" s="6">
        <f t="shared" si="487"/>
        <v>11442</v>
      </c>
      <c r="F244" s="6">
        <f t="shared" si="487"/>
        <v>6885</v>
      </c>
      <c r="G244" s="6"/>
      <c r="H244" s="8" t="s">
        <v>39</v>
      </c>
      <c r="I244" s="8" t="s">
        <v>15</v>
      </c>
      <c r="J244" s="10">
        <f t="shared" si="5"/>
        <v>1634</v>
      </c>
      <c r="K244" s="11">
        <v>1494.0</v>
      </c>
      <c r="L244" s="11">
        <v>140.0</v>
      </c>
      <c r="M244" s="5"/>
      <c r="N244" s="8" t="s">
        <v>39</v>
      </c>
      <c r="O244" s="8" t="s">
        <v>15</v>
      </c>
      <c r="P244" s="10">
        <f t="shared" si="6"/>
        <v>15276</v>
      </c>
      <c r="Q244" s="11">
        <v>9168.0</v>
      </c>
      <c r="R244" s="11">
        <v>6108.0</v>
      </c>
      <c r="T244" s="8" t="s">
        <v>39</v>
      </c>
      <c r="U244" s="9" t="s">
        <v>15</v>
      </c>
      <c r="V244" s="10">
        <f t="shared" si="7"/>
        <v>1417</v>
      </c>
      <c r="W244" s="1">
        <v>780.0</v>
      </c>
      <c r="X244" s="11">
        <v>637.0</v>
      </c>
    </row>
    <row r="245">
      <c r="B245" s="6" t="str">
        <f t="shared" ref="B245:C245" si="488">H245</f>
        <v>Pegu</v>
      </c>
      <c r="C245" s="7" t="str">
        <f t="shared" si="488"/>
        <v>40-44</v>
      </c>
      <c r="D245" s="6">
        <f t="shared" ref="D245:F245" si="489">J245+P245+V245</f>
        <v>14884</v>
      </c>
      <c r="E245" s="6">
        <f t="shared" si="489"/>
        <v>9159</v>
      </c>
      <c r="F245" s="6">
        <f t="shared" si="489"/>
        <v>5725</v>
      </c>
      <c r="G245" s="6"/>
      <c r="H245" s="8" t="s">
        <v>39</v>
      </c>
      <c r="I245" s="8" t="s">
        <v>16</v>
      </c>
      <c r="J245" s="10">
        <f t="shared" si="5"/>
        <v>968</v>
      </c>
      <c r="K245" s="11">
        <v>852.0</v>
      </c>
      <c r="L245" s="11">
        <v>116.0</v>
      </c>
      <c r="M245" s="5"/>
      <c r="N245" s="8" t="s">
        <v>39</v>
      </c>
      <c r="O245" s="8" t="s">
        <v>16</v>
      </c>
      <c r="P245" s="10">
        <f t="shared" si="6"/>
        <v>12206</v>
      </c>
      <c r="Q245" s="11">
        <v>7421.0</v>
      </c>
      <c r="R245" s="11">
        <v>4785.0</v>
      </c>
      <c r="T245" s="8" t="s">
        <v>39</v>
      </c>
      <c r="U245" s="9" t="s">
        <v>16</v>
      </c>
      <c r="V245" s="10">
        <f t="shared" si="7"/>
        <v>1710</v>
      </c>
      <c r="W245" s="1">
        <v>886.0</v>
      </c>
      <c r="X245" s="11">
        <v>824.0</v>
      </c>
    </row>
    <row r="246">
      <c r="B246" s="6" t="str">
        <f t="shared" ref="B246:C246" si="490">H246</f>
        <v>Pegu</v>
      </c>
      <c r="C246" s="7" t="str">
        <f t="shared" si="490"/>
        <v>45-49</v>
      </c>
      <c r="D246" s="6">
        <f t="shared" ref="D246:F246" si="491">J246+P246+V246</f>
        <v>10569</v>
      </c>
      <c r="E246" s="6">
        <f t="shared" si="491"/>
        <v>6252</v>
      </c>
      <c r="F246" s="6">
        <f t="shared" si="491"/>
        <v>4317</v>
      </c>
      <c r="G246" s="6"/>
      <c r="H246" s="8" t="s">
        <v>39</v>
      </c>
      <c r="I246" s="8" t="s">
        <v>17</v>
      </c>
      <c r="J246" s="10">
        <f t="shared" si="5"/>
        <v>466</v>
      </c>
      <c r="K246" s="11">
        <v>380.0</v>
      </c>
      <c r="L246" s="11">
        <v>86.0</v>
      </c>
      <c r="M246" s="5"/>
      <c r="N246" s="8" t="s">
        <v>39</v>
      </c>
      <c r="O246" s="8" t="s">
        <v>17</v>
      </c>
      <c r="P246" s="10">
        <f t="shared" si="6"/>
        <v>8475</v>
      </c>
      <c r="Q246" s="11">
        <v>5142.0</v>
      </c>
      <c r="R246" s="11">
        <v>3333.0</v>
      </c>
      <c r="T246" s="8" t="s">
        <v>39</v>
      </c>
      <c r="U246" s="9" t="s">
        <v>17</v>
      </c>
      <c r="V246" s="10">
        <f t="shared" si="7"/>
        <v>1628</v>
      </c>
      <c r="W246" s="1">
        <v>730.0</v>
      </c>
      <c r="X246" s="11">
        <v>898.0</v>
      </c>
    </row>
    <row r="247">
      <c r="B247" s="6" t="str">
        <f t="shared" ref="B247:C247" si="492">H247</f>
        <v>Pegu</v>
      </c>
      <c r="C247" s="7" t="str">
        <f t="shared" si="492"/>
        <v>50-54</v>
      </c>
      <c r="D247" s="6">
        <f t="shared" ref="D247:F247" si="493">J247+P247+V247</f>
        <v>9743</v>
      </c>
      <c r="E247" s="6">
        <f t="shared" si="493"/>
        <v>5065</v>
      </c>
      <c r="F247" s="6">
        <f t="shared" si="493"/>
        <v>4678</v>
      </c>
      <c r="G247" s="6"/>
      <c r="H247" s="8" t="s">
        <v>39</v>
      </c>
      <c r="I247" s="8" t="s">
        <v>18</v>
      </c>
      <c r="J247" s="10">
        <f t="shared" si="5"/>
        <v>298</v>
      </c>
      <c r="K247" s="11">
        <v>163.0</v>
      </c>
      <c r="L247" s="11">
        <v>135.0</v>
      </c>
      <c r="M247" s="5"/>
      <c r="N247" s="8" t="s">
        <v>39</v>
      </c>
      <c r="O247" s="8" t="s">
        <v>18</v>
      </c>
      <c r="P247" s="10">
        <f t="shared" si="6"/>
        <v>7129</v>
      </c>
      <c r="Q247" s="11">
        <v>4162.0</v>
      </c>
      <c r="R247" s="11">
        <v>2967.0</v>
      </c>
      <c r="T247" s="8" t="s">
        <v>39</v>
      </c>
      <c r="U247" s="9" t="s">
        <v>18</v>
      </c>
      <c r="V247" s="10">
        <f t="shared" si="7"/>
        <v>2316</v>
      </c>
      <c r="W247" s="1">
        <v>740.0</v>
      </c>
      <c r="X247" s="11">
        <v>1576.0</v>
      </c>
    </row>
    <row r="248">
      <c r="B248" s="6" t="str">
        <f t="shared" ref="B248:C248" si="494">H248</f>
        <v>Pegu</v>
      </c>
      <c r="C248" s="7" t="str">
        <f t="shared" si="494"/>
        <v>55-59</v>
      </c>
      <c r="D248" s="6">
        <f t="shared" ref="D248:F248" si="495">J248+P248+V248</f>
        <v>5898</v>
      </c>
      <c r="E248" s="6">
        <f t="shared" si="495"/>
        <v>3090</v>
      </c>
      <c r="F248" s="6">
        <f t="shared" si="495"/>
        <v>2808</v>
      </c>
      <c r="G248" s="6"/>
      <c r="H248" s="8" t="s">
        <v>39</v>
      </c>
      <c r="I248" s="8" t="s">
        <v>19</v>
      </c>
      <c r="J248" s="10">
        <f t="shared" si="5"/>
        <v>192</v>
      </c>
      <c r="K248" s="11">
        <v>117.0</v>
      </c>
      <c r="L248" s="11">
        <v>75.0</v>
      </c>
      <c r="M248" s="5"/>
      <c r="N248" s="8" t="s">
        <v>39</v>
      </c>
      <c r="O248" s="8" t="s">
        <v>19</v>
      </c>
      <c r="P248" s="10">
        <f t="shared" si="6"/>
        <v>4094</v>
      </c>
      <c r="Q248" s="11">
        <v>2407.0</v>
      </c>
      <c r="R248" s="11">
        <v>1687.0</v>
      </c>
      <c r="T248" s="8" t="s">
        <v>39</v>
      </c>
      <c r="U248" s="9" t="s">
        <v>19</v>
      </c>
      <c r="V248" s="10">
        <f t="shared" si="7"/>
        <v>1612</v>
      </c>
      <c r="W248" s="1">
        <v>566.0</v>
      </c>
      <c r="X248" s="11">
        <v>1046.0</v>
      </c>
    </row>
    <row r="249">
      <c r="B249" s="6" t="str">
        <f t="shared" ref="B249:C249" si="496">H249</f>
        <v>Pegu</v>
      </c>
      <c r="C249" s="7" t="str">
        <f t="shared" si="496"/>
        <v>60+</v>
      </c>
      <c r="D249" s="6">
        <f t="shared" ref="D249:F249" si="497">J249+P249+V249</f>
        <v>13096</v>
      </c>
      <c r="E249" s="6">
        <f t="shared" si="497"/>
        <v>6855</v>
      </c>
      <c r="F249" s="6">
        <f t="shared" si="497"/>
        <v>6241</v>
      </c>
      <c r="G249" s="6"/>
      <c r="H249" s="8" t="s">
        <v>39</v>
      </c>
      <c r="I249" s="8" t="s">
        <v>20</v>
      </c>
      <c r="J249" s="10">
        <f t="shared" si="5"/>
        <v>727</v>
      </c>
      <c r="K249" s="11">
        <v>460.0</v>
      </c>
      <c r="L249" s="11">
        <v>267.0</v>
      </c>
      <c r="M249" s="5"/>
      <c r="N249" s="8" t="s">
        <v>39</v>
      </c>
      <c r="O249" s="8" t="s">
        <v>21</v>
      </c>
      <c r="P249" s="10">
        <f t="shared" si="6"/>
        <v>6495</v>
      </c>
      <c r="Q249" s="11">
        <v>4563.0</v>
      </c>
      <c r="R249" s="11">
        <v>1932.0</v>
      </c>
      <c r="T249" s="8" t="s">
        <v>39</v>
      </c>
      <c r="U249" s="1" t="s">
        <v>21</v>
      </c>
      <c r="V249" s="10">
        <f t="shared" si="7"/>
        <v>5874</v>
      </c>
      <c r="W249" s="1">
        <v>1832.0</v>
      </c>
      <c r="X249" s="11">
        <v>4042.0</v>
      </c>
    </row>
    <row r="250">
      <c r="B250" s="6" t="str">
        <f t="shared" ref="B250:C250" si="498">H250</f>
        <v>Prome</v>
      </c>
      <c r="C250" s="7" t="str">
        <f t="shared" si="498"/>
        <v>0-4</v>
      </c>
      <c r="D250" s="6">
        <f t="shared" ref="D250:F250" si="499">J250+P250+V250</f>
        <v>51160</v>
      </c>
      <c r="E250" s="6">
        <f t="shared" si="499"/>
        <v>25144</v>
      </c>
      <c r="F250" s="6">
        <f t="shared" si="499"/>
        <v>26016</v>
      </c>
      <c r="G250" s="6"/>
      <c r="H250" s="8" t="s">
        <v>40</v>
      </c>
      <c r="I250" s="9" t="s">
        <v>10</v>
      </c>
      <c r="J250" s="10">
        <f t="shared" si="5"/>
        <v>51160</v>
      </c>
      <c r="K250" s="11">
        <v>25144.0</v>
      </c>
      <c r="L250" s="11">
        <v>26016.0</v>
      </c>
      <c r="M250" s="5"/>
      <c r="N250" s="8" t="s">
        <v>40</v>
      </c>
      <c r="O250" s="9" t="s">
        <v>10</v>
      </c>
      <c r="P250" s="10">
        <f t="shared" si="6"/>
        <v>0</v>
      </c>
      <c r="Q250" s="11">
        <v>0.0</v>
      </c>
      <c r="R250" s="11">
        <v>0.0</v>
      </c>
      <c r="T250" s="8" t="s">
        <v>40</v>
      </c>
      <c r="U250" s="9" t="s">
        <v>10</v>
      </c>
      <c r="V250" s="10">
        <f t="shared" si="7"/>
        <v>0</v>
      </c>
      <c r="W250" s="11">
        <v>0.0</v>
      </c>
      <c r="X250" s="11">
        <v>0.0</v>
      </c>
    </row>
    <row r="251">
      <c r="B251" s="6" t="str">
        <f t="shared" ref="B251:C251" si="500">H251</f>
        <v>Prome</v>
      </c>
      <c r="C251" s="12">
        <f t="shared" si="500"/>
        <v>45786</v>
      </c>
      <c r="D251" s="6">
        <f t="shared" ref="D251:F251" si="501">J251+P251+V251</f>
        <v>47052</v>
      </c>
      <c r="E251" s="6">
        <f t="shared" si="501"/>
        <v>23051</v>
      </c>
      <c r="F251" s="6">
        <f t="shared" si="501"/>
        <v>24001</v>
      </c>
      <c r="G251" s="6"/>
      <c r="H251" s="8" t="s">
        <v>40</v>
      </c>
      <c r="I251" s="13">
        <v>45786.0</v>
      </c>
      <c r="J251" s="10">
        <f t="shared" si="5"/>
        <v>47052</v>
      </c>
      <c r="K251" s="11">
        <v>23051.0</v>
      </c>
      <c r="L251" s="11">
        <v>24001.0</v>
      </c>
      <c r="M251" s="5"/>
      <c r="N251" s="8" t="s">
        <v>40</v>
      </c>
      <c r="O251" s="13">
        <v>45786.0</v>
      </c>
      <c r="P251" s="10">
        <f t="shared" si="6"/>
        <v>0</v>
      </c>
      <c r="Q251" s="11">
        <v>0.0</v>
      </c>
      <c r="R251" s="11">
        <v>0.0</v>
      </c>
      <c r="T251" s="8" t="s">
        <v>40</v>
      </c>
      <c r="U251" s="13">
        <v>45786.0</v>
      </c>
      <c r="V251" s="10">
        <f t="shared" si="7"/>
        <v>0</v>
      </c>
      <c r="W251" s="11">
        <v>0.0</v>
      </c>
      <c r="X251" s="11">
        <v>0.0</v>
      </c>
    </row>
    <row r="252">
      <c r="B252" s="6" t="str">
        <f t="shared" ref="B252:C252" si="502">H252</f>
        <v>Prome</v>
      </c>
      <c r="C252" s="12">
        <f t="shared" si="502"/>
        <v>45944</v>
      </c>
      <c r="D252" s="6">
        <f t="shared" ref="D252:F252" si="503">J252+P252+V252</f>
        <v>43265</v>
      </c>
      <c r="E252" s="6">
        <f t="shared" si="503"/>
        <v>22319</v>
      </c>
      <c r="F252" s="6">
        <f t="shared" si="503"/>
        <v>20946</v>
      </c>
      <c r="G252" s="6"/>
      <c r="H252" s="8" t="s">
        <v>40</v>
      </c>
      <c r="I252" s="13">
        <v>45944.0</v>
      </c>
      <c r="J252" s="10">
        <f t="shared" si="5"/>
        <v>43140</v>
      </c>
      <c r="K252" s="11">
        <v>22277.0</v>
      </c>
      <c r="L252" s="11">
        <v>20863.0</v>
      </c>
      <c r="M252" s="5"/>
      <c r="N252" s="8" t="s">
        <v>40</v>
      </c>
      <c r="O252" s="13">
        <v>45944.0</v>
      </c>
      <c r="P252" s="10">
        <f t="shared" si="6"/>
        <v>120</v>
      </c>
      <c r="Q252" s="11">
        <v>39.0</v>
      </c>
      <c r="R252" s="11">
        <v>81.0</v>
      </c>
      <c r="T252" s="8" t="s">
        <v>40</v>
      </c>
      <c r="U252" s="13">
        <v>45944.0</v>
      </c>
      <c r="V252" s="10">
        <f t="shared" si="7"/>
        <v>5</v>
      </c>
      <c r="W252" s="11">
        <v>3.0</v>
      </c>
      <c r="X252" s="11">
        <v>2.0</v>
      </c>
    </row>
    <row r="253">
      <c r="B253" s="6" t="str">
        <f t="shared" ref="B253:C253" si="504">H253</f>
        <v>Prome</v>
      </c>
      <c r="C253" s="7" t="str">
        <f t="shared" si="504"/>
        <v>15-19</v>
      </c>
      <c r="D253" s="6">
        <f t="shared" ref="D253:F253" si="505">J253+P253+V253</f>
        <v>37158</v>
      </c>
      <c r="E253" s="6">
        <f t="shared" si="505"/>
        <v>17724</v>
      </c>
      <c r="F253" s="6">
        <f t="shared" si="505"/>
        <v>19434</v>
      </c>
      <c r="G253" s="6"/>
      <c r="H253" s="8" t="s">
        <v>40</v>
      </c>
      <c r="I253" s="9" t="s">
        <v>11</v>
      </c>
      <c r="J253" s="10">
        <f t="shared" si="5"/>
        <v>30425</v>
      </c>
      <c r="K253" s="11">
        <v>16391.0</v>
      </c>
      <c r="L253" s="11">
        <v>14034.0</v>
      </c>
      <c r="M253" s="5"/>
      <c r="N253" s="8" t="s">
        <v>40</v>
      </c>
      <c r="O253" s="9" t="s">
        <v>11</v>
      </c>
      <c r="P253" s="10">
        <f t="shared" si="6"/>
        <v>6316</v>
      </c>
      <c r="Q253" s="11">
        <v>1242.0</v>
      </c>
      <c r="R253" s="11">
        <v>5074.0</v>
      </c>
      <c r="T253" s="8" t="s">
        <v>40</v>
      </c>
      <c r="U253" s="8" t="s">
        <v>11</v>
      </c>
      <c r="V253" s="10">
        <f t="shared" si="7"/>
        <v>417</v>
      </c>
      <c r="W253" s="11">
        <v>91.0</v>
      </c>
      <c r="X253" s="11">
        <v>326.0</v>
      </c>
    </row>
    <row r="254">
      <c r="B254" s="6" t="str">
        <f t="shared" ref="B254:C254" si="506">H254</f>
        <v>Prome</v>
      </c>
      <c r="C254" s="7" t="str">
        <f t="shared" si="506"/>
        <v>20-24</v>
      </c>
      <c r="D254" s="6">
        <f t="shared" ref="D254:F254" si="507">J254+P254+V254</f>
        <v>33848</v>
      </c>
      <c r="E254" s="6">
        <f t="shared" si="507"/>
        <v>16017</v>
      </c>
      <c r="F254" s="6">
        <f t="shared" si="507"/>
        <v>17831</v>
      </c>
      <c r="G254" s="6"/>
      <c r="H254" s="8" t="s">
        <v>40</v>
      </c>
      <c r="I254" s="9" t="s">
        <v>12</v>
      </c>
      <c r="J254" s="10">
        <f t="shared" si="5"/>
        <v>9093</v>
      </c>
      <c r="K254" s="11">
        <v>6097.0</v>
      </c>
      <c r="L254" s="11">
        <v>2996.0</v>
      </c>
      <c r="M254" s="5"/>
      <c r="N254" s="8" t="s">
        <v>40</v>
      </c>
      <c r="O254" s="9" t="s">
        <v>12</v>
      </c>
      <c r="P254" s="10">
        <f t="shared" si="6"/>
        <v>23209</v>
      </c>
      <c r="Q254" s="11">
        <v>9455.0</v>
      </c>
      <c r="R254" s="11">
        <v>13754.0</v>
      </c>
      <c r="T254" s="8" t="s">
        <v>40</v>
      </c>
      <c r="U254" s="8" t="s">
        <v>12</v>
      </c>
      <c r="V254" s="10">
        <f t="shared" si="7"/>
        <v>1546</v>
      </c>
      <c r="W254" s="11">
        <v>465.0</v>
      </c>
      <c r="X254" s="11">
        <v>1081.0</v>
      </c>
    </row>
    <row r="255">
      <c r="B255" s="6" t="str">
        <f t="shared" ref="B255:C255" si="508">H255</f>
        <v>Prome</v>
      </c>
      <c r="C255" s="7" t="str">
        <f t="shared" si="508"/>
        <v>25-29</v>
      </c>
      <c r="D255" s="6">
        <f t="shared" ref="D255:F255" si="509">J255+P255+V255</f>
        <v>28939</v>
      </c>
      <c r="E255" s="6">
        <f t="shared" si="509"/>
        <v>14171</v>
      </c>
      <c r="F255" s="6">
        <f t="shared" si="509"/>
        <v>14768</v>
      </c>
      <c r="G255" s="6"/>
      <c r="H255" s="8" t="s">
        <v>40</v>
      </c>
      <c r="I255" s="9" t="s">
        <v>13</v>
      </c>
      <c r="J255" s="10">
        <f t="shared" si="5"/>
        <v>2749</v>
      </c>
      <c r="K255" s="11">
        <v>1770.0</v>
      </c>
      <c r="L255" s="11">
        <v>979.0</v>
      </c>
      <c r="M255" s="5"/>
      <c r="N255" s="8" t="s">
        <v>40</v>
      </c>
      <c r="O255" s="9" t="s">
        <v>13</v>
      </c>
      <c r="P255" s="10">
        <f t="shared" si="6"/>
        <v>24519</v>
      </c>
      <c r="Q255" s="11">
        <v>11848.0</v>
      </c>
      <c r="R255" s="11">
        <v>12671.0</v>
      </c>
      <c r="T255" s="8" t="s">
        <v>40</v>
      </c>
      <c r="U255" s="9" t="s">
        <v>13</v>
      </c>
      <c r="V255" s="10">
        <f t="shared" si="7"/>
        <v>1671</v>
      </c>
      <c r="W255" s="1">
        <v>553.0</v>
      </c>
      <c r="X255" s="11">
        <v>1118.0</v>
      </c>
    </row>
    <row r="256">
      <c r="B256" s="6" t="str">
        <f t="shared" ref="B256:C256" si="510">H256</f>
        <v>Prome</v>
      </c>
      <c r="C256" s="7" t="str">
        <f t="shared" si="510"/>
        <v>30-34</v>
      </c>
      <c r="D256" s="6">
        <f t="shared" ref="D256:F256" si="511">J256+P256+V256</f>
        <v>21684</v>
      </c>
      <c r="E256" s="6">
        <f t="shared" si="511"/>
        <v>11077</v>
      </c>
      <c r="F256" s="6">
        <f t="shared" si="511"/>
        <v>10607</v>
      </c>
      <c r="G256" s="6"/>
      <c r="H256" s="8" t="s">
        <v>40</v>
      </c>
      <c r="I256" s="8" t="s">
        <v>14</v>
      </c>
      <c r="J256" s="10">
        <f t="shared" si="5"/>
        <v>1024</v>
      </c>
      <c r="K256" s="11">
        <v>706.0</v>
      </c>
      <c r="L256" s="11">
        <v>318.0</v>
      </c>
      <c r="M256" s="5"/>
      <c r="N256" s="8" t="s">
        <v>40</v>
      </c>
      <c r="O256" s="8" t="s">
        <v>14</v>
      </c>
      <c r="P256" s="10">
        <f t="shared" si="6"/>
        <v>19169</v>
      </c>
      <c r="Q256" s="11">
        <v>9873.0</v>
      </c>
      <c r="R256" s="11">
        <v>9296.0</v>
      </c>
      <c r="T256" s="8" t="s">
        <v>40</v>
      </c>
      <c r="U256" s="9" t="s">
        <v>14</v>
      </c>
      <c r="V256" s="10">
        <f t="shared" si="7"/>
        <v>1491</v>
      </c>
      <c r="W256" s="1">
        <v>498.0</v>
      </c>
      <c r="X256" s="11">
        <v>993.0</v>
      </c>
    </row>
    <row r="257">
      <c r="B257" s="6" t="str">
        <f t="shared" ref="B257:C257" si="512">H257</f>
        <v>Prome</v>
      </c>
      <c r="C257" s="7" t="str">
        <f t="shared" si="512"/>
        <v>35-39</v>
      </c>
      <c r="D257" s="6">
        <f t="shared" ref="D257:F257" si="513">J257+P257+V257</f>
        <v>15730</v>
      </c>
      <c r="E257" s="6">
        <f t="shared" si="513"/>
        <v>7880</v>
      </c>
      <c r="F257" s="6">
        <f t="shared" si="513"/>
        <v>7850</v>
      </c>
      <c r="G257" s="6"/>
      <c r="H257" s="8" t="s">
        <v>40</v>
      </c>
      <c r="I257" s="8" t="s">
        <v>15</v>
      </c>
      <c r="J257" s="10">
        <f t="shared" si="5"/>
        <v>511</v>
      </c>
      <c r="K257" s="11">
        <v>343.0</v>
      </c>
      <c r="L257" s="11">
        <v>168.0</v>
      </c>
      <c r="M257" s="5"/>
      <c r="N257" s="8" t="s">
        <v>40</v>
      </c>
      <c r="O257" s="8" t="s">
        <v>15</v>
      </c>
      <c r="P257" s="10">
        <f t="shared" si="6"/>
        <v>13947</v>
      </c>
      <c r="Q257" s="11">
        <v>7094.0</v>
      </c>
      <c r="R257" s="11">
        <v>6853.0</v>
      </c>
      <c r="T257" s="8" t="s">
        <v>40</v>
      </c>
      <c r="U257" s="9" t="s">
        <v>15</v>
      </c>
      <c r="V257" s="10">
        <f t="shared" si="7"/>
        <v>1272</v>
      </c>
      <c r="W257" s="1">
        <v>443.0</v>
      </c>
      <c r="X257" s="11">
        <v>829.0</v>
      </c>
    </row>
    <row r="258">
      <c r="B258" s="6" t="str">
        <f t="shared" ref="B258:C258" si="514">H258</f>
        <v>Prome</v>
      </c>
      <c r="C258" s="7" t="str">
        <f t="shared" si="514"/>
        <v>40-44</v>
      </c>
      <c r="D258" s="6">
        <f t="shared" ref="D258:F258" si="515">J258+P258+V258</f>
        <v>18120</v>
      </c>
      <c r="E258" s="6">
        <f t="shared" si="515"/>
        <v>9005</v>
      </c>
      <c r="F258" s="6">
        <f t="shared" si="515"/>
        <v>9115</v>
      </c>
      <c r="G258" s="6"/>
      <c r="H258" s="8" t="s">
        <v>40</v>
      </c>
      <c r="I258" s="8" t="s">
        <v>16</v>
      </c>
      <c r="J258" s="10">
        <f t="shared" si="5"/>
        <v>407</v>
      </c>
      <c r="K258" s="11">
        <v>277.0</v>
      </c>
      <c r="L258" s="11">
        <v>130.0</v>
      </c>
      <c r="M258" s="5"/>
      <c r="N258" s="8" t="s">
        <v>40</v>
      </c>
      <c r="O258" s="8" t="s">
        <v>16</v>
      </c>
      <c r="P258" s="10">
        <f t="shared" si="6"/>
        <v>15654</v>
      </c>
      <c r="Q258" s="11">
        <v>8104.0</v>
      </c>
      <c r="R258" s="11">
        <v>7550.0</v>
      </c>
      <c r="T258" s="8" t="s">
        <v>40</v>
      </c>
      <c r="U258" s="9" t="s">
        <v>16</v>
      </c>
      <c r="V258" s="10">
        <f t="shared" si="7"/>
        <v>2059</v>
      </c>
      <c r="W258" s="1">
        <v>624.0</v>
      </c>
      <c r="X258" s="11">
        <v>1435.0</v>
      </c>
    </row>
    <row r="259">
      <c r="B259" s="6" t="str">
        <f t="shared" ref="B259:C259" si="516">H259</f>
        <v>Prome</v>
      </c>
      <c r="C259" s="7" t="str">
        <f t="shared" si="516"/>
        <v>45-49</v>
      </c>
      <c r="D259" s="6">
        <f t="shared" ref="D259:F259" si="517">J259+P259+V259</f>
        <v>14599</v>
      </c>
      <c r="E259" s="6">
        <f t="shared" si="517"/>
        <v>7387</v>
      </c>
      <c r="F259" s="6">
        <f t="shared" si="517"/>
        <v>7212</v>
      </c>
      <c r="G259" s="6"/>
      <c r="H259" s="8" t="s">
        <v>40</v>
      </c>
      <c r="I259" s="8" t="s">
        <v>17</v>
      </c>
      <c r="J259" s="10">
        <f t="shared" si="5"/>
        <v>290</v>
      </c>
      <c r="K259" s="11">
        <v>191.0</v>
      </c>
      <c r="L259" s="11">
        <v>99.0</v>
      </c>
      <c r="M259" s="5"/>
      <c r="N259" s="8" t="s">
        <v>40</v>
      </c>
      <c r="O259" s="8" t="s">
        <v>17</v>
      </c>
      <c r="P259" s="10">
        <f t="shared" si="6"/>
        <v>12220</v>
      </c>
      <c r="Q259" s="11">
        <v>6597.0</v>
      </c>
      <c r="R259" s="11">
        <v>5623.0</v>
      </c>
      <c r="T259" s="8" t="s">
        <v>40</v>
      </c>
      <c r="U259" s="9" t="s">
        <v>17</v>
      </c>
      <c r="V259" s="10">
        <f t="shared" si="7"/>
        <v>2089</v>
      </c>
      <c r="W259" s="1">
        <v>599.0</v>
      </c>
      <c r="X259" s="11">
        <v>1490.0</v>
      </c>
    </row>
    <row r="260">
      <c r="B260" s="6" t="str">
        <f t="shared" ref="B260:C260" si="518">H260</f>
        <v>Prome</v>
      </c>
      <c r="C260" s="7" t="str">
        <f t="shared" si="518"/>
        <v>50-54</v>
      </c>
      <c r="D260" s="6">
        <f t="shared" ref="D260:F260" si="519">J260+P260+V260</f>
        <v>15754</v>
      </c>
      <c r="E260" s="6">
        <f t="shared" si="519"/>
        <v>7481</v>
      </c>
      <c r="F260" s="6">
        <f t="shared" si="519"/>
        <v>8273</v>
      </c>
      <c r="G260" s="6"/>
      <c r="H260" s="8" t="s">
        <v>40</v>
      </c>
      <c r="I260" s="8" t="s">
        <v>18</v>
      </c>
      <c r="J260" s="10">
        <f t="shared" si="5"/>
        <v>369</v>
      </c>
      <c r="K260" s="11">
        <v>221.0</v>
      </c>
      <c r="L260" s="11">
        <v>148.0</v>
      </c>
      <c r="M260" s="5"/>
      <c r="N260" s="8" t="s">
        <v>40</v>
      </c>
      <c r="O260" s="8" t="s">
        <v>18</v>
      </c>
      <c r="P260" s="10">
        <f t="shared" si="6"/>
        <v>12046</v>
      </c>
      <c r="Q260" s="11">
        <v>6416.0</v>
      </c>
      <c r="R260" s="11">
        <v>5630.0</v>
      </c>
      <c r="T260" s="8" t="s">
        <v>40</v>
      </c>
      <c r="U260" s="9" t="s">
        <v>18</v>
      </c>
      <c r="V260" s="10">
        <f t="shared" si="7"/>
        <v>3339</v>
      </c>
      <c r="W260" s="1">
        <v>844.0</v>
      </c>
      <c r="X260" s="11">
        <v>2495.0</v>
      </c>
    </row>
    <row r="261">
      <c r="B261" s="6" t="str">
        <f t="shared" ref="B261:C261" si="520">H261</f>
        <v>Prome</v>
      </c>
      <c r="C261" s="7" t="str">
        <f t="shared" si="520"/>
        <v>55-59</v>
      </c>
      <c r="D261" s="6">
        <f t="shared" ref="D261:F261" si="521">J261+P261+V261</f>
        <v>10362</v>
      </c>
      <c r="E261" s="6">
        <f t="shared" si="521"/>
        <v>5217</v>
      </c>
      <c r="F261" s="6">
        <f t="shared" si="521"/>
        <v>5145</v>
      </c>
      <c r="G261" s="6"/>
      <c r="H261" s="8" t="s">
        <v>40</v>
      </c>
      <c r="I261" s="8" t="s">
        <v>19</v>
      </c>
      <c r="J261" s="10">
        <f t="shared" si="5"/>
        <v>224</v>
      </c>
      <c r="K261" s="11">
        <v>131.0</v>
      </c>
      <c r="L261" s="11">
        <v>93.0</v>
      </c>
      <c r="M261" s="5"/>
      <c r="N261" s="8" t="s">
        <v>40</v>
      </c>
      <c r="O261" s="8" t="s">
        <v>19</v>
      </c>
      <c r="P261" s="10">
        <f t="shared" si="6"/>
        <v>7557</v>
      </c>
      <c r="Q261" s="11">
        <v>4388.0</v>
      </c>
      <c r="R261" s="11">
        <v>3169.0</v>
      </c>
      <c r="T261" s="8" t="s">
        <v>40</v>
      </c>
      <c r="U261" s="9" t="s">
        <v>19</v>
      </c>
      <c r="V261" s="10">
        <f t="shared" si="7"/>
        <v>2581</v>
      </c>
      <c r="W261" s="1">
        <v>698.0</v>
      </c>
      <c r="X261" s="11">
        <v>1883.0</v>
      </c>
    </row>
    <row r="262">
      <c r="B262" s="6" t="str">
        <f t="shared" ref="B262:C262" si="522">H262</f>
        <v>Prome</v>
      </c>
      <c r="C262" s="7" t="str">
        <f t="shared" si="522"/>
        <v>60+</v>
      </c>
      <c r="D262" s="6">
        <f t="shared" ref="D262:F262" si="523">J262+P262+V262</f>
        <v>22056</v>
      </c>
      <c r="E262" s="6">
        <f t="shared" si="523"/>
        <v>10356</v>
      </c>
      <c r="F262" s="6">
        <f t="shared" si="523"/>
        <v>11700</v>
      </c>
      <c r="G262" s="6"/>
      <c r="H262" s="8" t="s">
        <v>40</v>
      </c>
      <c r="I262" s="8" t="s">
        <v>20</v>
      </c>
      <c r="J262" s="10">
        <f t="shared" si="5"/>
        <v>551</v>
      </c>
      <c r="K262" s="11">
        <v>262.0</v>
      </c>
      <c r="L262" s="11">
        <v>289.0</v>
      </c>
      <c r="M262" s="5"/>
      <c r="N262" s="8" t="s">
        <v>40</v>
      </c>
      <c r="O262" s="8" t="s">
        <v>21</v>
      </c>
      <c r="P262" s="10">
        <f t="shared" si="6"/>
        <v>11683</v>
      </c>
      <c r="Q262" s="11">
        <v>7592.0</v>
      </c>
      <c r="R262" s="11">
        <v>4091.0</v>
      </c>
      <c r="T262" s="8" t="s">
        <v>40</v>
      </c>
      <c r="U262" s="1" t="s">
        <v>21</v>
      </c>
      <c r="V262" s="10">
        <f t="shared" si="7"/>
        <v>9822</v>
      </c>
      <c r="W262" s="1">
        <v>2502.0</v>
      </c>
      <c r="X262" s="11">
        <v>7320.0</v>
      </c>
    </row>
    <row r="263">
      <c r="B263" s="6" t="str">
        <f t="shared" ref="B263:C263" si="524">H263</f>
        <v>Pyinmana</v>
      </c>
      <c r="C263" s="7" t="str">
        <f t="shared" si="524"/>
        <v>0-4</v>
      </c>
      <c r="D263" s="6">
        <f t="shared" ref="D263:F263" si="525">J263+P263+V263</f>
        <v>6734</v>
      </c>
      <c r="E263" s="6">
        <f t="shared" si="525"/>
        <v>3370</v>
      </c>
      <c r="F263" s="6">
        <f t="shared" si="525"/>
        <v>3364</v>
      </c>
      <c r="G263" s="6"/>
      <c r="H263" s="8" t="s">
        <v>41</v>
      </c>
      <c r="I263" s="9" t="s">
        <v>10</v>
      </c>
      <c r="J263" s="10">
        <f t="shared" si="5"/>
        <v>6734</v>
      </c>
      <c r="K263" s="11">
        <v>3370.0</v>
      </c>
      <c r="L263" s="11">
        <v>3364.0</v>
      </c>
      <c r="M263" s="5"/>
      <c r="N263" s="8" t="s">
        <v>41</v>
      </c>
      <c r="O263" s="9" t="s">
        <v>10</v>
      </c>
      <c r="P263" s="10">
        <f t="shared" si="6"/>
        <v>0</v>
      </c>
      <c r="Q263" s="11">
        <v>0.0</v>
      </c>
      <c r="R263" s="11">
        <v>0.0</v>
      </c>
      <c r="T263" s="8" t="s">
        <v>41</v>
      </c>
      <c r="U263" s="9" t="s">
        <v>10</v>
      </c>
      <c r="V263" s="10">
        <f t="shared" si="7"/>
        <v>0</v>
      </c>
      <c r="W263" s="11">
        <v>0.0</v>
      </c>
      <c r="X263" s="11">
        <v>0.0</v>
      </c>
    </row>
    <row r="264">
      <c r="B264" s="6" t="str">
        <f t="shared" ref="B264:C264" si="526">H264</f>
        <v>Pyinmana</v>
      </c>
      <c r="C264" s="12">
        <f t="shared" si="526"/>
        <v>45786</v>
      </c>
      <c r="D264" s="6">
        <f t="shared" ref="D264:F264" si="527">J264+P264+V264</f>
        <v>6698</v>
      </c>
      <c r="E264" s="6">
        <f t="shared" si="527"/>
        <v>3447</v>
      </c>
      <c r="F264" s="6">
        <f t="shared" si="527"/>
        <v>3251</v>
      </c>
      <c r="G264" s="6"/>
      <c r="H264" s="8" t="s">
        <v>41</v>
      </c>
      <c r="I264" s="13">
        <v>45786.0</v>
      </c>
      <c r="J264" s="10">
        <f t="shared" si="5"/>
        <v>6697</v>
      </c>
      <c r="K264" s="11">
        <v>3447.0</v>
      </c>
      <c r="L264" s="11">
        <v>3250.0</v>
      </c>
      <c r="M264" s="5"/>
      <c r="N264" s="8" t="s">
        <v>41</v>
      </c>
      <c r="O264" s="13">
        <v>45786.0</v>
      </c>
      <c r="P264" s="10">
        <f t="shared" si="6"/>
        <v>1</v>
      </c>
      <c r="Q264" s="11">
        <v>0.0</v>
      </c>
      <c r="R264" s="11">
        <v>1.0</v>
      </c>
      <c r="T264" s="8" t="s">
        <v>41</v>
      </c>
      <c r="U264" s="13">
        <v>45786.0</v>
      </c>
      <c r="V264" s="10">
        <f t="shared" si="7"/>
        <v>0</v>
      </c>
      <c r="W264" s="11">
        <v>0.0</v>
      </c>
      <c r="X264" s="11">
        <v>0.0</v>
      </c>
    </row>
    <row r="265">
      <c r="B265" s="6" t="str">
        <f t="shared" ref="B265:C265" si="528">H265</f>
        <v>Pyinmana</v>
      </c>
      <c r="C265" s="12">
        <f t="shared" si="528"/>
        <v>45944</v>
      </c>
      <c r="D265" s="6">
        <f t="shared" ref="D265:F265" si="529">J265+P265+V265</f>
        <v>6599</v>
      </c>
      <c r="E265" s="6">
        <f t="shared" si="529"/>
        <v>3463</v>
      </c>
      <c r="F265" s="6">
        <f t="shared" si="529"/>
        <v>3136</v>
      </c>
      <c r="G265" s="6"/>
      <c r="H265" s="8" t="s">
        <v>41</v>
      </c>
      <c r="I265" s="13">
        <v>45944.0</v>
      </c>
      <c r="J265" s="10">
        <f t="shared" si="5"/>
        <v>6556</v>
      </c>
      <c r="K265" s="11">
        <v>3451.0</v>
      </c>
      <c r="L265" s="11">
        <v>3105.0</v>
      </c>
      <c r="M265" s="5"/>
      <c r="N265" s="8" t="s">
        <v>41</v>
      </c>
      <c r="O265" s="13">
        <v>45944.0</v>
      </c>
      <c r="P265" s="10">
        <f t="shared" si="6"/>
        <v>37</v>
      </c>
      <c r="Q265" s="11">
        <v>10.0</v>
      </c>
      <c r="R265" s="11">
        <v>27.0</v>
      </c>
      <c r="T265" s="8" t="s">
        <v>41</v>
      </c>
      <c r="U265" s="13">
        <v>45944.0</v>
      </c>
      <c r="V265" s="10">
        <f t="shared" si="7"/>
        <v>6</v>
      </c>
      <c r="W265" s="11">
        <v>2.0</v>
      </c>
      <c r="X265" s="11">
        <v>4.0</v>
      </c>
    </row>
    <row r="266">
      <c r="B266" s="6" t="str">
        <f t="shared" ref="B266:C266" si="530">H266</f>
        <v>Pyinmana</v>
      </c>
      <c r="C266" s="7" t="str">
        <f t="shared" si="530"/>
        <v>15-19</v>
      </c>
      <c r="D266" s="6">
        <f t="shared" ref="D266:F266" si="531">J266+P266+V266</f>
        <v>5528</v>
      </c>
      <c r="E266" s="6">
        <f t="shared" si="531"/>
        <v>2799</v>
      </c>
      <c r="F266" s="6">
        <f t="shared" si="531"/>
        <v>2729</v>
      </c>
      <c r="G266" s="6"/>
      <c r="H266" s="8" t="s">
        <v>41</v>
      </c>
      <c r="I266" s="9" t="s">
        <v>11</v>
      </c>
      <c r="J266" s="10">
        <f t="shared" si="5"/>
        <v>4363</v>
      </c>
      <c r="K266" s="11">
        <v>2644.0</v>
      </c>
      <c r="L266" s="11">
        <v>1719.0</v>
      </c>
      <c r="M266" s="5"/>
      <c r="N266" s="8" t="s">
        <v>41</v>
      </c>
      <c r="O266" s="9" t="s">
        <v>11</v>
      </c>
      <c r="P266" s="10">
        <f t="shared" si="6"/>
        <v>1058</v>
      </c>
      <c r="Q266" s="11">
        <v>143.0</v>
      </c>
      <c r="R266" s="11">
        <v>915.0</v>
      </c>
      <c r="T266" s="8" t="s">
        <v>41</v>
      </c>
      <c r="U266" s="9" t="s">
        <v>11</v>
      </c>
      <c r="V266" s="10">
        <f t="shared" si="7"/>
        <v>107</v>
      </c>
      <c r="W266" s="1">
        <v>12.0</v>
      </c>
      <c r="X266" s="11">
        <v>95.0</v>
      </c>
    </row>
    <row r="267">
      <c r="B267" s="6" t="str">
        <f t="shared" ref="B267:C267" si="532">H267</f>
        <v>Pyinmana</v>
      </c>
      <c r="C267" s="7" t="str">
        <f t="shared" si="532"/>
        <v>20-24</v>
      </c>
      <c r="D267" s="6">
        <f t="shared" ref="D267:F267" si="533">J267+P267+V267</f>
        <v>5678</v>
      </c>
      <c r="E267" s="6">
        <f t="shared" si="533"/>
        <v>3232</v>
      </c>
      <c r="F267" s="6">
        <f t="shared" si="533"/>
        <v>2446</v>
      </c>
      <c r="H267" s="8" t="s">
        <v>41</v>
      </c>
      <c r="I267" s="9" t="s">
        <v>12</v>
      </c>
      <c r="J267" s="10">
        <f t="shared" si="5"/>
        <v>2286</v>
      </c>
      <c r="K267" s="11">
        <v>1896.0</v>
      </c>
      <c r="L267" s="11">
        <v>390.0</v>
      </c>
      <c r="N267" s="8" t="s">
        <v>41</v>
      </c>
      <c r="O267" s="9" t="s">
        <v>12</v>
      </c>
      <c r="P267" s="10">
        <f t="shared" si="6"/>
        <v>3134</v>
      </c>
      <c r="Q267" s="11">
        <v>1251.0</v>
      </c>
      <c r="R267" s="11">
        <v>1883.0</v>
      </c>
      <c r="T267" s="8" t="s">
        <v>41</v>
      </c>
      <c r="U267" s="9" t="s">
        <v>12</v>
      </c>
      <c r="V267" s="10">
        <f t="shared" si="7"/>
        <v>258</v>
      </c>
      <c r="W267" s="11">
        <v>85.0</v>
      </c>
      <c r="X267" s="11">
        <v>173.0</v>
      </c>
    </row>
    <row r="268">
      <c r="B268" s="6" t="str">
        <f t="shared" ref="B268:C268" si="534">H268</f>
        <v>Pyinmana</v>
      </c>
      <c r="C268" s="7" t="str">
        <f t="shared" si="534"/>
        <v>25-29</v>
      </c>
      <c r="D268" s="6">
        <f t="shared" ref="D268:F268" si="535">J268+P268+V268</f>
        <v>4928</v>
      </c>
      <c r="E268" s="6">
        <f t="shared" si="535"/>
        <v>2882</v>
      </c>
      <c r="F268" s="6">
        <f t="shared" si="535"/>
        <v>2046</v>
      </c>
      <c r="H268" s="8" t="s">
        <v>41</v>
      </c>
      <c r="I268" s="9" t="s">
        <v>13</v>
      </c>
      <c r="J268" s="10">
        <f t="shared" si="5"/>
        <v>880</v>
      </c>
      <c r="K268" s="11">
        <v>781.0</v>
      </c>
      <c r="L268" s="11">
        <v>99.0</v>
      </c>
      <c r="N268" s="8" t="s">
        <v>41</v>
      </c>
      <c r="O268" s="9" t="s">
        <v>13</v>
      </c>
      <c r="P268" s="10">
        <f t="shared" si="6"/>
        <v>3757</v>
      </c>
      <c r="Q268" s="11">
        <v>1970.0</v>
      </c>
      <c r="R268" s="11">
        <v>1787.0</v>
      </c>
      <c r="T268" s="1" t="s">
        <v>41</v>
      </c>
      <c r="U268" s="1" t="s">
        <v>13</v>
      </c>
      <c r="V268" s="10">
        <f t="shared" si="7"/>
        <v>291</v>
      </c>
      <c r="W268" s="1">
        <v>131.0</v>
      </c>
      <c r="X268" s="1">
        <v>160.0</v>
      </c>
    </row>
    <row r="269">
      <c r="B269" s="6" t="str">
        <f t="shared" ref="B269:C269" si="536">H269</f>
        <v>Pyinmana</v>
      </c>
      <c r="C269" s="7" t="str">
        <f t="shared" si="536"/>
        <v>30-34</v>
      </c>
      <c r="D269" s="6">
        <f t="shared" ref="D269:F269" si="537">J269+P269+V269</f>
        <v>4468</v>
      </c>
      <c r="E269" s="6">
        <f t="shared" si="537"/>
        <v>2515</v>
      </c>
      <c r="F269" s="6">
        <f t="shared" si="537"/>
        <v>1953</v>
      </c>
      <c r="H269" s="8" t="s">
        <v>41</v>
      </c>
      <c r="I269" s="8" t="s">
        <v>14</v>
      </c>
      <c r="J269" s="10">
        <f t="shared" si="5"/>
        <v>372</v>
      </c>
      <c r="K269" s="11">
        <v>307.0</v>
      </c>
      <c r="L269" s="11">
        <v>65.0</v>
      </c>
      <c r="N269" s="8" t="s">
        <v>41</v>
      </c>
      <c r="O269" s="8" t="s">
        <v>14</v>
      </c>
      <c r="P269" s="10">
        <f t="shared" si="6"/>
        <v>3748</v>
      </c>
      <c r="Q269" s="11">
        <v>2050.0</v>
      </c>
      <c r="R269" s="11">
        <v>1698.0</v>
      </c>
      <c r="T269" s="1" t="s">
        <v>41</v>
      </c>
      <c r="U269" s="1" t="s">
        <v>14</v>
      </c>
      <c r="V269" s="10">
        <f t="shared" si="7"/>
        <v>348</v>
      </c>
      <c r="W269" s="1">
        <v>158.0</v>
      </c>
      <c r="X269" s="1">
        <v>190.0</v>
      </c>
    </row>
    <row r="270">
      <c r="B270" s="6" t="str">
        <f t="shared" ref="B270:C270" si="538">H270</f>
        <v>Pyinmana</v>
      </c>
      <c r="C270" s="7" t="str">
        <f t="shared" si="538"/>
        <v>35-39</v>
      </c>
      <c r="D270" s="6">
        <f t="shared" ref="D270:F270" si="539">J270+P270+V270</f>
        <v>3519</v>
      </c>
      <c r="E270" s="6">
        <f t="shared" si="539"/>
        <v>2080</v>
      </c>
      <c r="F270" s="6">
        <f t="shared" si="539"/>
        <v>1439</v>
      </c>
      <c r="H270" s="8" t="s">
        <v>41</v>
      </c>
      <c r="I270" s="8" t="s">
        <v>15</v>
      </c>
      <c r="J270" s="10">
        <f t="shared" si="5"/>
        <v>147</v>
      </c>
      <c r="K270" s="11">
        <v>126.0</v>
      </c>
      <c r="L270" s="11">
        <v>21.0</v>
      </c>
      <c r="N270" s="8" t="s">
        <v>41</v>
      </c>
      <c r="O270" s="8" t="s">
        <v>15</v>
      </c>
      <c r="P270" s="10">
        <f t="shared" si="6"/>
        <v>3034</v>
      </c>
      <c r="Q270" s="11">
        <v>1833.0</v>
      </c>
      <c r="R270" s="11">
        <v>1201.0</v>
      </c>
      <c r="T270" s="1" t="s">
        <v>41</v>
      </c>
      <c r="U270" s="1" t="s">
        <v>15</v>
      </c>
      <c r="V270" s="10">
        <f t="shared" si="7"/>
        <v>338</v>
      </c>
      <c r="W270" s="1">
        <v>121.0</v>
      </c>
      <c r="X270" s="1">
        <v>217.0</v>
      </c>
    </row>
    <row r="271">
      <c r="B271" s="6" t="str">
        <f t="shared" ref="B271:C271" si="540">H271</f>
        <v>Pyinmana</v>
      </c>
      <c r="C271" s="7" t="str">
        <f t="shared" si="540"/>
        <v>40-44</v>
      </c>
      <c r="D271" s="6">
        <f t="shared" ref="D271:F271" si="541">J271+P271+V271</f>
        <v>3485</v>
      </c>
      <c r="E271" s="6">
        <f t="shared" si="541"/>
        <v>1889</v>
      </c>
      <c r="F271" s="6">
        <f t="shared" si="541"/>
        <v>1596</v>
      </c>
      <c r="H271" s="8" t="s">
        <v>41</v>
      </c>
      <c r="I271" s="8" t="s">
        <v>16</v>
      </c>
      <c r="J271" s="10">
        <f t="shared" si="5"/>
        <v>103</v>
      </c>
      <c r="K271" s="11">
        <v>73.0</v>
      </c>
      <c r="L271" s="11">
        <v>30.0</v>
      </c>
      <c r="N271" s="8" t="s">
        <v>41</v>
      </c>
      <c r="O271" s="8" t="s">
        <v>16</v>
      </c>
      <c r="P271" s="10">
        <f t="shared" si="6"/>
        <v>2896</v>
      </c>
      <c r="Q271" s="11">
        <v>1656.0</v>
      </c>
      <c r="R271" s="11">
        <v>1240.0</v>
      </c>
      <c r="T271" s="1" t="s">
        <v>41</v>
      </c>
      <c r="U271" s="1" t="s">
        <v>16</v>
      </c>
      <c r="V271" s="10">
        <f t="shared" si="7"/>
        <v>486</v>
      </c>
      <c r="W271" s="1">
        <v>160.0</v>
      </c>
      <c r="X271" s="1">
        <v>326.0</v>
      </c>
    </row>
    <row r="272">
      <c r="B272" s="6" t="str">
        <f t="shared" ref="B272:C272" si="542">H272</f>
        <v>Pyinmana</v>
      </c>
      <c r="C272" s="7" t="str">
        <f t="shared" si="542"/>
        <v>45-49</v>
      </c>
      <c r="D272" s="6">
        <f t="shared" ref="D272:F272" si="543">J272+P272+V272</f>
        <v>2136</v>
      </c>
      <c r="E272" s="6">
        <f t="shared" si="543"/>
        <v>1164</v>
      </c>
      <c r="F272" s="6">
        <f t="shared" si="543"/>
        <v>972</v>
      </c>
      <c r="H272" s="8" t="s">
        <v>41</v>
      </c>
      <c r="I272" s="8" t="s">
        <v>17</v>
      </c>
      <c r="J272" s="10">
        <f t="shared" si="5"/>
        <v>52</v>
      </c>
      <c r="K272" s="11">
        <v>39.0</v>
      </c>
      <c r="L272" s="11">
        <v>13.0</v>
      </c>
      <c r="N272" s="8" t="s">
        <v>41</v>
      </c>
      <c r="O272" s="8" t="s">
        <v>17</v>
      </c>
      <c r="P272" s="10">
        <f t="shared" si="6"/>
        <v>1733</v>
      </c>
      <c r="Q272" s="11">
        <v>1031.0</v>
      </c>
      <c r="R272" s="11">
        <v>702.0</v>
      </c>
      <c r="T272" s="1" t="s">
        <v>41</v>
      </c>
      <c r="U272" s="1" t="s">
        <v>17</v>
      </c>
      <c r="V272" s="10">
        <f t="shared" si="7"/>
        <v>351</v>
      </c>
      <c r="W272" s="1">
        <v>94.0</v>
      </c>
      <c r="X272" s="1">
        <v>257.0</v>
      </c>
    </row>
    <row r="273">
      <c r="B273" s="6" t="str">
        <f t="shared" ref="B273:C273" si="544">H273</f>
        <v>Pyinmana</v>
      </c>
      <c r="C273" s="7" t="str">
        <f t="shared" si="544"/>
        <v>50-54</v>
      </c>
      <c r="D273" s="6">
        <f t="shared" ref="D273:F273" si="545">J273+P273+V273</f>
        <v>2264</v>
      </c>
      <c r="E273" s="6">
        <f t="shared" si="545"/>
        <v>1138</v>
      </c>
      <c r="F273" s="6">
        <f t="shared" si="545"/>
        <v>1126</v>
      </c>
      <c r="H273" s="8" t="s">
        <v>41</v>
      </c>
      <c r="I273" s="8" t="s">
        <v>18</v>
      </c>
      <c r="J273" s="10">
        <f t="shared" si="5"/>
        <v>49</v>
      </c>
      <c r="K273" s="11">
        <v>32.0</v>
      </c>
      <c r="L273" s="11">
        <v>17.0</v>
      </c>
      <c r="N273" s="8" t="s">
        <v>41</v>
      </c>
      <c r="O273" s="8" t="s">
        <v>18</v>
      </c>
      <c r="P273" s="10">
        <f t="shared" si="6"/>
        <v>1628</v>
      </c>
      <c r="Q273" s="11">
        <v>981.0</v>
      </c>
      <c r="R273" s="11">
        <v>647.0</v>
      </c>
      <c r="T273" s="1" t="s">
        <v>41</v>
      </c>
      <c r="U273" s="1" t="s">
        <v>18</v>
      </c>
      <c r="V273" s="10">
        <f t="shared" si="7"/>
        <v>587</v>
      </c>
      <c r="W273" s="1">
        <v>125.0</v>
      </c>
      <c r="X273" s="1">
        <v>462.0</v>
      </c>
    </row>
    <row r="274">
      <c r="B274" s="6" t="str">
        <f t="shared" ref="B274:C274" si="546">H274</f>
        <v>Pyinmana</v>
      </c>
      <c r="C274" s="7" t="str">
        <f t="shared" si="546"/>
        <v>55-59</v>
      </c>
      <c r="D274" s="6">
        <f t="shared" ref="D274:F274" si="547">J274+P274+V274</f>
        <v>954</v>
      </c>
      <c r="E274" s="6">
        <f t="shared" si="547"/>
        <v>506</v>
      </c>
      <c r="F274" s="6">
        <f t="shared" si="547"/>
        <v>448</v>
      </c>
      <c r="H274" s="8" t="s">
        <v>41</v>
      </c>
      <c r="I274" s="8" t="s">
        <v>19</v>
      </c>
      <c r="J274" s="10">
        <f t="shared" si="5"/>
        <v>17</v>
      </c>
      <c r="K274" s="11">
        <v>12.0</v>
      </c>
      <c r="L274" s="11">
        <v>5.0</v>
      </c>
      <c r="N274" s="8" t="s">
        <v>41</v>
      </c>
      <c r="O274" s="8" t="s">
        <v>19</v>
      </c>
      <c r="P274" s="10">
        <f t="shared" si="6"/>
        <v>668</v>
      </c>
      <c r="Q274" s="11">
        <v>419.0</v>
      </c>
      <c r="R274" s="11">
        <v>249.0</v>
      </c>
      <c r="T274" s="1" t="s">
        <v>41</v>
      </c>
      <c r="U274" s="1" t="s">
        <v>19</v>
      </c>
      <c r="V274" s="10">
        <f t="shared" si="7"/>
        <v>269</v>
      </c>
      <c r="W274" s="1">
        <v>75.0</v>
      </c>
      <c r="X274" s="1">
        <v>194.0</v>
      </c>
    </row>
    <row r="275">
      <c r="B275" s="6" t="str">
        <f t="shared" ref="B275:C275" si="548">H275</f>
        <v>Pyinmana</v>
      </c>
      <c r="C275" s="7" t="str">
        <f t="shared" si="548"/>
        <v>60+</v>
      </c>
      <c r="D275" s="6">
        <f t="shared" ref="D275:F275" si="549">J275+P275+V275</f>
        <v>3258</v>
      </c>
      <c r="E275" s="6">
        <f t="shared" si="549"/>
        <v>1521</v>
      </c>
      <c r="F275" s="6">
        <f t="shared" si="549"/>
        <v>1737</v>
      </c>
      <c r="H275" s="8" t="s">
        <v>41</v>
      </c>
      <c r="I275" s="8" t="s">
        <v>20</v>
      </c>
      <c r="J275" s="10">
        <f t="shared" si="5"/>
        <v>60</v>
      </c>
      <c r="K275" s="11">
        <v>33.0</v>
      </c>
      <c r="L275" s="11">
        <v>27.0</v>
      </c>
      <c r="N275" s="8" t="s">
        <v>41</v>
      </c>
      <c r="O275" s="8" t="s">
        <v>21</v>
      </c>
      <c r="P275" s="10">
        <f t="shared" si="6"/>
        <v>1522</v>
      </c>
      <c r="Q275" s="11">
        <v>1090.0</v>
      </c>
      <c r="R275" s="11">
        <v>432.0</v>
      </c>
      <c r="T275" s="1" t="s">
        <v>41</v>
      </c>
      <c r="U275" s="1" t="s">
        <v>21</v>
      </c>
      <c r="V275" s="10">
        <f t="shared" si="7"/>
        <v>1676</v>
      </c>
      <c r="W275" s="1">
        <v>398.0</v>
      </c>
      <c r="X275" s="1">
        <v>1278.0</v>
      </c>
    </row>
    <row r="276">
      <c r="B276" s="6" t="str">
        <f t="shared" ref="B276:C276" si="550">H276</f>
        <v>Rangoon Town</v>
      </c>
      <c r="C276" s="7" t="str">
        <f t="shared" si="550"/>
        <v>0-4</v>
      </c>
      <c r="D276" s="6">
        <f t="shared" ref="D276:F276" si="551">J276+P276+V276</f>
        <v>13376</v>
      </c>
      <c r="E276" s="6">
        <f t="shared" si="551"/>
        <v>6948</v>
      </c>
      <c r="F276" s="6">
        <f t="shared" si="551"/>
        <v>6428</v>
      </c>
      <c r="H276" s="8" t="s">
        <v>42</v>
      </c>
      <c r="I276" s="9" t="s">
        <v>10</v>
      </c>
      <c r="J276" s="10">
        <f t="shared" si="5"/>
        <v>13376</v>
      </c>
      <c r="K276" s="11">
        <v>6948.0</v>
      </c>
      <c r="L276" s="11">
        <v>6428.0</v>
      </c>
      <c r="N276" s="8" t="s">
        <v>42</v>
      </c>
      <c r="O276" s="9" t="s">
        <v>10</v>
      </c>
      <c r="P276" s="10">
        <f t="shared" si="6"/>
        <v>0</v>
      </c>
      <c r="Q276" s="11">
        <v>0.0</v>
      </c>
      <c r="R276" s="11">
        <v>0.0</v>
      </c>
      <c r="T276" s="8" t="s">
        <v>42</v>
      </c>
      <c r="U276" s="9" t="s">
        <v>10</v>
      </c>
      <c r="V276" s="10">
        <f t="shared" si="7"/>
        <v>0</v>
      </c>
      <c r="W276" s="11">
        <v>0.0</v>
      </c>
      <c r="X276" s="11">
        <v>0.0</v>
      </c>
    </row>
    <row r="277">
      <c r="B277" s="6" t="str">
        <f t="shared" ref="B277:C277" si="552">H277</f>
        <v>Rangoon Town</v>
      </c>
      <c r="C277" s="12">
        <f t="shared" si="552"/>
        <v>45786</v>
      </c>
      <c r="D277" s="6">
        <f t="shared" ref="D277:F277" si="553">J277+P277+V277</f>
        <v>12810</v>
      </c>
      <c r="E277" s="6">
        <f t="shared" si="553"/>
        <v>6388</v>
      </c>
      <c r="F277" s="6">
        <f t="shared" si="553"/>
        <v>6422</v>
      </c>
      <c r="H277" s="8" t="s">
        <v>42</v>
      </c>
      <c r="I277" s="13">
        <v>45786.0</v>
      </c>
      <c r="J277" s="10">
        <f t="shared" si="5"/>
        <v>12810</v>
      </c>
      <c r="K277" s="11">
        <v>6388.0</v>
      </c>
      <c r="L277" s="11">
        <v>6422.0</v>
      </c>
      <c r="N277" s="8" t="s">
        <v>42</v>
      </c>
      <c r="O277" s="13">
        <v>45786.0</v>
      </c>
      <c r="P277" s="10">
        <f t="shared" si="6"/>
        <v>0</v>
      </c>
      <c r="Q277" s="11">
        <v>0.0</v>
      </c>
      <c r="R277" s="11">
        <v>0.0</v>
      </c>
      <c r="T277" s="8" t="s">
        <v>42</v>
      </c>
      <c r="U277" s="13">
        <v>45786.0</v>
      </c>
      <c r="V277" s="10">
        <f t="shared" si="7"/>
        <v>0</v>
      </c>
      <c r="W277" s="11">
        <v>0.0</v>
      </c>
      <c r="X277" s="11">
        <v>0.0</v>
      </c>
    </row>
    <row r="278">
      <c r="B278" s="6" t="str">
        <f t="shared" ref="B278:C278" si="554">H278</f>
        <v>Rangoon Town</v>
      </c>
      <c r="C278" s="12">
        <f t="shared" si="554"/>
        <v>45944</v>
      </c>
      <c r="D278" s="6">
        <f t="shared" ref="D278:F278" si="555">J278+P278+V278</f>
        <v>12340</v>
      </c>
      <c r="E278" s="6">
        <f t="shared" si="555"/>
        <v>7100</v>
      </c>
      <c r="F278" s="6">
        <f t="shared" si="555"/>
        <v>5240</v>
      </c>
      <c r="H278" s="8" t="s">
        <v>42</v>
      </c>
      <c r="I278" s="13">
        <v>45944.0</v>
      </c>
      <c r="J278" s="10">
        <f t="shared" si="5"/>
        <v>12304</v>
      </c>
      <c r="K278" s="11">
        <v>7078.0</v>
      </c>
      <c r="L278" s="11">
        <v>5226.0</v>
      </c>
      <c r="N278" s="8" t="s">
        <v>42</v>
      </c>
      <c r="O278" s="13">
        <v>45944.0</v>
      </c>
      <c r="P278" s="10">
        <f t="shared" si="6"/>
        <v>35</v>
      </c>
      <c r="Q278" s="11">
        <v>22.0</v>
      </c>
      <c r="R278" s="11">
        <v>13.0</v>
      </c>
      <c r="T278" s="8" t="s">
        <v>42</v>
      </c>
      <c r="U278" s="13">
        <v>45944.0</v>
      </c>
      <c r="V278" s="10">
        <f t="shared" si="7"/>
        <v>1</v>
      </c>
      <c r="W278" s="11">
        <v>0.0</v>
      </c>
      <c r="X278" s="11">
        <v>1.0</v>
      </c>
    </row>
    <row r="279">
      <c r="B279" s="6" t="str">
        <f t="shared" ref="B279:C279" si="556">H279</f>
        <v>Rangoon Town</v>
      </c>
      <c r="C279" s="7" t="str">
        <f t="shared" si="556"/>
        <v>15-19</v>
      </c>
      <c r="D279" s="6">
        <f t="shared" ref="D279:F279" si="557">J279+P279+V279</f>
        <v>17494</v>
      </c>
      <c r="E279" s="6">
        <f t="shared" si="557"/>
        <v>11413</v>
      </c>
      <c r="F279" s="6">
        <f t="shared" si="557"/>
        <v>6081</v>
      </c>
      <c r="H279" s="8" t="s">
        <v>42</v>
      </c>
      <c r="I279" s="9" t="s">
        <v>11</v>
      </c>
      <c r="J279" s="10">
        <f t="shared" si="5"/>
        <v>13750</v>
      </c>
      <c r="K279" s="11">
        <v>9816.0</v>
      </c>
      <c r="L279" s="11">
        <v>3934.0</v>
      </c>
      <c r="N279" s="8" t="s">
        <v>42</v>
      </c>
      <c r="O279" s="9" t="s">
        <v>11</v>
      </c>
      <c r="P279" s="10">
        <f t="shared" si="6"/>
        <v>3622</v>
      </c>
      <c r="Q279" s="11">
        <v>1561.0</v>
      </c>
      <c r="R279" s="11">
        <v>2061.0</v>
      </c>
      <c r="T279" s="8" t="s">
        <v>42</v>
      </c>
      <c r="U279" s="8" t="s">
        <v>11</v>
      </c>
      <c r="V279" s="10">
        <f t="shared" si="7"/>
        <v>122</v>
      </c>
      <c r="W279" s="11">
        <v>36.0</v>
      </c>
      <c r="X279" s="11">
        <v>86.0</v>
      </c>
    </row>
    <row r="280">
      <c r="B280" s="6" t="str">
        <f t="shared" ref="B280:C280" si="558">H280</f>
        <v>Rangoon Town</v>
      </c>
      <c r="C280" s="7" t="str">
        <f t="shared" si="558"/>
        <v>20-24</v>
      </c>
      <c r="D280" s="6">
        <f t="shared" ref="D280:F280" si="559">J280+P280+V280</f>
        <v>25734</v>
      </c>
      <c r="E280" s="6">
        <f t="shared" si="559"/>
        <v>19395</v>
      </c>
      <c r="F280" s="6">
        <f t="shared" si="559"/>
        <v>6339</v>
      </c>
      <c r="H280" s="8" t="s">
        <v>42</v>
      </c>
      <c r="I280" s="9" t="s">
        <v>12</v>
      </c>
      <c r="J280" s="10">
        <f t="shared" si="5"/>
        <v>12330</v>
      </c>
      <c r="K280" s="11">
        <v>10722.0</v>
      </c>
      <c r="L280" s="11">
        <v>1608.0</v>
      </c>
      <c r="N280" s="8" t="s">
        <v>42</v>
      </c>
      <c r="O280" s="9" t="s">
        <v>12</v>
      </c>
      <c r="P280" s="10">
        <f t="shared" si="6"/>
        <v>13030</v>
      </c>
      <c r="Q280" s="11">
        <v>8525.0</v>
      </c>
      <c r="R280" s="11">
        <v>4505.0</v>
      </c>
      <c r="T280" s="8" t="s">
        <v>42</v>
      </c>
      <c r="U280" s="8" t="s">
        <v>12</v>
      </c>
      <c r="V280" s="10">
        <f t="shared" si="7"/>
        <v>374</v>
      </c>
      <c r="W280" s="11">
        <v>148.0</v>
      </c>
      <c r="X280" s="11">
        <v>226.0</v>
      </c>
    </row>
    <row r="281">
      <c r="B281" s="6" t="str">
        <f t="shared" ref="B281:C281" si="560">H281</f>
        <v>Rangoon Town</v>
      </c>
      <c r="C281" s="7" t="str">
        <f t="shared" si="560"/>
        <v>25-29</v>
      </c>
      <c r="D281" s="6">
        <f t="shared" ref="D281:F281" si="561">J281+P281+V281</f>
        <v>27354</v>
      </c>
      <c r="E281" s="6">
        <f t="shared" si="561"/>
        <v>21522</v>
      </c>
      <c r="F281" s="6">
        <f t="shared" si="561"/>
        <v>5832</v>
      </c>
      <c r="H281" s="8" t="s">
        <v>42</v>
      </c>
      <c r="I281" s="9" t="s">
        <v>13</v>
      </c>
      <c r="J281" s="10">
        <f t="shared" si="5"/>
        <v>7677</v>
      </c>
      <c r="K281" s="11">
        <v>6876.0</v>
      </c>
      <c r="L281" s="11">
        <v>801.0</v>
      </c>
      <c r="N281" s="8" t="s">
        <v>42</v>
      </c>
      <c r="O281" s="9" t="s">
        <v>13</v>
      </c>
      <c r="P281" s="10">
        <f t="shared" si="6"/>
        <v>19095</v>
      </c>
      <c r="Q281" s="11">
        <v>14368.0</v>
      </c>
      <c r="R281" s="11">
        <v>4727.0</v>
      </c>
      <c r="T281" s="8" t="s">
        <v>42</v>
      </c>
      <c r="U281" s="9" t="s">
        <v>13</v>
      </c>
      <c r="V281" s="10">
        <f t="shared" si="7"/>
        <v>582</v>
      </c>
      <c r="W281" s="1">
        <v>278.0</v>
      </c>
      <c r="X281" s="11">
        <v>304.0</v>
      </c>
    </row>
    <row r="282">
      <c r="B282" s="6" t="str">
        <f t="shared" ref="B282:C282" si="562">H282</f>
        <v>Rangoon Town</v>
      </c>
      <c r="C282" s="7" t="str">
        <f t="shared" si="562"/>
        <v>30-34</v>
      </c>
      <c r="D282" s="6">
        <f t="shared" ref="D282:F282" si="563">J282+P282+V282</f>
        <v>23001</v>
      </c>
      <c r="E282" s="6">
        <f t="shared" si="563"/>
        <v>18103</v>
      </c>
      <c r="F282" s="6">
        <f t="shared" si="563"/>
        <v>4898</v>
      </c>
      <c r="H282" s="8" t="s">
        <v>42</v>
      </c>
      <c r="I282" s="8" t="s">
        <v>14</v>
      </c>
      <c r="J282" s="10">
        <f t="shared" si="5"/>
        <v>3945</v>
      </c>
      <c r="K282" s="11">
        <v>3549.0</v>
      </c>
      <c r="L282" s="11">
        <v>396.0</v>
      </c>
      <c r="N282" s="8" t="s">
        <v>42</v>
      </c>
      <c r="O282" s="8" t="s">
        <v>14</v>
      </c>
      <c r="P282" s="10">
        <f t="shared" si="6"/>
        <v>18161</v>
      </c>
      <c r="Q282" s="11">
        <v>14127.0</v>
      </c>
      <c r="R282" s="11">
        <v>4034.0</v>
      </c>
      <c r="T282" s="8" t="s">
        <v>42</v>
      </c>
      <c r="U282" s="9" t="s">
        <v>14</v>
      </c>
      <c r="V282" s="10">
        <f t="shared" si="7"/>
        <v>895</v>
      </c>
      <c r="W282" s="1">
        <v>427.0</v>
      </c>
      <c r="X282" s="11">
        <v>468.0</v>
      </c>
    </row>
    <row r="283">
      <c r="B283" s="6" t="str">
        <f t="shared" ref="B283:C283" si="564">H283</f>
        <v>Rangoon Town</v>
      </c>
      <c r="C283" s="7" t="str">
        <f t="shared" si="564"/>
        <v>35-39</v>
      </c>
      <c r="D283" s="6">
        <f t="shared" ref="D283:F283" si="565">J283+P283+V283</f>
        <v>14084</v>
      </c>
      <c r="E283" s="6">
        <f t="shared" si="565"/>
        <v>10946</v>
      </c>
      <c r="F283" s="6">
        <f t="shared" si="565"/>
        <v>3138</v>
      </c>
      <c r="H283" s="8" t="s">
        <v>42</v>
      </c>
      <c r="I283" s="8" t="s">
        <v>15</v>
      </c>
      <c r="J283" s="10">
        <f t="shared" si="5"/>
        <v>1832</v>
      </c>
      <c r="K283" s="11">
        <v>1651.0</v>
      </c>
      <c r="L283" s="11">
        <v>181.0</v>
      </c>
      <c r="N283" s="8" t="s">
        <v>42</v>
      </c>
      <c r="O283" s="8" t="s">
        <v>15</v>
      </c>
      <c r="P283" s="10">
        <f t="shared" si="6"/>
        <v>11426</v>
      </c>
      <c r="Q283" s="11">
        <v>8896.0</v>
      </c>
      <c r="R283" s="11">
        <v>2530.0</v>
      </c>
      <c r="T283" s="8" t="s">
        <v>42</v>
      </c>
      <c r="U283" s="9" t="s">
        <v>15</v>
      </c>
      <c r="V283" s="10">
        <f t="shared" si="7"/>
        <v>826</v>
      </c>
      <c r="W283" s="1">
        <v>399.0</v>
      </c>
      <c r="X283" s="11">
        <v>427.0</v>
      </c>
    </row>
    <row r="284">
      <c r="B284" s="6" t="str">
        <f t="shared" ref="B284:C284" si="566">H284</f>
        <v>Rangoon Town</v>
      </c>
      <c r="C284" s="7" t="str">
        <f t="shared" si="566"/>
        <v>40-44</v>
      </c>
      <c r="D284" s="6">
        <f t="shared" ref="D284:F284" si="567">J284+P284+V284</f>
        <v>12614</v>
      </c>
      <c r="E284" s="6">
        <f t="shared" si="567"/>
        <v>9549</v>
      </c>
      <c r="F284" s="6">
        <f t="shared" si="567"/>
        <v>3065</v>
      </c>
      <c r="H284" s="8" t="s">
        <v>42</v>
      </c>
      <c r="I284" s="8" t="s">
        <v>16</v>
      </c>
      <c r="J284" s="10">
        <f t="shared" si="5"/>
        <v>1049</v>
      </c>
      <c r="K284" s="11">
        <v>936.0</v>
      </c>
      <c r="L284" s="11">
        <v>113.0</v>
      </c>
      <c r="N284" s="8" t="s">
        <v>42</v>
      </c>
      <c r="O284" s="8" t="s">
        <v>16</v>
      </c>
      <c r="P284" s="10">
        <f t="shared" si="6"/>
        <v>10296</v>
      </c>
      <c r="Q284" s="11">
        <v>8027.0</v>
      </c>
      <c r="R284" s="11">
        <v>2269.0</v>
      </c>
      <c r="T284" s="8" t="s">
        <v>42</v>
      </c>
      <c r="U284" s="9" t="s">
        <v>16</v>
      </c>
      <c r="V284" s="10">
        <f t="shared" si="7"/>
        <v>1269</v>
      </c>
      <c r="W284" s="1">
        <v>586.0</v>
      </c>
      <c r="X284" s="11">
        <v>683.0</v>
      </c>
    </row>
    <row r="285">
      <c r="B285" s="6" t="str">
        <f t="shared" ref="B285:C285" si="568">H285</f>
        <v>Rangoon Town</v>
      </c>
      <c r="C285" s="7" t="str">
        <f t="shared" si="568"/>
        <v>45-49</v>
      </c>
      <c r="D285" s="6">
        <f t="shared" ref="D285:F285" si="569">J285+P285+V285</f>
        <v>5976</v>
      </c>
      <c r="E285" s="6">
        <f t="shared" si="569"/>
        <v>4183</v>
      </c>
      <c r="F285" s="6">
        <f t="shared" si="569"/>
        <v>1793</v>
      </c>
      <c r="H285" s="8" t="s">
        <v>42</v>
      </c>
      <c r="I285" s="8" t="s">
        <v>17</v>
      </c>
      <c r="J285" s="10">
        <f t="shared" si="5"/>
        <v>379</v>
      </c>
      <c r="K285" s="11">
        <v>332.0</v>
      </c>
      <c r="L285" s="11">
        <v>47.0</v>
      </c>
      <c r="N285" s="8" t="s">
        <v>42</v>
      </c>
      <c r="O285" s="8" t="s">
        <v>17</v>
      </c>
      <c r="P285" s="10">
        <f t="shared" si="6"/>
        <v>4662</v>
      </c>
      <c r="Q285" s="11">
        <v>3461.0</v>
      </c>
      <c r="R285" s="11">
        <v>1201.0</v>
      </c>
      <c r="T285" s="8" t="s">
        <v>42</v>
      </c>
      <c r="U285" s="9" t="s">
        <v>17</v>
      </c>
      <c r="V285" s="10">
        <f t="shared" si="7"/>
        <v>935</v>
      </c>
      <c r="W285" s="1">
        <v>390.0</v>
      </c>
      <c r="X285" s="11">
        <v>545.0</v>
      </c>
    </row>
    <row r="286">
      <c r="B286" s="6" t="str">
        <f t="shared" ref="B286:C286" si="570">H286</f>
        <v>Rangoon Town</v>
      </c>
      <c r="C286" s="7" t="str">
        <f t="shared" si="570"/>
        <v>50-54</v>
      </c>
      <c r="D286" s="6">
        <f t="shared" ref="D286:F286" si="571">J286+P286+V286</f>
        <v>6758</v>
      </c>
      <c r="E286" s="6">
        <f t="shared" si="571"/>
        <v>4458</v>
      </c>
      <c r="F286" s="6">
        <f t="shared" si="571"/>
        <v>2300</v>
      </c>
      <c r="H286" s="8" t="s">
        <v>42</v>
      </c>
      <c r="I286" s="8" t="s">
        <v>18</v>
      </c>
      <c r="J286" s="10">
        <f t="shared" si="5"/>
        <v>409</v>
      </c>
      <c r="K286" s="11">
        <v>338.0</v>
      </c>
      <c r="L286" s="11">
        <v>71.0</v>
      </c>
      <c r="N286" s="8" t="s">
        <v>42</v>
      </c>
      <c r="O286" s="8" t="s">
        <v>18</v>
      </c>
      <c r="P286" s="10">
        <f t="shared" si="6"/>
        <v>4815</v>
      </c>
      <c r="Q286" s="11">
        <v>3587.0</v>
      </c>
      <c r="R286" s="11">
        <v>1228.0</v>
      </c>
      <c r="T286" s="8" t="s">
        <v>42</v>
      </c>
      <c r="U286" s="9" t="s">
        <v>18</v>
      </c>
      <c r="V286" s="10">
        <f t="shared" si="7"/>
        <v>1534</v>
      </c>
      <c r="W286" s="1">
        <v>533.0</v>
      </c>
      <c r="X286" s="11">
        <v>1001.0</v>
      </c>
    </row>
    <row r="287">
      <c r="B287" s="6" t="str">
        <f t="shared" ref="B287:C287" si="572">H287</f>
        <v>Rangoon Town</v>
      </c>
      <c r="C287" s="7" t="str">
        <f t="shared" si="572"/>
        <v>55-59</v>
      </c>
      <c r="D287" s="6">
        <f t="shared" ref="D287:F287" si="573">J287+P287+V287</f>
        <v>2573</v>
      </c>
      <c r="E287" s="6">
        <f t="shared" si="573"/>
        <v>1584</v>
      </c>
      <c r="F287" s="6">
        <f t="shared" si="573"/>
        <v>989</v>
      </c>
      <c r="H287" s="8" t="s">
        <v>42</v>
      </c>
      <c r="I287" s="8" t="s">
        <v>19</v>
      </c>
      <c r="J287" s="10">
        <f t="shared" si="5"/>
        <v>148</v>
      </c>
      <c r="K287" s="11">
        <v>109.0</v>
      </c>
      <c r="L287" s="11">
        <v>39.0</v>
      </c>
      <c r="N287" s="8" t="s">
        <v>42</v>
      </c>
      <c r="O287" s="8" t="s">
        <v>19</v>
      </c>
      <c r="P287" s="10">
        <f t="shared" si="6"/>
        <v>1718</v>
      </c>
      <c r="Q287" s="11">
        <v>1231.0</v>
      </c>
      <c r="R287" s="11">
        <v>487.0</v>
      </c>
      <c r="T287" s="8" t="s">
        <v>42</v>
      </c>
      <c r="U287" s="9" t="s">
        <v>19</v>
      </c>
      <c r="V287" s="10">
        <f t="shared" si="7"/>
        <v>707</v>
      </c>
      <c r="W287" s="1">
        <v>244.0</v>
      </c>
      <c r="X287" s="11">
        <v>463.0</v>
      </c>
    </row>
    <row r="288">
      <c r="B288" s="6" t="str">
        <f t="shared" ref="B288:C288" si="574">H288</f>
        <v>Rangoon Town</v>
      </c>
      <c r="C288" s="7" t="str">
        <f t="shared" si="574"/>
        <v>60+</v>
      </c>
      <c r="D288" s="6">
        <f t="shared" ref="D288:F288" si="575">J288+P288+V288</f>
        <v>6782</v>
      </c>
      <c r="E288" s="6">
        <f t="shared" si="575"/>
        <v>3688</v>
      </c>
      <c r="F288" s="6">
        <f t="shared" si="575"/>
        <v>3094</v>
      </c>
      <c r="H288" s="8" t="s">
        <v>42</v>
      </c>
      <c r="I288" s="8" t="s">
        <v>20</v>
      </c>
      <c r="J288" s="10">
        <f t="shared" si="5"/>
        <v>416</v>
      </c>
      <c r="K288" s="11">
        <v>274.0</v>
      </c>
      <c r="L288" s="11">
        <v>142.0</v>
      </c>
      <c r="N288" s="8" t="s">
        <v>42</v>
      </c>
      <c r="O288" s="8" t="s">
        <v>21</v>
      </c>
      <c r="P288" s="10">
        <f t="shared" si="6"/>
        <v>3329</v>
      </c>
      <c r="Q288" s="11">
        <v>2456.0</v>
      </c>
      <c r="R288" s="11">
        <v>873.0</v>
      </c>
      <c r="T288" s="8" t="s">
        <v>42</v>
      </c>
      <c r="U288" s="1" t="s">
        <v>21</v>
      </c>
      <c r="V288" s="10">
        <f t="shared" si="7"/>
        <v>3037</v>
      </c>
      <c r="W288" s="1">
        <v>958.0</v>
      </c>
      <c r="X288" s="11">
        <v>2079.0</v>
      </c>
    </row>
    <row r="289">
      <c r="B289" s="6" t="str">
        <f t="shared" ref="B289:C289" si="576">H289</f>
        <v>Ruby Mines</v>
      </c>
      <c r="C289" s="7" t="str">
        <f t="shared" si="576"/>
        <v>0-4</v>
      </c>
      <c r="D289" s="6">
        <f t="shared" ref="D289:F289" si="577">J289+P289+V289</f>
        <v>2200</v>
      </c>
      <c r="E289" s="6">
        <f t="shared" si="577"/>
        <v>1095</v>
      </c>
      <c r="F289" s="6">
        <f t="shared" si="577"/>
        <v>1105</v>
      </c>
      <c r="H289" s="8" t="s">
        <v>43</v>
      </c>
      <c r="I289" s="9" t="s">
        <v>10</v>
      </c>
      <c r="J289" s="10">
        <f t="shared" si="5"/>
        <v>2200</v>
      </c>
      <c r="K289" s="11">
        <v>1095.0</v>
      </c>
      <c r="L289" s="11">
        <v>1105.0</v>
      </c>
      <c r="N289" s="8" t="s">
        <v>43</v>
      </c>
      <c r="O289" s="9" t="s">
        <v>10</v>
      </c>
      <c r="P289" s="10">
        <f t="shared" si="6"/>
        <v>0</v>
      </c>
      <c r="Q289" s="11">
        <v>0.0</v>
      </c>
      <c r="R289" s="11">
        <v>0.0</v>
      </c>
      <c r="T289" s="8" t="s">
        <v>43</v>
      </c>
      <c r="U289" s="9" t="s">
        <v>10</v>
      </c>
      <c r="V289" s="10">
        <f t="shared" si="7"/>
        <v>0</v>
      </c>
      <c r="W289" s="11">
        <v>0.0</v>
      </c>
      <c r="X289" s="11">
        <v>0.0</v>
      </c>
    </row>
    <row r="290">
      <c r="B290" s="6" t="str">
        <f t="shared" ref="B290:C290" si="578">H290</f>
        <v>Ruby Mines</v>
      </c>
      <c r="C290" s="12">
        <f t="shared" si="578"/>
        <v>45786</v>
      </c>
      <c r="D290" s="6">
        <f t="shared" ref="D290:F290" si="579">J290+P290+V290</f>
        <v>4466</v>
      </c>
      <c r="E290" s="6">
        <f t="shared" si="579"/>
        <v>1448</v>
      </c>
      <c r="F290" s="6">
        <f t="shared" si="579"/>
        <v>3018</v>
      </c>
      <c r="H290" s="8" t="s">
        <v>43</v>
      </c>
      <c r="I290" s="13">
        <v>45786.0</v>
      </c>
      <c r="J290" s="10">
        <f t="shared" si="5"/>
        <v>4466</v>
      </c>
      <c r="K290" s="11">
        <v>1448.0</v>
      </c>
      <c r="L290" s="11">
        <v>3018.0</v>
      </c>
      <c r="N290" s="8" t="s">
        <v>43</v>
      </c>
      <c r="O290" s="13">
        <v>45786.0</v>
      </c>
      <c r="P290" s="10">
        <f t="shared" si="6"/>
        <v>0</v>
      </c>
      <c r="Q290" s="11">
        <v>0.0</v>
      </c>
      <c r="R290" s="11">
        <v>0.0</v>
      </c>
      <c r="T290" s="8" t="s">
        <v>43</v>
      </c>
      <c r="U290" s="13">
        <v>45786.0</v>
      </c>
      <c r="V290" s="10">
        <f t="shared" si="7"/>
        <v>0</v>
      </c>
      <c r="W290" s="11">
        <v>0.0</v>
      </c>
      <c r="X290" s="11">
        <v>0.0</v>
      </c>
    </row>
    <row r="291">
      <c r="B291" s="6" t="str">
        <f t="shared" ref="B291:C291" si="580">H291</f>
        <v>Ruby Mines</v>
      </c>
      <c r="C291" s="12">
        <f t="shared" si="580"/>
        <v>45944</v>
      </c>
      <c r="D291" s="6">
        <f t="shared" ref="D291:F291" si="581">J291+P291+V291</f>
        <v>2129</v>
      </c>
      <c r="E291" s="6">
        <f t="shared" si="581"/>
        <v>1149</v>
      </c>
      <c r="F291" s="6">
        <f t="shared" si="581"/>
        <v>980</v>
      </c>
      <c r="H291" s="8" t="s">
        <v>43</v>
      </c>
      <c r="I291" s="13">
        <v>45944.0</v>
      </c>
      <c r="J291" s="10">
        <f t="shared" si="5"/>
        <v>2113</v>
      </c>
      <c r="K291" s="11">
        <v>1146.0</v>
      </c>
      <c r="L291" s="11">
        <v>967.0</v>
      </c>
      <c r="N291" s="8" t="s">
        <v>43</v>
      </c>
      <c r="O291" s="13">
        <v>45944.0</v>
      </c>
      <c r="P291" s="10">
        <f t="shared" si="6"/>
        <v>14</v>
      </c>
      <c r="Q291" s="11">
        <v>3.0</v>
      </c>
      <c r="R291" s="11">
        <v>11.0</v>
      </c>
      <c r="T291" s="8" t="s">
        <v>43</v>
      </c>
      <c r="U291" s="13">
        <v>45944.0</v>
      </c>
      <c r="V291" s="10">
        <f t="shared" si="7"/>
        <v>2</v>
      </c>
      <c r="W291" s="11">
        <v>0.0</v>
      </c>
      <c r="X291" s="11">
        <v>2.0</v>
      </c>
    </row>
    <row r="292">
      <c r="B292" s="6" t="str">
        <f t="shared" ref="B292:C292" si="582">H292</f>
        <v>Ruby Mines</v>
      </c>
      <c r="C292" s="7" t="str">
        <f t="shared" si="582"/>
        <v>15-19</v>
      </c>
      <c r="D292" s="6">
        <f t="shared" ref="D292:F292" si="583">J292+P292+V292</f>
        <v>2438</v>
      </c>
      <c r="E292" s="6">
        <f t="shared" si="583"/>
        <v>1475</v>
      </c>
      <c r="F292" s="6">
        <f t="shared" si="583"/>
        <v>963</v>
      </c>
      <c r="H292" s="8" t="s">
        <v>43</v>
      </c>
      <c r="I292" s="9" t="s">
        <v>11</v>
      </c>
      <c r="J292" s="10">
        <f t="shared" si="5"/>
        <v>2117</v>
      </c>
      <c r="K292" s="11">
        <v>1399.0</v>
      </c>
      <c r="L292" s="11">
        <v>718.0</v>
      </c>
      <c r="N292" s="8" t="s">
        <v>43</v>
      </c>
      <c r="O292" s="9" t="s">
        <v>11</v>
      </c>
      <c r="P292" s="10">
        <f t="shared" si="6"/>
        <v>297</v>
      </c>
      <c r="Q292" s="11">
        <v>73.0</v>
      </c>
      <c r="R292" s="11">
        <v>224.0</v>
      </c>
      <c r="T292" s="8" t="s">
        <v>43</v>
      </c>
      <c r="U292" s="9" t="s">
        <v>11</v>
      </c>
      <c r="V292" s="10">
        <f t="shared" si="7"/>
        <v>24</v>
      </c>
      <c r="W292" s="11">
        <v>3.0</v>
      </c>
      <c r="X292" s="11">
        <v>21.0</v>
      </c>
    </row>
    <row r="293">
      <c r="B293" s="6" t="str">
        <f t="shared" ref="B293:C293" si="584">H293</f>
        <v>Ruby Mines</v>
      </c>
      <c r="C293" s="7" t="str">
        <f t="shared" si="584"/>
        <v>20-24</v>
      </c>
      <c r="D293" s="6">
        <f t="shared" ref="D293:F293" si="585">J293+P293+V293</f>
        <v>3469</v>
      </c>
      <c r="E293" s="6">
        <f t="shared" si="585"/>
        <v>2519</v>
      </c>
      <c r="F293" s="6">
        <f t="shared" si="585"/>
        <v>950</v>
      </c>
      <c r="H293" s="8" t="s">
        <v>43</v>
      </c>
      <c r="I293" s="9" t="s">
        <v>12</v>
      </c>
      <c r="J293" s="10">
        <f t="shared" si="5"/>
        <v>2172</v>
      </c>
      <c r="K293" s="11">
        <v>1902.0</v>
      </c>
      <c r="L293" s="11">
        <v>270.0</v>
      </c>
      <c r="N293" s="8" t="s">
        <v>43</v>
      </c>
      <c r="O293" s="9" t="s">
        <v>12</v>
      </c>
      <c r="P293" s="10">
        <f t="shared" si="6"/>
        <v>1214</v>
      </c>
      <c r="Q293" s="11">
        <v>587.0</v>
      </c>
      <c r="R293" s="11">
        <v>627.0</v>
      </c>
      <c r="T293" s="8" t="s">
        <v>43</v>
      </c>
      <c r="U293" s="9" t="s">
        <v>12</v>
      </c>
      <c r="V293" s="10">
        <f t="shared" si="7"/>
        <v>83</v>
      </c>
      <c r="W293" s="11">
        <v>30.0</v>
      </c>
      <c r="X293" s="11">
        <v>53.0</v>
      </c>
    </row>
    <row r="294">
      <c r="B294" s="6" t="str">
        <f t="shared" ref="B294:C294" si="586">H294</f>
        <v>Ruby Mines</v>
      </c>
      <c r="C294" s="7" t="str">
        <f t="shared" si="586"/>
        <v>25-29</v>
      </c>
      <c r="D294" s="6">
        <f t="shared" ref="D294:F294" si="587">J294+P294+V294</f>
        <v>3283</v>
      </c>
      <c r="E294" s="6">
        <f t="shared" si="587"/>
        <v>2428</v>
      </c>
      <c r="F294" s="6">
        <f t="shared" si="587"/>
        <v>855</v>
      </c>
      <c r="H294" s="8" t="s">
        <v>43</v>
      </c>
      <c r="I294" s="9" t="s">
        <v>13</v>
      </c>
      <c r="J294" s="10">
        <f t="shared" si="5"/>
        <v>1365</v>
      </c>
      <c r="K294" s="11">
        <v>1277.0</v>
      </c>
      <c r="L294" s="11">
        <v>88.0</v>
      </c>
      <c r="N294" s="8" t="s">
        <v>43</v>
      </c>
      <c r="O294" s="9" t="s">
        <v>13</v>
      </c>
      <c r="P294" s="10">
        <f t="shared" si="6"/>
        <v>1775</v>
      </c>
      <c r="Q294" s="11">
        <v>1085.0</v>
      </c>
      <c r="R294" s="11">
        <v>690.0</v>
      </c>
      <c r="T294" s="1" t="s">
        <v>43</v>
      </c>
      <c r="U294" s="1" t="s">
        <v>13</v>
      </c>
      <c r="V294" s="10">
        <f t="shared" si="7"/>
        <v>143</v>
      </c>
      <c r="W294" s="1">
        <v>66.0</v>
      </c>
      <c r="X294" s="1">
        <v>77.0</v>
      </c>
    </row>
    <row r="295">
      <c r="B295" s="6" t="str">
        <f t="shared" ref="B295:C295" si="588">H295</f>
        <v>Ruby Mines</v>
      </c>
      <c r="C295" s="7" t="str">
        <f t="shared" si="588"/>
        <v>30-34</v>
      </c>
      <c r="D295" s="6">
        <f t="shared" ref="D295:F295" si="589">J295+P295+V295</f>
        <v>3136</v>
      </c>
      <c r="E295" s="6">
        <f t="shared" si="589"/>
        <v>2318</v>
      </c>
      <c r="F295" s="6">
        <f t="shared" si="589"/>
        <v>818</v>
      </c>
      <c r="H295" s="8" t="s">
        <v>43</v>
      </c>
      <c r="I295" s="8" t="s">
        <v>14</v>
      </c>
      <c r="J295" s="10">
        <f t="shared" si="5"/>
        <v>710</v>
      </c>
      <c r="K295" s="11">
        <v>649.0</v>
      </c>
      <c r="L295" s="11">
        <v>61.0</v>
      </c>
      <c r="N295" s="8" t="s">
        <v>43</v>
      </c>
      <c r="O295" s="8" t="s">
        <v>14</v>
      </c>
      <c r="P295" s="10">
        <f t="shared" si="6"/>
        <v>2189</v>
      </c>
      <c r="Q295" s="11">
        <v>1538.0</v>
      </c>
      <c r="R295" s="11">
        <v>651.0</v>
      </c>
      <c r="T295" s="1" t="s">
        <v>43</v>
      </c>
      <c r="U295" s="1" t="s">
        <v>14</v>
      </c>
      <c r="V295" s="10">
        <f t="shared" si="7"/>
        <v>237</v>
      </c>
      <c r="W295" s="1">
        <v>131.0</v>
      </c>
      <c r="X295" s="1">
        <v>106.0</v>
      </c>
    </row>
    <row r="296">
      <c r="B296" s="6" t="str">
        <f t="shared" ref="B296:C296" si="590">H296</f>
        <v>Ruby Mines</v>
      </c>
      <c r="C296" s="7" t="str">
        <f t="shared" si="590"/>
        <v>35-39</v>
      </c>
      <c r="D296" s="6">
        <f t="shared" ref="D296:F296" si="591">J296+P296+V296</f>
        <v>1988</v>
      </c>
      <c r="E296" s="6">
        <f t="shared" si="591"/>
        <v>1500</v>
      </c>
      <c r="F296" s="6">
        <f t="shared" si="591"/>
        <v>488</v>
      </c>
      <c r="H296" s="8" t="s">
        <v>43</v>
      </c>
      <c r="I296" s="8" t="s">
        <v>15</v>
      </c>
      <c r="J296" s="10">
        <f t="shared" si="5"/>
        <v>279</v>
      </c>
      <c r="K296" s="11">
        <v>258.0</v>
      </c>
      <c r="L296" s="11">
        <v>21.0</v>
      </c>
      <c r="N296" s="8" t="s">
        <v>43</v>
      </c>
      <c r="O296" s="8" t="s">
        <v>15</v>
      </c>
      <c r="P296" s="10">
        <f t="shared" si="6"/>
        <v>1507</v>
      </c>
      <c r="Q296" s="11">
        <v>1114.0</v>
      </c>
      <c r="R296" s="11">
        <v>393.0</v>
      </c>
      <c r="T296" s="1" t="s">
        <v>43</v>
      </c>
      <c r="U296" s="1" t="s">
        <v>15</v>
      </c>
      <c r="V296" s="10">
        <f t="shared" si="7"/>
        <v>202</v>
      </c>
      <c r="W296" s="1">
        <v>128.0</v>
      </c>
      <c r="X296" s="1">
        <v>74.0</v>
      </c>
    </row>
    <row r="297">
      <c r="B297" s="6" t="str">
        <f t="shared" ref="B297:C297" si="592">H297</f>
        <v>Ruby Mines</v>
      </c>
      <c r="C297" s="7" t="str">
        <f t="shared" si="592"/>
        <v>40-44</v>
      </c>
      <c r="D297" s="6">
        <f t="shared" ref="D297:F297" si="593">J297+P297+V297</f>
        <v>1781</v>
      </c>
      <c r="E297" s="6">
        <f t="shared" si="593"/>
        <v>1228</v>
      </c>
      <c r="F297" s="6">
        <f t="shared" si="593"/>
        <v>553</v>
      </c>
      <c r="H297" s="8" t="s">
        <v>43</v>
      </c>
      <c r="I297" s="8" t="s">
        <v>16</v>
      </c>
      <c r="J297" s="10">
        <f t="shared" si="5"/>
        <v>126</v>
      </c>
      <c r="K297" s="11">
        <v>110.0</v>
      </c>
      <c r="L297" s="11">
        <v>16.0</v>
      </c>
      <c r="N297" s="8" t="s">
        <v>43</v>
      </c>
      <c r="O297" s="8" t="s">
        <v>16</v>
      </c>
      <c r="P297" s="10">
        <f t="shared" si="6"/>
        <v>1416</v>
      </c>
      <c r="Q297" s="11">
        <v>999.0</v>
      </c>
      <c r="R297" s="11">
        <v>417.0</v>
      </c>
      <c r="T297" s="1" t="s">
        <v>43</v>
      </c>
      <c r="U297" s="1" t="s">
        <v>16</v>
      </c>
      <c r="V297" s="10">
        <f t="shared" si="7"/>
        <v>239</v>
      </c>
      <c r="W297" s="1">
        <v>119.0</v>
      </c>
      <c r="X297" s="1">
        <v>120.0</v>
      </c>
    </row>
    <row r="298">
      <c r="B298" s="6" t="str">
        <f t="shared" ref="B298:C298" si="594">H298</f>
        <v>Ruby Mines</v>
      </c>
      <c r="C298" s="7" t="str">
        <f t="shared" si="594"/>
        <v>45-49</v>
      </c>
      <c r="D298" s="6">
        <f t="shared" ref="D298:F298" si="595">J298+P298+V298</f>
        <v>877</v>
      </c>
      <c r="E298" s="6">
        <f t="shared" si="595"/>
        <v>622</v>
      </c>
      <c r="F298" s="6">
        <f t="shared" si="595"/>
        <v>255</v>
      </c>
      <c r="H298" s="8" t="s">
        <v>43</v>
      </c>
      <c r="I298" s="8" t="s">
        <v>17</v>
      </c>
      <c r="J298" s="10">
        <f t="shared" si="5"/>
        <v>45</v>
      </c>
      <c r="K298" s="11">
        <v>42.0</v>
      </c>
      <c r="L298" s="11">
        <v>3.0</v>
      </c>
      <c r="N298" s="8" t="s">
        <v>43</v>
      </c>
      <c r="O298" s="8" t="s">
        <v>17</v>
      </c>
      <c r="P298" s="10">
        <f t="shared" si="6"/>
        <v>684</v>
      </c>
      <c r="Q298" s="11">
        <v>501.0</v>
      </c>
      <c r="R298" s="11">
        <v>183.0</v>
      </c>
      <c r="T298" s="1" t="s">
        <v>43</v>
      </c>
      <c r="U298" s="1" t="s">
        <v>17</v>
      </c>
      <c r="V298" s="10">
        <f t="shared" si="7"/>
        <v>148</v>
      </c>
      <c r="W298" s="1">
        <v>79.0</v>
      </c>
      <c r="X298" s="1">
        <v>69.0</v>
      </c>
    </row>
    <row r="299">
      <c r="B299" s="6" t="str">
        <f t="shared" ref="B299:C299" si="596">H299</f>
        <v>Ruby Mines</v>
      </c>
      <c r="C299" s="7" t="str">
        <f t="shared" si="596"/>
        <v>50-54</v>
      </c>
      <c r="D299" s="6">
        <f t="shared" ref="D299:F299" si="597">J299+P299+V299</f>
        <v>1033</v>
      </c>
      <c r="E299" s="6">
        <f t="shared" si="597"/>
        <v>683</v>
      </c>
      <c r="F299" s="6">
        <f t="shared" si="597"/>
        <v>350</v>
      </c>
      <c r="H299" s="8" t="s">
        <v>43</v>
      </c>
      <c r="I299" s="8" t="s">
        <v>18</v>
      </c>
      <c r="J299" s="10">
        <f t="shared" si="5"/>
        <v>58</v>
      </c>
      <c r="K299" s="11">
        <v>50.0</v>
      </c>
      <c r="L299" s="11">
        <v>8.0</v>
      </c>
      <c r="N299" s="8" t="s">
        <v>43</v>
      </c>
      <c r="O299" s="8" t="s">
        <v>18</v>
      </c>
      <c r="P299" s="10">
        <f t="shared" si="6"/>
        <v>724</v>
      </c>
      <c r="Q299" s="11">
        <v>540.0</v>
      </c>
      <c r="R299" s="11">
        <v>184.0</v>
      </c>
      <c r="T299" s="1" t="s">
        <v>43</v>
      </c>
      <c r="U299" s="1" t="s">
        <v>18</v>
      </c>
      <c r="V299" s="10">
        <f t="shared" si="7"/>
        <v>251</v>
      </c>
      <c r="W299" s="1">
        <v>93.0</v>
      </c>
      <c r="X299" s="1">
        <v>158.0</v>
      </c>
    </row>
    <row r="300">
      <c r="B300" s="6" t="str">
        <f t="shared" ref="B300:C300" si="598">H300</f>
        <v>Ruby Mines</v>
      </c>
      <c r="C300" s="7" t="str">
        <f t="shared" si="598"/>
        <v>55-59</v>
      </c>
      <c r="D300" s="6">
        <f t="shared" ref="D300:F300" si="599">J300+P300+V300</f>
        <v>465</v>
      </c>
      <c r="E300" s="6">
        <f t="shared" si="599"/>
        <v>287</v>
      </c>
      <c r="F300" s="6">
        <f t="shared" si="599"/>
        <v>178</v>
      </c>
      <c r="H300" s="8" t="s">
        <v>43</v>
      </c>
      <c r="I300" s="8" t="s">
        <v>19</v>
      </c>
      <c r="J300" s="10">
        <f t="shared" si="5"/>
        <v>19</v>
      </c>
      <c r="K300" s="11">
        <v>17.0</v>
      </c>
      <c r="L300" s="11">
        <v>2.0</v>
      </c>
      <c r="N300" s="8" t="s">
        <v>43</v>
      </c>
      <c r="O300" s="8" t="s">
        <v>19</v>
      </c>
      <c r="P300" s="10">
        <f t="shared" si="6"/>
        <v>320</v>
      </c>
      <c r="Q300" s="11">
        <v>212.0</v>
      </c>
      <c r="R300" s="11">
        <v>108.0</v>
      </c>
      <c r="T300" s="1" t="s">
        <v>43</v>
      </c>
      <c r="U300" s="1" t="s">
        <v>19</v>
      </c>
      <c r="V300" s="10">
        <f t="shared" si="7"/>
        <v>126</v>
      </c>
      <c r="W300" s="1">
        <v>58.0</v>
      </c>
      <c r="X300" s="1">
        <v>68.0</v>
      </c>
    </row>
    <row r="301">
      <c r="B301" s="6" t="str">
        <f t="shared" ref="B301:C301" si="600">H301</f>
        <v>Ruby Mines</v>
      </c>
      <c r="C301" s="7" t="str">
        <f t="shared" si="600"/>
        <v>60+</v>
      </c>
      <c r="D301" s="6">
        <f t="shared" ref="D301:F301" si="601">J301+P301+V301</f>
        <v>1310</v>
      </c>
      <c r="E301" s="6">
        <f t="shared" si="601"/>
        <v>724</v>
      </c>
      <c r="F301" s="6">
        <f t="shared" si="601"/>
        <v>586</v>
      </c>
      <c r="H301" s="8" t="s">
        <v>43</v>
      </c>
      <c r="I301" s="8" t="s">
        <v>20</v>
      </c>
      <c r="J301" s="10">
        <f t="shared" si="5"/>
        <v>46</v>
      </c>
      <c r="K301" s="11">
        <v>30.0</v>
      </c>
      <c r="L301" s="11">
        <v>16.0</v>
      </c>
      <c r="N301" s="8" t="s">
        <v>43</v>
      </c>
      <c r="O301" s="8" t="s">
        <v>21</v>
      </c>
      <c r="P301" s="10">
        <f t="shared" si="6"/>
        <v>587</v>
      </c>
      <c r="Q301" s="11">
        <v>447.0</v>
      </c>
      <c r="R301" s="11">
        <v>140.0</v>
      </c>
      <c r="T301" s="1" t="s">
        <v>43</v>
      </c>
      <c r="U301" s="1" t="s">
        <v>21</v>
      </c>
      <c r="V301" s="10">
        <f t="shared" si="7"/>
        <v>677</v>
      </c>
      <c r="W301" s="1">
        <v>247.0</v>
      </c>
      <c r="X301" s="1">
        <v>430.0</v>
      </c>
    </row>
    <row r="302">
      <c r="B302" s="6" t="str">
        <f t="shared" ref="B302:C302" si="602">H302</f>
        <v>Sagaing</v>
      </c>
      <c r="C302" s="7" t="str">
        <f t="shared" si="602"/>
        <v>0-4</v>
      </c>
      <c r="D302" s="6">
        <f t="shared" ref="D302:F302" si="603">J302+P302+V302</f>
        <v>33735</v>
      </c>
      <c r="E302" s="6">
        <f t="shared" si="603"/>
        <v>16495</v>
      </c>
      <c r="F302" s="6">
        <f t="shared" si="603"/>
        <v>17240</v>
      </c>
      <c r="H302" s="8" t="s">
        <v>44</v>
      </c>
      <c r="I302" s="9" t="s">
        <v>10</v>
      </c>
      <c r="J302" s="10">
        <f t="shared" si="5"/>
        <v>33735</v>
      </c>
      <c r="K302" s="11">
        <v>16495.0</v>
      </c>
      <c r="L302" s="11">
        <v>17240.0</v>
      </c>
      <c r="N302" s="8" t="s">
        <v>44</v>
      </c>
      <c r="O302" s="9" t="s">
        <v>10</v>
      </c>
      <c r="P302" s="10">
        <f t="shared" si="6"/>
        <v>0</v>
      </c>
      <c r="Q302" s="11">
        <v>0.0</v>
      </c>
      <c r="R302" s="11">
        <v>0.0</v>
      </c>
      <c r="T302" s="8" t="s">
        <v>44</v>
      </c>
      <c r="U302" s="9" t="s">
        <v>10</v>
      </c>
      <c r="V302" s="10">
        <f t="shared" si="7"/>
        <v>0</v>
      </c>
      <c r="W302" s="11">
        <v>0.0</v>
      </c>
      <c r="X302" s="11">
        <v>0.0</v>
      </c>
    </row>
    <row r="303">
      <c r="B303" s="6" t="str">
        <f t="shared" ref="B303:C303" si="604">H303</f>
        <v>Sagaing</v>
      </c>
      <c r="C303" s="12">
        <f t="shared" si="604"/>
        <v>45786</v>
      </c>
      <c r="D303" s="6">
        <f t="shared" ref="D303:F303" si="605">J303+P303+V303</f>
        <v>28625</v>
      </c>
      <c r="E303" s="6">
        <f t="shared" si="605"/>
        <v>14054</v>
      </c>
      <c r="F303" s="6">
        <f t="shared" si="605"/>
        <v>14571</v>
      </c>
      <c r="H303" s="8" t="s">
        <v>44</v>
      </c>
      <c r="I303" s="13">
        <v>45786.0</v>
      </c>
      <c r="J303" s="10">
        <f t="shared" si="5"/>
        <v>28625</v>
      </c>
      <c r="K303" s="11">
        <v>14054.0</v>
      </c>
      <c r="L303" s="11">
        <v>14571.0</v>
      </c>
      <c r="N303" s="8" t="s">
        <v>44</v>
      </c>
      <c r="O303" s="13">
        <v>45786.0</v>
      </c>
      <c r="P303" s="10">
        <f t="shared" si="6"/>
        <v>0</v>
      </c>
      <c r="Q303" s="11">
        <v>0.0</v>
      </c>
      <c r="R303" s="11">
        <v>0.0</v>
      </c>
      <c r="T303" s="8" t="s">
        <v>44</v>
      </c>
      <c r="U303" s="13">
        <v>45786.0</v>
      </c>
      <c r="V303" s="10">
        <f t="shared" si="7"/>
        <v>0</v>
      </c>
      <c r="W303" s="11">
        <v>0.0</v>
      </c>
      <c r="X303" s="11">
        <v>0.0</v>
      </c>
    </row>
    <row r="304">
      <c r="B304" s="6" t="str">
        <f t="shared" ref="B304:C304" si="606">H304</f>
        <v>Sagaing</v>
      </c>
      <c r="C304" s="12">
        <f t="shared" si="606"/>
        <v>45944</v>
      </c>
      <c r="D304" s="6">
        <f t="shared" ref="D304:F304" si="607">J304+P304+V304</f>
        <v>27771</v>
      </c>
      <c r="E304" s="6">
        <f t="shared" si="607"/>
        <v>13812</v>
      </c>
      <c r="F304" s="6">
        <f t="shared" si="607"/>
        <v>13959</v>
      </c>
      <c r="H304" s="8" t="s">
        <v>44</v>
      </c>
      <c r="I304" s="13">
        <v>45944.0</v>
      </c>
      <c r="J304" s="10">
        <f t="shared" si="5"/>
        <v>27708</v>
      </c>
      <c r="K304" s="11">
        <v>13795.0</v>
      </c>
      <c r="L304" s="11">
        <v>13913.0</v>
      </c>
      <c r="N304" s="8" t="s">
        <v>44</v>
      </c>
      <c r="O304" s="13">
        <v>45944.0</v>
      </c>
      <c r="P304" s="10">
        <f t="shared" si="6"/>
        <v>52</v>
      </c>
      <c r="Q304" s="11">
        <v>17.0</v>
      </c>
      <c r="R304" s="11">
        <v>35.0</v>
      </c>
      <c r="T304" s="8" t="s">
        <v>44</v>
      </c>
      <c r="U304" s="13">
        <v>45944.0</v>
      </c>
      <c r="V304" s="10">
        <f t="shared" si="7"/>
        <v>11</v>
      </c>
      <c r="W304" s="11">
        <v>0.0</v>
      </c>
      <c r="X304" s="11">
        <v>11.0</v>
      </c>
    </row>
    <row r="305">
      <c r="B305" s="6" t="str">
        <f t="shared" ref="B305:C305" si="608">H305</f>
        <v>Sagaing</v>
      </c>
      <c r="C305" s="7" t="str">
        <f t="shared" si="608"/>
        <v>15-19</v>
      </c>
      <c r="D305" s="6">
        <f t="shared" ref="D305:F305" si="609">J305+P305+V305</f>
        <v>23147</v>
      </c>
      <c r="E305" s="6">
        <f t="shared" si="609"/>
        <v>10320</v>
      </c>
      <c r="F305" s="6">
        <f t="shared" si="609"/>
        <v>12827</v>
      </c>
      <c r="H305" s="8" t="s">
        <v>44</v>
      </c>
      <c r="I305" s="9" t="s">
        <v>11</v>
      </c>
      <c r="J305" s="10">
        <f t="shared" si="5"/>
        <v>20273</v>
      </c>
      <c r="K305" s="11">
        <v>9699.0</v>
      </c>
      <c r="L305" s="11">
        <v>10574.0</v>
      </c>
      <c r="N305" s="8" t="s">
        <v>44</v>
      </c>
      <c r="O305" s="9" t="s">
        <v>11</v>
      </c>
      <c r="P305" s="10">
        <f t="shared" si="6"/>
        <v>2593</v>
      </c>
      <c r="Q305" s="11">
        <v>581.0</v>
      </c>
      <c r="R305" s="11">
        <v>2012.0</v>
      </c>
      <c r="T305" s="8" t="s">
        <v>44</v>
      </c>
      <c r="U305" s="9" t="s">
        <v>11</v>
      </c>
      <c r="V305" s="10">
        <f t="shared" si="7"/>
        <v>281</v>
      </c>
      <c r="W305" s="11">
        <v>40.0</v>
      </c>
      <c r="X305" s="11">
        <v>241.0</v>
      </c>
    </row>
    <row r="306">
      <c r="B306" s="6" t="str">
        <f t="shared" ref="B306:C306" si="610">H306</f>
        <v>Sagaing</v>
      </c>
      <c r="C306" s="7" t="str">
        <f t="shared" si="610"/>
        <v>20-24</v>
      </c>
      <c r="D306" s="6">
        <f t="shared" ref="D306:F306" si="611">J306+P306+V306</f>
        <v>20108</v>
      </c>
      <c r="E306" s="6">
        <f t="shared" si="611"/>
        <v>8977</v>
      </c>
      <c r="F306" s="6">
        <f t="shared" si="611"/>
        <v>11131</v>
      </c>
      <c r="H306" s="8" t="s">
        <v>44</v>
      </c>
      <c r="I306" s="9" t="s">
        <v>12</v>
      </c>
      <c r="J306" s="10">
        <f t="shared" si="5"/>
        <v>8940</v>
      </c>
      <c r="K306" s="11">
        <v>4786.0</v>
      </c>
      <c r="L306" s="11">
        <v>4154.0</v>
      </c>
      <c r="N306" s="8" t="s">
        <v>44</v>
      </c>
      <c r="O306" s="9" t="s">
        <v>12</v>
      </c>
      <c r="P306" s="10">
        <f t="shared" si="6"/>
        <v>10112</v>
      </c>
      <c r="Q306" s="11">
        <v>3933.0</v>
      </c>
      <c r="R306" s="11">
        <v>6179.0</v>
      </c>
      <c r="T306" s="8" t="s">
        <v>44</v>
      </c>
      <c r="U306" s="9" t="s">
        <v>12</v>
      </c>
      <c r="V306" s="10">
        <f t="shared" si="7"/>
        <v>1056</v>
      </c>
      <c r="W306" s="11">
        <v>258.0</v>
      </c>
      <c r="X306" s="11">
        <v>798.0</v>
      </c>
    </row>
    <row r="307">
      <c r="B307" s="6" t="str">
        <f t="shared" ref="B307:C307" si="612">H307</f>
        <v>Sagaing</v>
      </c>
      <c r="C307" s="7" t="str">
        <f t="shared" si="612"/>
        <v>25-29</v>
      </c>
      <c r="D307" s="6">
        <f t="shared" ref="D307:F307" si="613">J307+P307+V307</f>
        <v>18342</v>
      </c>
      <c r="E307" s="6">
        <f t="shared" si="613"/>
        <v>8452</v>
      </c>
      <c r="F307" s="6">
        <f t="shared" si="613"/>
        <v>9890</v>
      </c>
      <c r="H307" s="8" t="s">
        <v>44</v>
      </c>
      <c r="I307" s="9" t="s">
        <v>13</v>
      </c>
      <c r="J307" s="10">
        <f t="shared" si="5"/>
        <v>3832</v>
      </c>
      <c r="K307" s="11">
        <v>2051.0</v>
      </c>
      <c r="L307" s="11">
        <v>1781.0</v>
      </c>
      <c r="N307" s="8" t="s">
        <v>44</v>
      </c>
      <c r="O307" s="9" t="s">
        <v>13</v>
      </c>
      <c r="P307" s="10">
        <f t="shared" si="6"/>
        <v>13052</v>
      </c>
      <c r="Q307" s="11">
        <v>6039.0</v>
      </c>
      <c r="R307" s="11">
        <v>7013.0</v>
      </c>
      <c r="T307" s="1" t="s">
        <v>44</v>
      </c>
      <c r="U307" s="1" t="s">
        <v>13</v>
      </c>
      <c r="V307" s="10">
        <f t="shared" si="7"/>
        <v>1458</v>
      </c>
      <c r="W307" s="1">
        <v>362.0</v>
      </c>
      <c r="X307" s="1">
        <v>1096.0</v>
      </c>
    </row>
    <row r="308">
      <c r="B308" s="6" t="str">
        <f t="shared" ref="B308:C308" si="614">H308</f>
        <v>Sagaing</v>
      </c>
      <c r="C308" s="7" t="str">
        <f t="shared" si="614"/>
        <v>30-34</v>
      </c>
      <c r="D308" s="6">
        <f t="shared" ref="D308:F308" si="615">J308+P308+V308</f>
        <v>16026</v>
      </c>
      <c r="E308" s="6">
        <f t="shared" si="615"/>
        <v>7313</v>
      </c>
      <c r="F308" s="6">
        <f t="shared" si="615"/>
        <v>8713</v>
      </c>
      <c r="H308" s="8" t="s">
        <v>44</v>
      </c>
      <c r="I308" s="8" t="s">
        <v>14</v>
      </c>
      <c r="J308" s="10">
        <f t="shared" si="5"/>
        <v>1889</v>
      </c>
      <c r="K308" s="11">
        <v>893.0</v>
      </c>
      <c r="L308" s="11">
        <v>996.0</v>
      </c>
      <c r="N308" s="8" t="s">
        <v>44</v>
      </c>
      <c r="O308" s="8" t="s">
        <v>14</v>
      </c>
      <c r="P308" s="10">
        <f t="shared" si="6"/>
        <v>12514</v>
      </c>
      <c r="Q308" s="11">
        <v>6027.0</v>
      </c>
      <c r="R308" s="11">
        <v>6487.0</v>
      </c>
      <c r="T308" s="1" t="s">
        <v>44</v>
      </c>
      <c r="U308" s="1" t="s">
        <v>14</v>
      </c>
      <c r="V308" s="10">
        <f t="shared" si="7"/>
        <v>1623</v>
      </c>
      <c r="W308" s="1">
        <v>393.0</v>
      </c>
      <c r="X308" s="1">
        <v>1230.0</v>
      </c>
    </row>
    <row r="309">
      <c r="B309" s="6" t="str">
        <f t="shared" ref="B309:C309" si="616">H309</f>
        <v>Sagaing</v>
      </c>
      <c r="C309" s="7" t="str">
        <f t="shared" si="616"/>
        <v>35-39</v>
      </c>
      <c r="D309" s="6">
        <f t="shared" ref="D309:F309" si="617">J309+P309+V309</f>
        <v>16259</v>
      </c>
      <c r="E309" s="6">
        <f t="shared" si="617"/>
        <v>7757</v>
      </c>
      <c r="F309" s="6">
        <f t="shared" si="617"/>
        <v>8502</v>
      </c>
      <c r="H309" s="8" t="s">
        <v>44</v>
      </c>
      <c r="I309" s="8" t="s">
        <v>15</v>
      </c>
      <c r="J309" s="10">
        <f t="shared" si="5"/>
        <v>1279</v>
      </c>
      <c r="K309" s="11">
        <v>608.0</v>
      </c>
      <c r="L309" s="11">
        <v>671.0</v>
      </c>
      <c r="N309" s="8" t="s">
        <v>44</v>
      </c>
      <c r="O309" s="8" t="s">
        <v>15</v>
      </c>
      <c r="P309" s="10">
        <f t="shared" si="6"/>
        <v>13194</v>
      </c>
      <c r="Q309" s="11">
        <v>6705.0</v>
      </c>
      <c r="R309" s="11">
        <v>6489.0</v>
      </c>
      <c r="T309" s="1" t="s">
        <v>44</v>
      </c>
      <c r="U309" s="1" t="s">
        <v>15</v>
      </c>
      <c r="V309" s="10">
        <f t="shared" si="7"/>
        <v>1786</v>
      </c>
      <c r="W309" s="1">
        <v>444.0</v>
      </c>
      <c r="X309" s="1">
        <v>1342.0</v>
      </c>
    </row>
    <row r="310">
      <c r="B310" s="6" t="str">
        <f t="shared" ref="B310:C310" si="618">H310</f>
        <v>Sagaing</v>
      </c>
      <c r="C310" s="7" t="str">
        <f t="shared" si="618"/>
        <v>40-44</v>
      </c>
      <c r="D310" s="6">
        <f t="shared" ref="D310:F310" si="619">J310+P310+V310</f>
        <v>14002</v>
      </c>
      <c r="E310" s="6">
        <f t="shared" si="619"/>
        <v>6413</v>
      </c>
      <c r="F310" s="6">
        <f t="shared" si="619"/>
        <v>7589</v>
      </c>
      <c r="H310" s="8" t="s">
        <v>44</v>
      </c>
      <c r="I310" s="8" t="s">
        <v>16</v>
      </c>
      <c r="J310" s="10">
        <f t="shared" si="5"/>
        <v>943</v>
      </c>
      <c r="K310" s="11">
        <v>397.0</v>
      </c>
      <c r="L310" s="11">
        <v>546.0</v>
      </c>
      <c r="N310" s="8" t="s">
        <v>44</v>
      </c>
      <c r="O310" s="8" t="s">
        <v>16</v>
      </c>
      <c r="P310" s="10">
        <f t="shared" si="6"/>
        <v>10897</v>
      </c>
      <c r="Q310" s="11">
        <v>5494.0</v>
      </c>
      <c r="R310" s="11">
        <v>5403.0</v>
      </c>
      <c r="T310" s="1" t="s">
        <v>44</v>
      </c>
      <c r="U310" s="1" t="s">
        <v>16</v>
      </c>
      <c r="V310" s="10">
        <f t="shared" si="7"/>
        <v>2162</v>
      </c>
      <c r="W310" s="1">
        <v>522.0</v>
      </c>
      <c r="X310" s="1">
        <v>1640.0</v>
      </c>
    </row>
    <row r="311">
      <c r="B311" s="6" t="str">
        <f t="shared" ref="B311:C311" si="620">H311</f>
        <v>Sagaing</v>
      </c>
      <c r="C311" s="7" t="str">
        <f t="shared" si="620"/>
        <v>45-49</v>
      </c>
      <c r="D311" s="6">
        <f t="shared" ref="D311:F311" si="621">J311+P311+V311</f>
        <v>10284</v>
      </c>
      <c r="E311" s="6">
        <f t="shared" si="621"/>
        <v>4850</v>
      </c>
      <c r="F311" s="6">
        <f t="shared" si="621"/>
        <v>5434</v>
      </c>
      <c r="H311" s="8" t="s">
        <v>44</v>
      </c>
      <c r="I311" s="8" t="s">
        <v>17</v>
      </c>
      <c r="J311" s="10">
        <f t="shared" si="5"/>
        <v>633</v>
      </c>
      <c r="K311" s="11">
        <v>276.0</v>
      </c>
      <c r="L311" s="11">
        <v>357.0</v>
      </c>
      <c r="N311" s="8" t="s">
        <v>44</v>
      </c>
      <c r="O311" s="8" t="s">
        <v>17</v>
      </c>
      <c r="P311" s="10">
        <f t="shared" si="6"/>
        <v>7739</v>
      </c>
      <c r="Q311" s="11">
        <v>4125.0</v>
      </c>
      <c r="R311" s="11">
        <v>3614.0</v>
      </c>
      <c r="T311" s="1" t="s">
        <v>44</v>
      </c>
      <c r="U311" s="1" t="s">
        <v>17</v>
      </c>
      <c r="V311" s="10">
        <f t="shared" si="7"/>
        <v>1912</v>
      </c>
      <c r="W311" s="1">
        <v>449.0</v>
      </c>
      <c r="X311" s="1">
        <v>1463.0</v>
      </c>
    </row>
    <row r="312">
      <c r="B312" s="6" t="str">
        <f t="shared" ref="B312:C312" si="622">H312</f>
        <v>Sagaing</v>
      </c>
      <c r="C312" s="7" t="str">
        <f t="shared" si="622"/>
        <v>50-54</v>
      </c>
      <c r="D312" s="6">
        <f t="shared" ref="D312:F312" si="623">J312+P312+V312</f>
        <v>9816</v>
      </c>
      <c r="E312" s="6">
        <f t="shared" si="623"/>
        <v>4170</v>
      </c>
      <c r="F312" s="6">
        <f t="shared" si="623"/>
        <v>5646</v>
      </c>
      <c r="H312" s="8" t="s">
        <v>44</v>
      </c>
      <c r="I312" s="8" t="s">
        <v>18</v>
      </c>
      <c r="J312" s="10">
        <f t="shared" si="5"/>
        <v>642</v>
      </c>
      <c r="K312" s="11">
        <v>264.0</v>
      </c>
      <c r="L312" s="11">
        <v>378.0</v>
      </c>
      <c r="N312" s="8" t="s">
        <v>44</v>
      </c>
      <c r="O312" s="8" t="s">
        <v>18</v>
      </c>
      <c r="P312" s="10">
        <f t="shared" si="6"/>
        <v>6586</v>
      </c>
      <c r="Q312" s="11">
        <v>3401.0</v>
      </c>
      <c r="R312" s="11">
        <v>3185.0</v>
      </c>
      <c r="T312" s="1" t="s">
        <v>44</v>
      </c>
      <c r="U312" s="1" t="s">
        <v>18</v>
      </c>
      <c r="V312" s="10">
        <f t="shared" si="7"/>
        <v>2588</v>
      </c>
      <c r="W312" s="1">
        <v>505.0</v>
      </c>
      <c r="X312" s="1">
        <v>2083.0</v>
      </c>
    </row>
    <row r="313">
      <c r="B313" s="6" t="str">
        <f t="shared" ref="B313:C313" si="624">H313</f>
        <v>Sagaing</v>
      </c>
      <c r="C313" s="7" t="str">
        <f t="shared" si="624"/>
        <v>55-59</v>
      </c>
      <c r="D313" s="6">
        <f t="shared" ref="D313:F313" si="625">J313+P313+V313</f>
        <v>6380</v>
      </c>
      <c r="E313" s="6">
        <f t="shared" si="625"/>
        <v>2890</v>
      </c>
      <c r="F313" s="6">
        <f t="shared" si="625"/>
        <v>3490</v>
      </c>
      <c r="H313" s="8" t="s">
        <v>44</v>
      </c>
      <c r="I313" s="8" t="s">
        <v>19</v>
      </c>
      <c r="J313" s="10">
        <f t="shared" si="5"/>
        <v>415</v>
      </c>
      <c r="K313" s="11">
        <v>202.0</v>
      </c>
      <c r="L313" s="11">
        <v>213.0</v>
      </c>
      <c r="N313" s="8" t="s">
        <v>44</v>
      </c>
      <c r="O313" s="8" t="s">
        <v>19</v>
      </c>
      <c r="P313" s="10">
        <f t="shared" si="6"/>
        <v>4150</v>
      </c>
      <c r="Q313" s="11">
        <v>2263.0</v>
      </c>
      <c r="R313" s="11">
        <v>1887.0</v>
      </c>
      <c r="T313" s="1" t="s">
        <v>44</v>
      </c>
      <c r="U313" s="1" t="s">
        <v>19</v>
      </c>
      <c r="V313" s="10">
        <f t="shared" si="7"/>
        <v>1815</v>
      </c>
      <c r="W313" s="1">
        <v>425.0</v>
      </c>
      <c r="X313" s="1">
        <v>1390.0</v>
      </c>
    </row>
    <row r="314">
      <c r="B314" s="6" t="str">
        <f t="shared" ref="B314:C314" si="626">H314</f>
        <v>Sagaing</v>
      </c>
      <c r="C314" s="7" t="str">
        <f t="shared" si="626"/>
        <v>60+</v>
      </c>
      <c r="D314" s="6">
        <f t="shared" ref="D314:F314" si="627">J314+P314+V314</f>
        <v>23741</v>
      </c>
      <c r="E314" s="6">
        <f t="shared" si="627"/>
        <v>9819</v>
      </c>
      <c r="F314" s="6">
        <f t="shared" si="627"/>
        <v>13922</v>
      </c>
      <c r="H314" s="8" t="s">
        <v>44</v>
      </c>
      <c r="I314" s="8" t="s">
        <v>20</v>
      </c>
      <c r="J314" s="10">
        <f t="shared" si="5"/>
        <v>1548</v>
      </c>
      <c r="K314" s="11">
        <v>744.0</v>
      </c>
      <c r="L314" s="11">
        <v>804.0</v>
      </c>
      <c r="N314" s="8" t="s">
        <v>44</v>
      </c>
      <c r="O314" s="8" t="s">
        <v>21</v>
      </c>
      <c r="P314" s="10">
        <f t="shared" si="6"/>
        <v>10019</v>
      </c>
      <c r="Q314" s="11">
        <v>6039.0</v>
      </c>
      <c r="R314" s="11">
        <v>3980.0</v>
      </c>
      <c r="T314" s="1" t="s">
        <v>44</v>
      </c>
      <c r="U314" s="1" t="s">
        <v>21</v>
      </c>
      <c r="V314" s="10">
        <f t="shared" si="7"/>
        <v>12174</v>
      </c>
      <c r="W314" s="1">
        <v>3036.0</v>
      </c>
      <c r="X314" s="1">
        <v>9138.0</v>
      </c>
    </row>
    <row r="315">
      <c r="B315" s="6" t="str">
        <f t="shared" ref="B315:C315" si="628">H315</f>
        <v>Salween</v>
      </c>
      <c r="C315" s="7" t="str">
        <f t="shared" si="628"/>
        <v>0-4</v>
      </c>
      <c r="D315" s="6">
        <f t="shared" ref="D315:F315" si="629">J315+P315+V315</f>
        <v>4724</v>
      </c>
      <c r="E315" s="6">
        <f t="shared" si="629"/>
        <v>2355</v>
      </c>
      <c r="F315" s="6">
        <f t="shared" si="629"/>
        <v>2369</v>
      </c>
      <c r="H315" s="8" t="s">
        <v>45</v>
      </c>
      <c r="I315" s="9" t="s">
        <v>10</v>
      </c>
      <c r="J315" s="10">
        <f t="shared" si="5"/>
        <v>4724</v>
      </c>
      <c r="K315" s="11">
        <v>2355.0</v>
      </c>
      <c r="L315" s="11">
        <v>2369.0</v>
      </c>
      <c r="N315" s="8" t="s">
        <v>45</v>
      </c>
      <c r="O315" s="9" t="s">
        <v>10</v>
      </c>
      <c r="P315" s="10">
        <f t="shared" si="6"/>
        <v>0</v>
      </c>
      <c r="Q315" s="11">
        <v>0.0</v>
      </c>
      <c r="R315" s="11">
        <v>0.0</v>
      </c>
      <c r="T315" s="8" t="s">
        <v>45</v>
      </c>
      <c r="U315" s="9" t="s">
        <v>10</v>
      </c>
      <c r="V315" s="10">
        <f t="shared" si="7"/>
        <v>0</v>
      </c>
      <c r="W315" s="11">
        <v>0.0</v>
      </c>
      <c r="X315" s="11">
        <v>0.0</v>
      </c>
    </row>
    <row r="316">
      <c r="B316" s="6" t="str">
        <f t="shared" ref="B316:C316" si="630">H316</f>
        <v>Salween</v>
      </c>
      <c r="C316" s="12">
        <f t="shared" si="630"/>
        <v>45786</v>
      </c>
      <c r="D316" s="6">
        <f t="shared" ref="D316:F316" si="631">J316+P316+V316</f>
        <v>3885</v>
      </c>
      <c r="E316" s="6">
        <f t="shared" si="631"/>
        <v>2002</v>
      </c>
      <c r="F316" s="6">
        <f t="shared" si="631"/>
        <v>1883</v>
      </c>
      <c r="H316" s="8" t="s">
        <v>45</v>
      </c>
      <c r="I316" s="13">
        <v>45786.0</v>
      </c>
      <c r="J316" s="10">
        <f t="shared" si="5"/>
        <v>3884</v>
      </c>
      <c r="K316" s="11">
        <v>2002.0</v>
      </c>
      <c r="L316" s="11">
        <v>1882.0</v>
      </c>
      <c r="N316" s="8" t="s">
        <v>45</v>
      </c>
      <c r="O316" s="13">
        <v>45786.0</v>
      </c>
      <c r="P316" s="10">
        <f t="shared" si="6"/>
        <v>1</v>
      </c>
      <c r="Q316" s="11">
        <v>0.0</v>
      </c>
      <c r="R316" s="11">
        <v>1.0</v>
      </c>
      <c r="T316" s="8" t="s">
        <v>45</v>
      </c>
      <c r="U316" s="13">
        <v>45786.0</v>
      </c>
      <c r="V316" s="10">
        <f t="shared" si="7"/>
        <v>0</v>
      </c>
      <c r="W316" s="11">
        <v>0.0</v>
      </c>
      <c r="X316" s="11">
        <v>0.0</v>
      </c>
    </row>
    <row r="317">
      <c r="B317" s="6" t="str">
        <f t="shared" ref="B317:C317" si="632">H317</f>
        <v>Salween</v>
      </c>
      <c r="C317" s="12">
        <f t="shared" si="632"/>
        <v>45944</v>
      </c>
      <c r="D317" s="6">
        <f t="shared" ref="D317:F317" si="633">J317+P317+V317</f>
        <v>2895</v>
      </c>
      <c r="E317" s="6">
        <f t="shared" si="633"/>
        <v>1572</v>
      </c>
      <c r="F317" s="6">
        <f t="shared" si="633"/>
        <v>1323</v>
      </c>
      <c r="H317" s="8" t="s">
        <v>45</v>
      </c>
      <c r="I317" s="13">
        <v>45944.0</v>
      </c>
      <c r="J317" s="10">
        <f t="shared" si="5"/>
        <v>2856</v>
      </c>
      <c r="K317" s="11">
        <v>1558.0</v>
      </c>
      <c r="L317" s="11">
        <v>1298.0</v>
      </c>
      <c r="N317" s="8" t="s">
        <v>45</v>
      </c>
      <c r="O317" s="13">
        <v>45944.0</v>
      </c>
      <c r="P317" s="10">
        <f t="shared" si="6"/>
        <v>34</v>
      </c>
      <c r="Q317" s="11">
        <v>10.0</v>
      </c>
      <c r="R317" s="11">
        <v>24.0</v>
      </c>
      <c r="T317" s="8" t="s">
        <v>45</v>
      </c>
      <c r="U317" s="13">
        <v>45944.0</v>
      </c>
      <c r="V317" s="10">
        <f t="shared" si="7"/>
        <v>5</v>
      </c>
      <c r="W317" s="11">
        <v>4.0</v>
      </c>
      <c r="X317" s="11">
        <v>1.0</v>
      </c>
    </row>
    <row r="318">
      <c r="B318" s="6" t="str">
        <f t="shared" ref="B318:C318" si="634">H318</f>
        <v>Salween</v>
      </c>
      <c r="C318" s="7" t="str">
        <f t="shared" si="634"/>
        <v>15-19</v>
      </c>
      <c r="D318" s="6">
        <f t="shared" ref="D318:F318" si="635">J318+P318+V318</f>
        <v>3159</v>
      </c>
      <c r="E318" s="6">
        <f t="shared" si="635"/>
        <v>1480</v>
      </c>
      <c r="F318" s="6">
        <f t="shared" si="635"/>
        <v>1679</v>
      </c>
      <c r="H318" s="8" t="s">
        <v>45</v>
      </c>
      <c r="I318" s="9" t="s">
        <v>11</v>
      </c>
      <c r="J318" s="10">
        <f t="shared" si="5"/>
        <v>2610</v>
      </c>
      <c r="K318" s="11">
        <v>1393.0</v>
      </c>
      <c r="L318" s="11">
        <v>1217.0</v>
      </c>
      <c r="N318" s="8" t="s">
        <v>45</v>
      </c>
      <c r="O318" s="9" t="s">
        <v>11</v>
      </c>
      <c r="P318" s="10">
        <f t="shared" si="6"/>
        <v>519</v>
      </c>
      <c r="Q318" s="11">
        <v>82.0</v>
      </c>
      <c r="R318" s="11">
        <v>437.0</v>
      </c>
      <c r="T318" s="8" t="s">
        <v>45</v>
      </c>
      <c r="U318" s="8" t="s">
        <v>11</v>
      </c>
      <c r="V318" s="10">
        <f t="shared" si="7"/>
        <v>30</v>
      </c>
      <c r="W318" s="11">
        <v>5.0</v>
      </c>
      <c r="X318" s="11">
        <v>25.0</v>
      </c>
    </row>
    <row r="319">
      <c r="B319" s="6" t="str">
        <f t="shared" ref="B319:C319" si="636">H319</f>
        <v>Salween</v>
      </c>
      <c r="C319" s="7" t="str">
        <f t="shared" si="636"/>
        <v>20-24</v>
      </c>
      <c r="D319" s="6">
        <f t="shared" ref="D319:F319" si="637">J319+P319+V319</f>
        <v>2889</v>
      </c>
      <c r="E319" s="6">
        <f t="shared" si="637"/>
        <v>1285</v>
      </c>
      <c r="F319" s="6">
        <f t="shared" si="637"/>
        <v>1604</v>
      </c>
      <c r="H319" s="8" t="s">
        <v>45</v>
      </c>
      <c r="I319" s="9" t="s">
        <v>12</v>
      </c>
      <c r="J319" s="10">
        <f t="shared" si="5"/>
        <v>1432</v>
      </c>
      <c r="K319" s="11">
        <v>917.0</v>
      </c>
      <c r="L319" s="11">
        <v>515.0</v>
      </c>
      <c r="N319" s="8" t="s">
        <v>45</v>
      </c>
      <c r="O319" s="9" t="s">
        <v>12</v>
      </c>
      <c r="P319" s="10">
        <f t="shared" si="6"/>
        <v>1319</v>
      </c>
      <c r="Q319" s="1">
        <v>322.0</v>
      </c>
      <c r="R319" s="11">
        <v>997.0</v>
      </c>
      <c r="T319" s="8" t="s">
        <v>45</v>
      </c>
      <c r="U319" s="8" t="s">
        <v>12</v>
      </c>
      <c r="V319" s="10">
        <f t="shared" si="7"/>
        <v>138</v>
      </c>
      <c r="W319" s="11">
        <v>46.0</v>
      </c>
      <c r="X319" s="11">
        <v>92.0</v>
      </c>
    </row>
    <row r="320">
      <c r="B320" s="6" t="str">
        <f t="shared" ref="B320:C320" si="638">H320</f>
        <v>Salween</v>
      </c>
      <c r="C320" s="7" t="str">
        <f t="shared" si="638"/>
        <v>25-29</v>
      </c>
      <c r="D320" s="6">
        <f t="shared" ref="D320:F320" si="639">J320+P320+V320</f>
        <v>3391</v>
      </c>
      <c r="E320" s="6">
        <f t="shared" si="639"/>
        <v>1697</v>
      </c>
      <c r="F320" s="6">
        <f t="shared" si="639"/>
        <v>1694</v>
      </c>
      <c r="H320" s="8" t="s">
        <v>45</v>
      </c>
      <c r="I320" s="9" t="s">
        <v>13</v>
      </c>
      <c r="J320" s="10">
        <f t="shared" si="5"/>
        <v>930</v>
      </c>
      <c r="K320" s="11">
        <v>691.0</v>
      </c>
      <c r="L320" s="11">
        <v>239.0</v>
      </c>
      <c r="N320" s="8" t="s">
        <v>45</v>
      </c>
      <c r="O320" s="9" t="s">
        <v>13</v>
      </c>
      <c r="P320" s="10">
        <f t="shared" si="6"/>
        <v>2233</v>
      </c>
      <c r="Q320" s="11">
        <v>909.0</v>
      </c>
      <c r="R320" s="11">
        <v>1324.0</v>
      </c>
      <c r="T320" s="8" t="s">
        <v>45</v>
      </c>
      <c r="U320" s="9" t="s">
        <v>13</v>
      </c>
      <c r="V320" s="10">
        <f t="shared" si="7"/>
        <v>228</v>
      </c>
      <c r="W320" s="1">
        <v>97.0</v>
      </c>
      <c r="X320" s="11">
        <v>131.0</v>
      </c>
    </row>
    <row r="321">
      <c r="B321" s="6" t="str">
        <f t="shared" ref="B321:C321" si="640">H321</f>
        <v>Salween</v>
      </c>
      <c r="C321" s="7" t="str">
        <f t="shared" si="640"/>
        <v>30-34</v>
      </c>
      <c r="D321" s="6">
        <f t="shared" ref="D321:F321" si="641">J321+P321+V321</f>
        <v>3045</v>
      </c>
      <c r="E321" s="6">
        <f t="shared" si="641"/>
        <v>1814</v>
      </c>
      <c r="F321" s="6">
        <f t="shared" si="641"/>
        <v>1231</v>
      </c>
      <c r="H321" s="8" t="s">
        <v>45</v>
      </c>
      <c r="I321" s="8" t="s">
        <v>14</v>
      </c>
      <c r="J321" s="10">
        <f t="shared" si="5"/>
        <v>397</v>
      </c>
      <c r="K321" s="11">
        <v>309.0</v>
      </c>
      <c r="L321" s="11">
        <v>88.0</v>
      </c>
      <c r="N321" s="8" t="s">
        <v>45</v>
      </c>
      <c r="O321" s="8" t="s">
        <v>14</v>
      </c>
      <c r="P321" s="10">
        <f t="shared" si="6"/>
        <v>2208</v>
      </c>
      <c r="Q321" s="11">
        <v>1293.0</v>
      </c>
      <c r="R321" s="11">
        <v>915.0</v>
      </c>
      <c r="T321" s="8" t="s">
        <v>45</v>
      </c>
      <c r="U321" s="9" t="s">
        <v>14</v>
      </c>
      <c r="V321" s="10">
        <f t="shared" si="7"/>
        <v>440</v>
      </c>
      <c r="W321" s="1">
        <v>212.0</v>
      </c>
      <c r="X321" s="11">
        <v>228.0</v>
      </c>
    </row>
    <row r="322">
      <c r="B322" s="6" t="str">
        <f t="shared" ref="B322:C322" si="642">H322</f>
        <v>Salween</v>
      </c>
      <c r="C322" s="7" t="str">
        <f t="shared" si="642"/>
        <v>35-39</v>
      </c>
      <c r="D322" s="6">
        <f t="shared" ref="D322:F322" si="643">J322+P322+V322</f>
        <v>1966</v>
      </c>
      <c r="E322" s="6">
        <f t="shared" si="643"/>
        <v>1180</v>
      </c>
      <c r="F322" s="6">
        <f t="shared" si="643"/>
        <v>786</v>
      </c>
      <c r="H322" s="8" t="s">
        <v>45</v>
      </c>
      <c r="I322" s="8" t="s">
        <v>15</v>
      </c>
      <c r="J322" s="10">
        <f t="shared" si="5"/>
        <v>120</v>
      </c>
      <c r="K322" s="11">
        <v>96.0</v>
      </c>
      <c r="L322" s="11">
        <v>24.0</v>
      </c>
      <c r="N322" s="8" t="s">
        <v>45</v>
      </c>
      <c r="O322" s="8" t="s">
        <v>15</v>
      </c>
      <c r="P322" s="10">
        <f t="shared" si="6"/>
        <v>1495</v>
      </c>
      <c r="Q322" s="11">
        <v>917.0</v>
      </c>
      <c r="R322" s="11">
        <v>578.0</v>
      </c>
      <c r="T322" s="8" t="s">
        <v>45</v>
      </c>
      <c r="U322" s="9" t="s">
        <v>15</v>
      </c>
      <c r="V322" s="10">
        <f t="shared" si="7"/>
        <v>351</v>
      </c>
      <c r="W322" s="1">
        <v>167.0</v>
      </c>
      <c r="X322" s="11">
        <v>184.0</v>
      </c>
    </row>
    <row r="323">
      <c r="B323" s="6" t="str">
        <f t="shared" ref="B323:C323" si="644">H323</f>
        <v>Salween</v>
      </c>
      <c r="C323" s="7" t="str">
        <f t="shared" si="644"/>
        <v>40-44</v>
      </c>
      <c r="D323" s="6">
        <f t="shared" ref="D323:F323" si="645">J323+P323+V323</f>
        <v>2024</v>
      </c>
      <c r="E323" s="6">
        <f t="shared" si="645"/>
        <v>1145</v>
      </c>
      <c r="F323" s="6">
        <f t="shared" si="645"/>
        <v>879</v>
      </c>
      <c r="H323" s="8" t="s">
        <v>45</v>
      </c>
      <c r="I323" s="8" t="s">
        <v>16</v>
      </c>
      <c r="J323" s="10">
        <f t="shared" si="5"/>
        <v>111</v>
      </c>
      <c r="K323" s="11">
        <v>74.0</v>
      </c>
      <c r="L323" s="11">
        <v>37.0</v>
      </c>
      <c r="N323" s="8" t="s">
        <v>45</v>
      </c>
      <c r="O323" s="8" t="s">
        <v>16</v>
      </c>
      <c r="P323" s="10">
        <f t="shared" si="6"/>
        <v>1371</v>
      </c>
      <c r="Q323" s="11">
        <v>848.0</v>
      </c>
      <c r="R323" s="11">
        <v>523.0</v>
      </c>
      <c r="T323" s="8" t="s">
        <v>45</v>
      </c>
      <c r="U323" s="9" t="s">
        <v>16</v>
      </c>
      <c r="V323" s="10">
        <f t="shared" si="7"/>
        <v>542</v>
      </c>
      <c r="W323" s="1">
        <v>223.0</v>
      </c>
      <c r="X323" s="11">
        <v>319.0</v>
      </c>
    </row>
    <row r="324">
      <c r="B324" s="6" t="str">
        <f t="shared" ref="B324:C324" si="646">H324</f>
        <v>Salween</v>
      </c>
      <c r="C324" s="7" t="str">
        <f t="shared" si="646"/>
        <v>45-49</v>
      </c>
      <c r="D324" s="6">
        <f t="shared" ref="D324:F324" si="647">J324+P324+V324</f>
        <v>919</v>
      </c>
      <c r="E324" s="6">
        <f t="shared" si="647"/>
        <v>540</v>
      </c>
      <c r="F324" s="6">
        <f t="shared" si="647"/>
        <v>379</v>
      </c>
      <c r="H324" s="8" t="s">
        <v>45</v>
      </c>
      <c r="I324" s="8" t="s">
        <v>17</v>
      </c>
      <c r="J324" s="10">
        <f t="shared" si="5"/>
        <v>26</v>
      </c>
      <c r="K324" s="11">
        <v>13.0</v>
      </c>
      <c r="L324" s="11">
        <v>13.0</v>
      </c>
      <c r="N324" s="8" t="s">
        <v>45</v>
      </c>
      <c r="O324" s="8" t="s">
        <v>17</v>
      </c>
      <c r="P324" s="10">
        <f t="shared" si="6"/>
        <v>608</v>
      </c>
      <c r="Q324" s="11">
        <v>398.0</v>
      </c>
      <c r="R324" s="11">
        <v>210.0</v>
      </c>
      <c r="T324" s="8" t="s">
        <v>45</v>
      </c>
      <c r="U324" s="9" t="s">
        <v>17</v>
      </c>
      <c r="V324" s="10">
        <f t="shared" si="7"/>
        <v>285</v>
      </c>
      <c r="W324" s="1">
        <v>129.0</v>
      </c>
      <c r="X324" s="11">
        <v>156.0</v>
      </c>
    </row>
    <row r="325">
      <c r="B325" s="6" t="str">
        <f t="shared" ref="B325:C325" si="648">H325</f>
        <v>Salween</v>
      </c>
      <c r="C325" s="7" t="str">
        <f t="shared" si="648"/>
        <v>50-54</v>
      </c>
      <c r="D325" s="6">
        <f t="shared" ref="D325:F325" si="649">J325+P325+V325</f>
        <v>1145</v>
      </c>
      <c r="E325" s="6">
        <f t="shared" si="649"/>
        <v>649</v>
      </c>
      <c r="F325" s="6">
        <f t="shared" si="649"/>
        <v>496</v>
      </c>
      <c r="H325" s="8" t="s">
        <v>45</v>
      </c>
      <c r="I325" s="8" t="s">
        <v>18</v>
      </c>
      <c r="J325" s="10">
        <f t="shared" si="5"/>
        <v>46</v>
      </c>
      <c r="K325" s="11">
        <v>20.0</v>
      </c>
      <c r="L325" s="11">
        <v>26.0</v>
      </c>
      <c r="N325" s="8" t="s">
        <v>45</v>
      </c>
      <c r="O325" s="8" t="s">
        <v>18</v>
      </c>
      <c r="P325" s="10">
        <f t="shared" si="6"/>
        <v>621</v>
      </c>
      <c r="Q325" s="11">
        <v>428.0</v>
      </c>
      <c r="R325" s="11">
        <v>193.0</v>
      </c>
      <c r="T325" s="8" t="s">
        <v>45</v>
      </c>
      <c r="U325" s="9" t="s">
        <v>18</v>
      </c>
      <c r="V325" s="10">
        <f t="shared" si="7"/>
        <v>478</v>
      </c>
      <c r="W325" s="1">
        <v>201.0</v>
      </c>
      <c r="X325" s="11">
        <v>277.0</v>
      </c>
    </row>
    <row r="326">
      <c r="B326" s="6" t="str">
        <f t="shared" ref="B326:C326" si="650">H326</f>
        <v>Salween</v>
      </c>
      <c r="C326" s="7" t="str">
        <f t="shared" si="650"/>
        <v>55-59</v>
      </c>
      <c r="D326" s="6">
        <f t="shared" ref="D326:F326" si="651">J326+P326+V326</f>
        <v>392</v>
      </c>
      <c r="E326" s="6">
        <f t="shared" si="651"/>
        <v>223</v>
      </c>
      <c r="F326" s="6">
        <f t="shared" si="651"/>
        <v>169</v>
      </c>
      <c r="H326" s="8" t="s">
        <v>45</v>
      </c>
      <c r="I326" s="8" t="s">
        <v>19</v>
      </c>
      <c r="J326" s="10">
        <f t="shared" si="5"/>
        <v>18</v>
      </c>
      <c r="K326" s="11">
        <v>13.0</v>
      </c>
      <c r="L326" s="11">
        <v>5.0</v>
      </c>
      <c r="N326" s="8" t="s">
        <v>45</v>
      </c>
      <c r="O326" s="8" t="s">
        <v>19</v>
      </c>
      <c r="P326" s="10">
        <f t="shared" si="6"/>
        <v>196</v>
      </c>
      <c r="Q326" s="11">
        <v>144.0</v>
      </c>
      <c r="R326" s="11">
        <v>52.0</v>
      </c>
      <c r="T326" s="8" t="s">
        <v>45</v>
      </c>
      <c r="U326" s="9" t="s">
        <v>19</v>
      </c>
      <c r="V326" s="10">
        <f t="shared" si="7"/>
        <v>178</v>
      </c>
      <c r="W326" s="1">
        <v>66.0</v>
      </c>
      <c r="X326" s="11">
        <v>112.0</v>
      </c>
    </row>
    <row r="327">
      <c r="B327" s="6" t="str">
        <f t="shared" ref="B327:C327" si="652">H327</f>
        <v>Salween</v>
      </c>
      <c r="C327" s="7" t="str">
        <f t="shared" si="652"/>
        <v>60+</v>
      </c>
      <c r="D327" s="6">
        <f t="shared" ref="D327:F327" si="653">J327+P327+V327</f>
        <v>1005</v>
      </c>
      <c r="E327" s="6">
        <f t="shared" si="653"/>
        <v>579</v>
      </c>
      <c r="F327" s="6">
        <f t="shared" si="653"/>
        <v>426</v>
      </c>
      <c r="H327" s="8" t="s">
        <v>45</v>
      </c>
      <c r="I327" s="8" t="s">
        <v>20</v>
      </c>
      <c r="J327" s="10">
        <f t="shared" si="5"/>
        <v>32</v>
      </c>
      <c r="K327" s="11">
        <v>15.0</v>
      </c>
      <c r="L327" s="11">
        <v>17.0</v>
      </c>
      <c r="N327" s="8" t="s">
        <v>45</v>
      </c>
      <c r="O327" s="8" t="s">
        <v>21</v>
      </c>
      <c r="P327" s="10">
        <f t="shared" si="6"/>
        <v>382</v>
      </c>
      <c r="Q327" s="11">
        <v>302.0</v>
      </c>
      <c r="R327" s="11">
        <v>80.0</v>
      </c>
      <c r="T327" s="8" t="s">
        <v>45</v>
      </c>
      <c r="U327" s="8" t="s">
        <v>21</v>
      </c>
      <c r="V327" s="10">
        <f t="shared" si="7"/>
        <v>591</v>
      </c>
      <c r="W327" s="1">
        <v>262.0</v>
      </c>
      <c r="X327" s="11">
        <v>329.0</v>
      </c>
    </row>
    <row r="328">
      <c r="B328" s="6" t="str">
        <f t="shared" ref="B328:C328" si="654">H328</f>
        <v>Sandoway</v>
      </c>
      <c r="C328" s="7" t="str">
        <f t="shared" si="654"/>
        <v>0-4</v>
      </c>
      <c r="D328" s="6">
        <f t="shared" ref="D328:F328" si="655">J328+P328+V328</f>
        <v>8566</v>
      </c>
      <c r="E328" s="6">
        <f t="shared" si="655"/>
        <v>4381</v>
      </c>
      <c r="F328" s="6">
        <f t="shared" si="655"/>
        <v>4185</v>
      </c>
      <c r="H328" s="8" t="s">
        <v>46</v>
      </c>
      <c r="I328" s="9" t="s">
        <v>10</v>
      </c>
      <c r="J328" s="10">
        <f t="shared" si="5"/>
        <v>8566</v>
      </c>
      <c r="K328" s="11">
        <v>4381.0</v>
      </c>
      <c r="L328" s="11">
        <v>4185.0</v>
      </c>
      <c r="N328" s="8" t="s">
        <v>46</v>
      </c>
      <c r="O328" s="9" t="s">
        <v>10</v>
      </c>
      <c r="P328" s="10">
        <f t="shared" si="6"/>
        <v>0</v>
      </c>
      <c r="Q328" s="11">
        <v>0.0</v>
      </c>
      <c r="R328" s="11">
        <v>0.0</v>
      </c>
      <c r="T328" s="8" t="s">
        <v>46</v>
      </c>
      <c r="U328" s="9" t="s">
        <v>10</v>
      </c>
      <c r="V328" s="10">
        <f t="shared" si="7"/>
        <v>0</v>
      </c>
      <c r="W328" s="11">
        <v>0.0</v>
      </c>
      <c r="X328" s="11">
        <v>0.0</v>
      </c>
    </row>
    <row r="329">
      <c r="B329" s="6" t="str">
        <f t="shared" ref="B329:C329" si="656">H329</f>
        <v>Sandoway</v>
      </c>
      <c r="C329" s="12">
        <f t="shared" si="656"/>
        <v>45786</v>
      </c>
      <c r="D329" s="6">
        <f t="shared" ref="D329:F329" si="657">J329+P329+V329</f>
        <v>11226</v>
      </c>
      <c r="E329" s="6">
        <f t="shared" si="657"/>
        <v>5643</v>
      </c>
      <c r="F329" s="6">
        <f t="shared" si="657"/>
        <v>5583</v>
      </c>
      <c r="H329" s="8" t="s">
        <v>46</v>
      </c>
      <c r="I329" s="13">
        <v>45786.0</v>
      </c>
      <c r="J329" s="10">
        <f t="shared" si="5"/>
        <v>11226</v>
      </c>
      <c r="K329" s="11">
        <v>5643.0</v>
      </c>
      <c r="L329" s="11">
        <v>5583.0</v>
      </c>
      <c r="N329" s="8" t="s">
        <v>46</v>
      </c>
      <c r="O329" s="13">
        <v>45786.0</v>
      </c>
      <c r="P329" s="10">
        <f t="shared" si="6"/>
        <v>0</v>
      </c>
      <c r="Q329" s="11">
        <v>0.0</v>
      </c>
      <c r="R329" s="11">
        <v>0.0</v>
      </c>
      <c r="T329" s="8" t="s">
        <v>46</v>
      </c>
      <c r="U329" s="13">
        <v>45786.0</v>
      </c>
      <c r="V329" s="10">
        <f t="shared" si="7"/>
        <v>0</v>
      </c>
      <c r="W329" s="11">
        <v>0.0</v>
      </c>
      <c r="X329" s="11">
        <v>0.0</v>
      </c>
    </row>
    <row r="330">
      <c r="B330" s="6" t="str">
        <f t="shared" ref="B330:C330" si="658">H330</f>
        <v>Sandoway</v>
      </c>
      <c r="C330" s="12">
        <f t="shared" si="658"/>
        <v>45944</v>
      </c>
      <c r="D330" s="6">
        <f t="shared" ref="D330:F330" si="659">J330+P330+V330</f>
        <v>9217</v>
      </c>
      <c r="E330" s="6">
        <f t="shared" si="659"/>
        <v>5188</v>
      </c>
      <c r="F330" s="6">
        <f t="shared" si="659"/>
        <v>4029</v>
      </c>
      <c r="H330" s="8" t="s">
        <v>46</v>
      </c>
      <c r="I330" s="13">
        <v>45944.0</v>
      </c>
      <c r="J330" s="10">
        <f t="shared" si="5"/>
        <v>9194</v>
      </c>
      <c r="K330" s="11">
        <v>5185.0</v>
      </c>
      <c r="L330" s="11">
        <v>4009.0</v>
      </c>
      <c r="N330" s="8" t="s">
        <v>46</v>
      </c>
      <c r="O330" s="13">
        <v>45944.0</v>
      </c>
      <c r="P330" s="10">
        <f t="shared" si="6"/>
        <v>22</v>
      </c>
      <c r="Q330" s="11">
        <v>3.0</v>
      </c>
      <c r="R330" s="11">
        <v>19.0</v>
      </c>
      <c r="T330" s="8" t="s">
        <v>46</v>
      </c>
      <c r="U330" s="13">
        <v>45944.0</v>
      </c>
      <c r="V330" s="10">
        <f t="shared" si="7"/>
        <v>1</v>
      </c>
      <c r="W330" s="11">
        <v>0.0</v>
      </c>
      <c r="X330" s="11">
        <v>1.0</v>
      </c>
    </row>
    <row r="331">
      <c r="B331" s="6" t="str">
        <f t="shared" ref="B331:C331" si="660">H331</f>
        <v>Sandoway</v>
      </c>
      <c r="C331" s="7" t="str">
        <f t="shared" si="660"/>
        <v>15-19</v>
      </c>
      <c r="D331" s="6">
        <f t="shared" ref="D331:F331" si="661">J331+P331+V331</f>
        <v>8227</v>
      </c>
      <c r="E331" s="6">
        <f t="shared" si="661"/>
        <v>3780</v>
      </c>
      <c r="F331" s="6">
        <f t="shared" si="661"/>
        <v>4447</v>
      </c>
      <c r="H331" s="8" t="s">
        <v>46</v>
      </c>
      <c r="I331" s="9" t="s">
        <v>11</v>
      </c>
      <c r="J331" s="10">
        <f t="shared" si="5"/>
        <v>6337</v>
      </c>
      <c r="K331" s="11">
        <v>3459.0</v>
      </c>
      <c r="L331" s="11">
        <v>2878.0</v>
      </c>
      <c r="N331" s="8" t="s">
        <v>46</v>
      </c>
      <c r="O331" s="9" t="s">
        <v>11</v>
      </c>
      <c r="P331" s="10">
        <f t="shared" si="6"/>
        <v>1741</v>
      </c>
      <c r="Q331" s="11">
        <v>288.0</v>
      </c>
      <c r="R331" s="11">
        <v>1453.0</v>
      </c>
      <c r="T331" s="8" t="s">
        <v>46</v>
      </c>
      <c r="U331" s="8" t="s">
        <v>11</v>
      </c>
      <c r="V331" s="10">
        <f t="shared" si="7"/>
        <v>149</v>
      </c>
      <c r="W331" s="11">
        <v>33.0</v>
      </c>
      <c r="X331" s="11">
        <v>116.0</v>
      </c>
    </row>
    <row r="332">
      <c r="B332" s="6" t="str">
        <f t="shared" ref="B332:C332" si="662">H332</f>
        <v>Sandoway</v>
      </c>
      <c r="C332" s="7" t="str">
        <f t="shared" si="662"/>
        <v>20-24</v>
      </c>
      <c r="D332" s="6">
        <f t="shared" ref="D332:F332" si="663">J332+P332+V332</f>
        <v>6551</v>
      </c>
      <c r="E332" s="6">
        <f t="shared" si="663"/>
        <v>3015</v>
      </c>
      <c r="F332" s="6">
        <f t="shared" si="663"/>
        <v>3536</v>
      </c>
      <c r="H332" s="8" t="s">
        <v>46</v>
      </c>
      <c r="I332" s="9" t="s">
        <v>12</v>
      </c>
      <c r="J332" s="10">
        <f t="shared" si="5"/>
        <v>1638</v>
      </c>
      <c r="K332" s="11">
        <v>1118.0</v>
      </c>
      <c r="L332" s="11">
        <v>520.0</v>
      </c>
      <c r="N332" s="8" t="s">
        <v>46</v>
      </c>
      <c r="O332" s="9" t="s">
        <v>12</v>
      </c>
      <c r="P332" s="10">
        <f t="shared" si="6"/>
        <v>4540</v>
      </c>
      <c r="Q332" s="11">
        <v>1755.0</v>
      </c>
      <c r="R332" s="11">
        <v>2785.0</v>
      </c>
      <c r="T332" s="8" t="s">
        <v>46</v>
      </c>
      <c r="U332" s="8" t="s">
        <v>12</v>
      </c>
      <c r="V332" s="10">
        <f t="shared" si="7"/>
        <v>373</v>
      </c>
      <c r="W332" s="11">
        <v>142.0</v>
      </c>
      <c r="X332" s="11">
        <v>231.0</v>
      </c>
    </row>
    <row r="333">
      <c r="B333" s="6" t="str">
        <f t="shared" ref="B333:C333" si="664">H333</f>
        <v>Sandoway</v>
      </c>
      <c r="C333" s="7" t="str">
        <f t="shared" si="664"/>
        <v>25-29</v>
      </c>
      <c r="D333" s="6">
        <f t="shared" ref="D333:F333" si="665">J333+P333+V333</f>
        <v>6209</v>
      </c>
      <c r="E333" s="6">
        <f t="shared" si="665"/>
        <v>3176</v>
      </c>
      <c r="F333" s="6">
        <f t="shared" si="665"/>
        <v>3033</v>
      </c>
      <c r="H333" s="8" t="s">
        <v>46</v>
      </c>
      <c r="I333" s="9" t="s">
        <v>13</v>
      </c>
      <c r="J333" s="10">
        <f t="shared" si="5"/>
        <v>504</v>
      </c>
      <c r="K333" s="11">
        <v>359.0</v>
      </c>
      <c r="L333" s="11">
        <v>145.0</v>
      </c>
      <c r="N333" s="8" t="s">
        <v>46</v>
      </c>
      <c r="O333" s="9" t="s">
        <v>13</v>
      </c>
      <c r="P333" s="10">
        <f t="shared" si="6"/>
        <v>5334</v>
      </c>
      <c r="Q333" s="11">
        <v>2670.0</v>
      </c>
      <c r="R333" s="11">
        <v>2664.0</v>
      </c>
      <c r="T333" s="8" t="s">
        <v>46</v>
      </c>
      <c r="U333" s="8" t="s">
        <v>13</v>
      </c>
      <c r="V333" s="10">
        <f t="shared" si="7"/>
        <v>371</v>
      </c>
      <c r="W333" s="11">
        <v>147.0</v>
      </c>
      <c r="X333" s="11">
        <v>224.0</v>
      </c>
    </row>
    <row r="334">
      <c r="B334" s="6" t="str">
        <f t="shared" ref="B334:C334" si="666">H334</f>
        <v>Sandoway</v>
      </c>
      <c r="C334" s="7" t="str">
        <f t="shared" si="666"/>
        <v>30-34</v>
      </c>
      <c r="D334" s="6">
        <f t="shared" ref="D334:F334" si="667">J334+P334+V334</f>
        <v>5262</v>
      </c>
      <c r="E334" s="6">
        <f t="shared" si="667"/>
        <v>2816</v>
      </c>
      <c r="F334" s="6">
        <f t="shared" si="667"/>
        <v>2446</v>
      </c>
      <c r="H334" s="8" t="s">
        <v>46</v>
      </c>
      <c r="I334" s="8" t="s">
        <v>14</v>
      </c>
      <c r="J334" s="10">
        <f t="shared" si="5"/>
        <v>171</v>
      </c>
      <c r="K334" s="11">
        <v>133.0</v>
      </c>
      <c r="L334" s="11">
        <v>38.0</v>
      </c>
      <c r="N334" s="8" t="s">
        <v>46</v>
      </c>
      <c r="O334" s="8" t="s">
        <v>14</v>
      </c>
      <c r="P334" s="10">
        <f t="shared" si="6"/>
        <v>4710</v>
      </c>
      <c r="Q334" s="11">
        <v>2518.0</v>
      </c>
      <c r="R334" s="11">
        <v>2192.0</v>
      </c>
      <c r="T334" s="8" t="s">
        <v>46</v>
      </c>
      <c r="U334" s="8" t="s">
        <v>14</v>
      </c>
      <c r="V334" s="10">
        <f t="shared" si="7"/>
        <v>381</v>
      </c>
      <c r="W334" s="11">
        <v>165.0</v>
      </c>
      <c r="X334" s="11">
        <v>216.0</v>
      </c>
    </row>
    <row r="335">
      <c r="B335" s="6" t="str">
        <f t="shared" ref="B335:C335" si="668">H335</f>
        <v>Sandoway</v>
      </c>
      <c r="C335" s="7" t="str">
        <f t="shared" si="668"/>
        <v>35-39</v>
      </c>
      <c r="D335" s="6">
        <f t="shared" ref="D335:F335" si="669">J335+P335+V335</f>
        <v>3773</v>
      </c>
      <c r="E335" s="6">
        <f t="shared" si="669"/>
        <v>2020</v>
      </c>
      <c r="F335" s="6">
        <f t="shared" si="669"/>
        <v>1753</v>
      </c>
      <c r="H335" s="8" t="s">
        <v>46</v>
      </c>
      <c r="I335" s="8" t="s">
        <v>15</v>
      </c>
      <c r="J335" s="10">
        <f t="shared" si="5"/>
        <v>79</v>
      </c>
      <c r="K335" s="11">
        <v>62.0</v>
      </c>
      <c r="L335" s="11">
        <v>17.0</v>
      </c>
      <c r="N335" s="8" t="s">
        <v>46</v>
      </c>
      <c r="O335" s="8" t="s">
        <v>15</v>
      </c>
      <c r="P335" s="10">
        <f t="shared" si="6"/>
        <v>3396</v>
      </c>
      <c r="Q335" s="11">
        <v>1852.0</v>
      </c>
      <c r="R335" s="11">
        <v>1544.0</v>
      </c>
      <c r="T335" s="8" t="s">
        <v>46</v>
      </c>
      <c r="U335" s="8" t="s">
        <v>15</v>
      </c>
      <c r="V335" s="10">
        <f t="shared" si="7"/>
        <v>298</v>
      </c>
      <c r="W335" s="11">
        <v>106.0</v>
      </c>
      <c r="X335" s="11">
        <v>192.0</v>
      </c>
    </row>
    <row r="336">
      <c r="B336" s="6" t="str">
        <f t="shared" ref="B336:C336" si="670">H336</f>
        <v>Sandoway</v>
      </c>
      <c r="C336" s="7" t="str">
        <f t="shared" si="670"/>
        <v>40-44</v>
      </c>
      <c r="D336" s="6">
        <f t="shared" ref="D336:F336" si="671">J336+P336+V336</f>
        <v>3619</v>
      </c>
      <c r="E336" s="6">
        <f t="shared" si="671"/>
        <v>1866</v>
      </c>
      <c r="F336" s="6">
        <f t="shared" si="671"/>
        <v>1753</v>
      </c>
      <c r="H336" s="8" t="s">
        <v>46</v>
      </c>
      <c r="I336" s="8" t="s">
        <v>16</v>
      </c>
      <c r="J336" s="10">
        <f t="shared" si="5"/>
        <v>52</v>
      </c>
      <c r="K336" s="11">
        <v>22.0</v>
      </c>
      <c r="L336" s="11">
        <v>30.0</v>
      </c>
      <c r="N336" s="8" t="s">
        <v>46</v>
      </c>
      <c r="O336" s="8" t="s">
        <v>16</v>
      </c>
      <c r="P336" s="10">
        <f t="shared" si="6"/>
        <v>3183</v>
      </c>
      <c r="Q336" s="11">
        <v>1698.0</v>
      </c>
      <c r="R336" s="11">
        <v>1485.0</v>
      </c>
      <c r="T336" s="8" t="s">
        <v>46</v>
      </c>
      <c r="U336" s="8" t="s">
        <v>16</v>
      </c>
      <c r="V336" s="10">
        <f t="shared" si="7"/>
        <v>384</v>
      </c>
      <c r="W336" s="11">
        <v>146.0</v>
      </c>
      <c r="X336" s="11">
        <v>238.0</v>
      </c>
    </row>
    <row r="337">
      <c r="B337" s="6" t="str">
        <f t="shared" ref="B337:C337" si="672">H337</f>
        <v>Sandoway</v>
      </c>
      <c r="C337" s="7" t="str">
        <f t="shared" si="672"/>
        <v>45-49</v>
      </c>
      <c r="D337" s="6">
        <f t="shared" ref="D337:F337" si="673">J337+P337+V337</f>
        <v>2811</v>
      </c>
      <c r="E337" s="6">
        <f t="shared" si="673"/>
        <v>1471</v>
      </c>
      <c r="F337" s="6">
        <f t="shared" si="673"/>
        <v>1340</v>
      </c>
      <c r="H337" s="8" t="s">
        <v>46</v>
      </c>
      <c r="I337" s="8" t="s">
        <v>17</v>
      </c>
      <c r="J337" s="10">
        <f t="shared" si="5"/>
        <v>43</v>
      </c>
      <c r="K337" s="11">
        <v>13.0</v>
      </c>
      <c r="L337" s="11">
        <v>30.0</v>
      </c>
      <c r="N337" s="8" t="s">
        <v>46</v>
      </c>
      <c r="O337" s="8" t="s">
        <v>17</v>
      </c>
      <c r="P337" s="10">
        <f t="shared" si="6"/>
        <v>2354</v>
      </c>
      <c r="Q337" s="11">
        <v>1321.0</v>
      </c>
      <c r="R337" s="11">
        <v>1033.0</v>
      </c>
      <c r="T337" s="8" t="s">
        <v>46</v>
      </c>
      <c r="U337" s="8" t="s">
        <v>17</v>
      </c>
      <c r="V337" s="10">
        <f t="shared" si="7"/>
        <v>414</v>
      </c>
      <c r="W337" s="11">
        <v>137.0</v>
      </c>
      <c r="X337" s="11">
        <v>277.0</v>
      </c>
    </row>
    <row r="338">
      <c r="B338" s="6" t="str">
        <f t="shared" ref="B338:C338" si="674">H338</f>
        <v>Sandoway</v>
      </c>
      <c r="C338" s="7" t="str">
        <f t="shared" si="674"/>
        <v>50-54</v>
      </c>
      <c r="D338" s="6">
        <f t="shared" ref="D338:F338" si="675">J338+P338+V338</f>
        <v>2440</v>
      </c>
      <c r="E338" s="6">
        <f t="shared" si="675"/>
        <v>1327</v>
      </c>
      <c r="F338" s="6">
        <f t="shared" si="675"/>
        <v>1113</v>
      </c>
      <c r="H338" s="8" t="s">
        <v>46</v>
      </c>
      <c r="I338" s="8" t="s">
        <v>18</v>
      </c>
      <c r="J338" s="10">
        <f t="shared" si="5"/>
        <v>28</v>
      </c>
      <c r="K338" s="11">
        <v>15.0</v>
      </c>
      <c r="L338" s="11">
        <v>13.0</v>
      </c>
      <c r="N338" s="8" t="s">
        <v>46</v>
      </c>
      <c r="O338" s="8" t="s">
        <v>18</v>
      </c>
      <c r="P338" s="10">
        <f t="shared" si="6"/>
        <v>2130</v>
      </c>
      <c r="Q338" s="11">
        <v>1171.0</v>
      </c>
      <c r="R338" s="11">
        <v>959.0</v>
      </c>
      <c r="T338" s="8" t="s">
        <v>46</v>
      </c>
      <c r="U338" s="8" t="s">
        <v>18</v>
      </c>
      <c r="V338" s="10">
        <f t="shared" si="7"/>
        <v>282</v>
      </c>
      <c r="W338" s="11">
        <v>141.0</v>
      </c>
      <c r="X338" s="11">
        <v>141.0</v>
      </c>
    </row>
    <row r="339">
      <c r="B339" s="6" t="str">
        <f t="shared" ref="B339:C339" si="676">H339</f>
        <v>Sandoway</v>
      </c>
      <c r="C339" s="7" t="str">
        <f t="shared" si="676"/>
        <v>55-59</v>
      </c>
      <c r="D339" s="6">
        <f t="shared" ref="D339:F339" si="677">J339+P339+V339</f>
        <v>2028</v>
      </c>
      <c r="E339" s="6">
        <f t="shared" si="677"/>
        <v>1266</v>
      </c>
      <c r="F339" s="6">
        <f t="shared" si="677"/>
        <v>762</v>
      </c>
      <c r="H339" s="8" t="s">
        <v>46</v>
      </c>
      <c r="I339" s="8" t="s">
        <v>19</v>
      </c>
      <c r="J339" s="10">
        <f t="shared" si="5"/>
        <v>13</v>
      </c>
      <c r="K339" s="11">
        <v>9.0</v>
      </c>
      <c r="L339" s="11">
        <v>4.0</v>
      </c>
      <c r="N339" s="8" t="s">
        <v>46</v>
      </c>
      <c r="O339" s="8" t="s">
        <v>19</v>
      </c>
      <c r="P339" s="10">
        <f t="shared" si="6"/>
        <v>1488</v>
      </c>
      <c r="Q339" s="11">
        <v>841.0</v>
      </c>
      <c r="R339" s="11">
        <v>647.0</v>
      </c>
      <c r="T339" s="8" t="s">
        <v>46</v>
      </c>
      <c r="U339" s="8" t="s">
        <v>19</v>
      </c>
      <c r="V339" s="10">
        <f t="shared" si="7"/>
        <v>527</v>
      </c>
      <c r="W339" s="11">
        <v>416.0</v>
      </c>
      <c r="X339" s="11">
        <v>111.0</v>
      </c>
    </row>
    <row r="340">
      <c r="B340" s="6" t="str">
        <f t="shared" ref="B340:C340" si="678">H340</f>
        <v>Sandoway</v>
      </c>
      <c r="C340" s="7" t="str">
        <f t="shared" si="678"/>
        <v>60+</v>
      </c>
      <c r="D340" s="6">
        <f t="shared" ref="D340:F340" si="679">J340+P340+V340</f>
        <v>3031</v>
      </c>
      <c r="E340" s="6">
        <f t="shared" si="679"/>
        <v>1883</v>
      </c>
      <c r="F340" s="6">
        <f t="shared" si="679"/>
        <v>1148</v>
      </c>
      <c r="H340" s="8" t="s">
        <v>46</v>
      </c>
      <c r="I340" s="8" t="s">
        <v>20</v>
      </c>
      <c r="J340" s="10">
        <f t="shared" si="5"/>
        <v>48</v>
      </c>
      <c r="K340" s="11">
        <v>18.0</v>
      </c>
      <c r="L340" s="11">
        <v>30.0</v>
      </c>
      <c r="N340" s="8" t="s">
        <v>46</v>
      </c>
      <c r="O340" s="8" t="s">
        <v>21</v>
      </c>
      <c r="P340" s="10">
        <f t="shared" si="6"/>
        <v>2169</v>
      </c>
      <c r="Q340" s="11">
        <v>1514.0</v>
      </c>
      <c r="R340" s="11">
        <v>655.0</v>
      </c>
      <c r="T340" s="8" t="s">
        <v>46</v>
      </c>
      <c r="U340" s="8" t="s">
        <v>21</v>
      </c>
      <c r="V340" s="10">
        <f t="shared" si="7"/>
        <v>814</v>
      </c>
      <c r="W340" s="11">
        <v>351.0</v>
      </c>
      <c r="X340" s="11">
        <v>463.0</v>
      </c>
    </row>
    <row r="341">
      <c r="B341" s="6" t="str">
        <f t="shared" ref="B341:C341" si="680">H341</f>
        <v>Shan States synchronous tract</v>
      </c>
      <c r="C341" s="7" t="str">
        <f t="shared" si="680"/>
        <v>0-4</v>
      </c>
      <c r="D341" s="6">
        <f t="shared" ref="D341:F341" si="681">J341+P341+V341</f>
        <v>16</v>
      </c>
      <c r="E341" s="6">
        <f t="shared" si="681"/>
        <v>9</v>
      </c>
      <c r="F341" s="6">
        <f t="shared" si="681"/>
        <v>7</v>
      </c>
      <c r="H341" s="8" t="s">
        <v>47</v>
      </c>
      <c r="I341" s="9" t="s">
        <v>10</v>
      </c>
      <c r="J341" s="10">
        <f t="shared" si="5"/>
        <v>16</v>
      </c>
      <c r="K341" s="1">
        <v>9.0</v>
      </c>
      <c r="L341" s="1">
        <v>7.0</v>
      </c>
      <c r="N341" s="8" t="s">
        <v>47</v>
      </c>
      <c r="O341" s="9" t="s">
        <v>10</v>
      </c>
      <c r="P341" s="10">
        <f t="shared" si="6"/>
        <v>0</v>
      </c>
      <c r="Q341" s="11">
        <v>0.0</v>
      </c>
      <c r="R341" s="11">
        <v>0.0</v>
      </c>
      <c r="T341" s="8" t="s">
        <v>47</v>
      </c>
      <c r="U341" s="9" t="s">
        <v>10</v>
      </c>
      <c r="V341" s="10">
        <f t="shared" si="7"/>
        <v>0</v>
      </c>
      <c r="W341" s="11">
        <v>0.0</v>
      </c>
      <c r="X341" s="11">
        <v>0.0</v>
      </c>
    </row>
    <row r="342">
      <c r="B342" s="6" t="str">
        <f t="shared" ref="B342:C342" si="682">H342</f>
        <v>Shan States synchronous tract</v>
      </c>
      <c r="C342" s="12">
        <f t="shared" si="682"/>
        <v>45786</v>
      </c>
      <c r="D342" s="6">
        <f t="shared" ref="D342:F342" si="683">J342+P342+V342</f>
        <v>20</v>
      </c>
      <c r="E342" s="6">
        <f t="shared" si="683"/>
        <v>10</v>
      </c>
      <c r="F342" s="6">
        <f t="shared" si="683"/>
        <v>10</v>
      </c>
      <c r="H342" s="8" t="s">
        <v>47</v>
      </c>
      <c r="I342" s="13">
        <v>45786.0</v>
      </c>
      <c r="J342" s="10">
        <f t="shared" si="5"/>
        <v>20</v>
      </c>
      <c r="K342" s="1">
        <v>10.0</v>
      </c>
      <c r="L342" s="1">
        <v>10.0</v>
      </c>
      <c r="N342" s="8" t="s">
        <v>47</v>
      </c>
      <c r="O342" s="13">
        <v>45786.0</v>
      </c>
      <c r="P342" s="10">
        <f t="shared" si="6"/>
        <v>0</v>
      </c>
      <c r="Q342" s="11">
        <v>0.0</v>
      </c>
      <c r="R342" s="11">
        <v>0.0</v>
      </c>
      <c r="T342" s="8" t="s">
        <v>47</v>
      </c>
      <c r="U342" s="13">
        <v>45786.0</v>
      </c>
      <c r="V342" s="10">
        <f t="shared" si="7"/>
        <v>0</v>
      </c>
      <c r="W342" s="11">
        <v>0.0</v>
      </c>
      <c r="X342" s="11">
        <v>0.0</v>
      </c>
    </row>
    <row r="343">
      <c r="B343" s="6" t="str">
        <f t="shared" ref="B343:C343" si="684">H343</f>
        <v>Shan States synchronous tract</v>
      </c>
      <c r="C343" s="12">
        <f t="shared" si="684"/>
        <v>45944</v>
      </c>
      <c r="D343" s="6">
        <f t="shared" ref="D343:F343" si="685">J343+P343+V343</f>
        <v>11</v>
      </c>
      <c r="E343" s="6">
        <f t="shared" si="685"/>
        <v>2</v>
      </c>
      <c r="F343" s="6">
        <f t="shared" si="685"/>
        <v>9</v>
      </c>
      <c r="H343" s="8" t="s">
        <v>47</v>
      </c>
      <c r="I343" s="13">
        <v>45944.0</v>
      </c>
      <c r="J343" s="10">
        <f t="shared" si="5"/>
        <v>9</v>
      </c>
      <c r="K343" s="1">
        <v>2.0</v>
      </c>
      <c r="L343" s="1">
        <v>7.0</v>
      </c>
      <c r="N343" s="8" t="s">
        <v>47</v>
      </c>
      <c r="O343" s="13">
        <v>45944.0</v>
      </c>
      <c r="P343" s="10">
        <f t="shared" si="6"/>
        <v>2</v>
      </c>
      <c r="Q343" s="11">
        <v>0.0</v>
      </c>
      <c r="R343" s="11">
        <v>2.0</v>
      </c>
      <c r="T343" s="8" t="s">
        <v>47</v>
      </c>
      <c r="U343" s="13">
        <v>45786.0</v>
      </c>
      <c r="V343" s="10">
        <f t="shared" si="7"/>
        <v>0</v>
      </c>
      <c r="W343" s="14">
        <v>0.0</v>
      </c>
      <c r="X343" s="1">
        <v>0.0</v>
      </c>
    </row>
    <row r="344">
      <c r="B344" s="6" t="str">
        <f t="shared" ref="B344:C344" si="686">H344</f>
        <v>Shan States synchronous tract</v>
      </c>
      <c r="C344" s="7" t="str">
        <f t="shared" si="686"/>
        <v>15-19</v>
      </c>
      <c r="D344" s="6">
        <f t="shared" ref="D344:F344" si="687">J344+P344+V344</f>
        <v>307</v>
      </c>
      <c r="E344" s="6">
        <f t="shared" si="687"/>
        <v>289</v>
      </c>
      <c r="F344" s="6">
        <f t="shared" si="687"/>
        <v>18</v>
      </c>
      <c r="H344" s="8" t="s">
        <v>47</v>
      </c>
      <c r="I344" s="9" t="s">
        <v>11</v>
      </c>
      <c r="J344" s="10">
        <f t="shared" si="5"/>
        <v>206</v>
      </c>
      <c r="K344" s="1">
        <v>203.0</v>
      </c>
      <c r="L344" s="1">
        <v>3.0</v>
      </c>
      <c r="N344" s="8" t="s">
        <v>47</v>
      </c>
      <c r="O344" s="9" t="s">
        <v>11</v>
      </c>
      <c r="P344" s="10">
        <f t="shared" si="6"/>
        <v>101</v>
      </c>
      <c r="Q344" s="11">
        <v>86.0</v>
      </c>
      <c r="R344" s="11">
        <v>15.0</v>
      </c>
      <c r="T344" s="8" t="s">
        <v>47</v>
      </c>
      <c r="U344" s="13">
        <v>45944.0</v>
      </c>
      <c r="V344" s="10">
        <f t="shared" si="7"/>
        <v>0</v>
      </c>
      <c r="W344" s="14">
        <v>0.0</v>
      </c>
      <c r="X344" s="1">
        <v>0.0</v>
      </c>
    </row>
    <row r="345">
      <c r="B345" s="6" t="str">
        <f t="shared" ref="B345:C345" si="688">H345</f>
        <v>Shan States synchronous tract</v>
      </c>
      <c r="C345" s="7" t="str">
        <f t="shared" si="688"/>
        <v>20-24</v>
      </c>
      <c r="D345" s="6">
        <f t="shared" ref="D345:F345" si="689">J345+P345+V345</f>
        <v>1186</v>
      </c>
      <c r="E345" s="6">
        <f t="shared" si="689"/>
        <v>1164</v>
      </c>
      <c r="F345" s="6">
        <f t="shared" si="689"/>
        <v>22</v>
      </c>
      <c r="H345" s="8" t="s">
        <v>47</v>
      </c>
      <c r="I345" s="9" t="s">
        <v>12</v>
      </c>
      <c r="J345" s="10">
        <f t="shared" si="5"/>
        <v>645</v>
      </c>
      <c r="K345" s="1">
        <v>645.0</v>
      </c>
      <c r="L345" s="1">
        <v>0.0</v>
      </c>
      <c r="N345" s="8" t="s">
        <v>47</v>
      </c>
      <c r="O345" s="9" t="s">
        <v>12</v>
      </c>
      <c r="P345" s="10">
        <f t="shared" si="6"/>
        <v>534</v>
      </c>
      <c r="Q345" s="11">
        <v>512.0</v>
      </c>
      <c r="R345" s="11">
        <v>22.0</v>
      </c>
      <c r="T345" s="8" t="s">
        <v>47</v>
      </c>
      <c r="U345" s="9" t="s">
        <v>11</v>
      </c>
      <c r="V345" s="10">
        <f t="shared" si="7"/>
        <v>7</v>
      </c>
      <c r="W345" s="14">
        <v>7.0</v>
      </c>
      <c r="X345" s="1">
        <v>0.0</v>
      </c>
    </row>
    <row r="346">
      <c r="B346" s="6" t="str">
        <f t="shared" ref="B346:C346" si="690">H346</f>
        <v>Shan States synchronous tract</v>
      </c>
      <c r="C346" s="7" t="str">
        <f t="shared" si="690"/>
        <v>25-29</v>
      </c>
      <c r="D346" s="6">
        <f t="shared" ref="D346:F346" si="691">J346+P346+V346</f>
        <v>715</v>
      </c>
      <c r="E346" s="6">
        <f t="shared" si="691"/>
        <v>696</v>
      </c>
      <c r="F346" s="6">
        <f t="shared" si="691"/>
        <v>19</v>
      </c>
      <c r="H346" s="8" t="s">
        <v>47</v>
      </c>
      <c r="I346" s="9" t="s">
        <v>13</v>
      </c>
      <c r="J346" s="10">
        <f t="shared" si="5"/>
        <v>277</v>
      </c>
      <c r="K346" s="1">
        <v>276.0</v>
      </c>
      <c r="L346" s="1">
        <v>1.0</v>
      </c>
      <c r="N346" s="8" t="s">
        <v>47</v>
      </c>
      <c r="O346" s="9" t="s">
        <v>13</v>
      </c>
      <c r="P346" s="10">
        <f t="shared" si="6"/>
        <v>419</v>
      </c>
      <c r="Q346" s="11">
        <v>402.0</v>
      </c>
      <c r="R346" s="11">
        <v>17.0</v>
      </c>
      <c r="T346" s="8" t="s">
        <v>47</v>
      </c>
      <c r="U346" s="1" t="s">
        <v>13</v>
      </c>
      <c r="V346" s="10">
        <f t="shared" si="7"/>
        <v>19</v>
      </c>
      <c r="W346" s="14">
        <v>18.0</v>
      </c>
      <c r="X346" s="1">
        <v>1.0</v>
      </c>
    </row>
    <row r="347">
      <c r="B347" s="6" t="str">
        <f t="shared" ref="B347:C347" si="692">H347</f>
        <v>Shan States synchronous tract</v>
      </c>
      <c r="C347" s="7" t="str">
        <f t="shared" si="692"/>
        <v>30-34</v>
      </c>
      <c r="D347" s="6">
        <f t="shared" ref="D347:F347" si="693">J347+P347+V347</f>
        <v>417</v>
      </c>
      <c r="E347" s="6">
        <f t="shared" si="693"/>
        <v>407</v>
      </c>
      <c r="F347" s="6">
        <f t="shared" si="693"/>
        <v>10</v>
      </c>
      <c r="H347" s="8" t="s">
        <v>47</v>
      </c>
      <c r="I347" s="8" t="s">
        <v>14</v>
      </c>
      <c r="J347" s="10">
        <f t="shared" si="5"/>
        <v>98</v>
      </c>
      <c r="K347" s="1">
        <v>98.0</v>
      </c>
      <c r="L347" s="1">
        <v>0.0</v>
      </c>
      <c r="N347" s="8" t="s">
        <v>47</v>
      </c>
      <c r="O347" s="9" t="s">
        <v>14</v>
      </c>
      <c r="P347" s="10">
        <f t="shared" si="6"/>
        <v>302</v>
      </c>
      <c r="Q347" s="11">
        <v>293.0</v>
      </c>
      <c r="R347" s="11">
        <v>9.0</v>
      </c>
      <c r="T347" s="8" t="s">
        <v>47</v>
      </c>
      <c r="U347" s="8" t="s">
        <v>14</v>
      </c>
      <c r="V347" s="10">
        <f t="shared" si="7"/>
        <v>17</v>
      </c>
      <c r="W347" s="14">
        <v>16.0</v>
      </c>
      <c r="X347" s="1">
        <v>1.0</v>
      </c>
    </row>
    <row r="348">
      <c r="B348" s="6" t="str">
        <f t="shared" ref="B348:C348" si="694">H348</f>
        <v>Shan States synchronous tract</v>
      </c>
      <c r="C348" s="7" t="str">
        <f t="shared" si="694"/>
        <v>35-39</v>
      </c>
      <c r="D348" s="6">
        <f t="shared" ref="D348:F348" si="695">J348+P348+V348</f>
        <v>209</v>
      </c>
      <c r="E348" s="6">
        <f t="shared" si="695"/>
        <v>200</v>
      </c>
      <c r="F348" s="6">
        <f t="shared" si="695"/>
        <v>9</v>
      </c>
      <c r="H348" s="8" t="s">
        <v>47</v>
      </c>
      <c r="I348" s="8" t="s">
        <v>15</v>
      </c>
      <c r="J348" s="10">
        <f t="shared" si="5"/>
        <v>52</v>
      </c>
      <c r="K348" s="1">
        <v>52.0</v>
      </c>
      <c r="L348" s="1">
        <v>0.0</v>
      </c>
      <c r="N348" s="8" t="s">
        <v>47</v>
      </c>
      <c r="O348" s="9" t="s">
        <v>15</v>
      </c>
      <c r="P348" s="10">
        <f t="shared" si="6"/>
        <v>154</v>
      </c>
      <c r="Q348" s="11">
        <v>146.0</v>
      </c>
      <c r="R348" s="11">
        <v>8.0</v>
      </c>
      <c r="T348" s="8" t="s">
        <v>47</v>
      </c>
      <c r="U348" s="8" t="s">
        <v>15</v>
      </c>
      <c r="V348" s="10">
        <f t="shared" si="7"/>
        <v>3</v>
      </c>
      <c r="W348" s="14">
        <v>2.0</v>
      </c>
      <c r="X348" s="1">
        <v>1.0</v>
      </c>
    </row>
    <row r="349">
      <c r="B349" s="6" t="str">
        <f t="shared" ref="B349:C349" si="696">H349</f>
        <v>Shan States synchronous tract</v>
      </c>
      <c r="C349" s="7" t="str">
        <f t="shared" si="696"/>
        <v>40-44</v>
      </c>
      <c r="D349" s="6">
        <f t="shared" ref="D349:F349" si="697">J349+P349+V349</f>
        <v>47</v>
      </c>
      <c r="E349" s="6">
        <f t="shared" si="697"/>
        <v>44</v>
      </c>
      <c r="F349" s="6">
        <f t="shared" si="697"/>
        <v>3</v>
      </c>
      <c r="H349" s="8" t="s">
        <v>47</v>
      </c>
      <c r="I349" s="8" t="s">
        <v>16</v>
      </c>
      <c r="J349" s="10">
        <f t="shared" si="5"/>
        <v>4</v>
      </c>
      <c r="K349" s="1">
        <v>4.0</v>
      </c>
      <c r="L349" s="1">
        <v>0.0</v>
      </c>
      <c r="N349" s="8" t="s">
        <v>47</v>
      </c>
      <c r="O349" s="8" t="s">
        <v>16</v>
      </c>
      <c r="P349" s="10">
        <f t="shared" si="6"/>
        <v>40</v>
      </c>
      <c r="Q349" s="1">
        <v>38.0</v>
      </c>
      <c r="R349" s="1">
        <v>2.0</v>
      </c>
      <c r="T349" s="8" t="s">
        <v>47</v>
      </c>
      <c r="U349" s="8" t="s">
        <v>16</v>
      </c>
      <c r="V349" s="10">
        <f t="shared" si="7"/>
        <v>3</v>
      </c>
      <c r="W349" s="14">
        <v>2.0</v>
      </c>
      <c r="X349" s="1">
        <v>1.0</v>
      </c>
    </row>
    <row r="350">
      <c r="B350" s="6" t="str">
        <f t="shared" ref="B350:C350" si="698">H350</f>
        <v>Shan States synchronous tract</v>
      </c>
      <c r="C350" s="7" t="str">
        <f t="shared" si="698"/>
        <v>45-49</v>
      </c>
      <c r="D350" s="6">
        <f t="shared" ref="D350:F350" si="699">J350+P350+V350</f>
        <v>36</v>
      </c>
      <c r="E350" s="6">
        <f t="shared" si="699"/>
        <v>34</v>
      </c>
      <c r="F350" s="6">
        <f t="shared" si="699"/>
        <v>2</v>
      </c>
      <c r="H350" s="8" t="s">
        <v>47</v>
      </c>
      <c r="I350" s="8" t="s">
        <v>17</v>
      </c>
      <c r="J350" s="10">
        <f t="shared" si="5"/>
        <v>5</v>
      </c>
      <c r="K350" s="1">
        <v>5.0</v>
      </c>
      <c r="L350" s="1">
        <v>0.0</v>
      </c>
      <c r="N350" s="8" t="s">
        <v>47</v>
      </c>
      <c r="O350" s="8" t="s">
        <v>17</v>
      </c>
      <c r="P350" s="10">
        <f t="shared" si="6"/>
        <v>28</v>
      </c>
      <c r="Q350" s="1">
        <v>27.0</v>
      </c>
      <c r="R350" s="1">
        <v>1.0</v>
      </c>
      <c r="T350" s="8" t="s">
        <v>47</v>
      </c>
      <c r="U350" s="8" t="s">
        <v>17</v>
      </c>
      <c r="V350" s="10">
        <f t="shared" si="7"/>
        <v>3</v>
      </c>
      <c r="W350" s="14">
        <v>2.0</v>
      </c>
      <c r="X350" s="1">
        <v>1.0</v>
      </c>
    </row>
    <row r="351">
      <c r="B351" s="6" t="str">
        <f t="shared" ref="B351:C351" si="700">H351</f>
        <v>Shan States synchronous tract</v>
      </c>
      <c r="C351" s="7" t="str">
        <f t="shared" si="700"/>
        <v>50-54</v>
      </c>
      <c r="D351" s="6">
        <f t="shared" ref="D351:F351" si="701">J351+P351+V351</f>
        <v>21</v>
      </c>
      <c r="E351" s="6">
        <f t="shared" si="701"/>
        <v>20</v>
      </c>
      <c r="F351" s="6">
        <f t="shared" si="701"/>
        <v>1</v>
      </c>
      <c r="H351" s="8" t="s">
        <v>47</v>
      </c>
      <c r="I351" s="1" t="s">
        <v>18</v>
      </c>
      <c r="J351" s="10">
        <f t="shared" si="5"/>
        <v>1</v>
      </c>
      <c r="K351" s="1">
        <v>1.0</v>
      </c>
      <c r="L351" s="1">
        <v>0.0</v>
      </c>
      <c r="N351" s="8" t="s">
        <v>47</v>
      </c>
      <c r="O351" s="1" t="s">
        <v>18</v>
      </c>
      <c r="P351" s="10">
        <f t="shared" si="6"/>
        <v>18</v>
      </c>
      <c r="Q351" s="1">
        <v>18.0</v>
      </c>
      <c r="R351" s="1">
        <v>0.0</v>
      </c>
      <c r="T351" s="8" t="s">
        <v>47</v>
      </c>
      <c r="U351" s="1" t="s">
        <v>18</v>
      </c>
      <c r="V351" s="10">
        <f t="shared" si="7"/>
        <v>2</v>
      </c>
      <c r="W351" s="14">
        <v>1.0</v>
      </c>
      <c r="X351" s="1">
        <v>1.0</v>
      </c>
    </row>
    <row r="352">
      <c r="B352" s="6" t="str">
        <f t="shared" ref="B352:C352" si="702">H352</f>
        <v>Shan States synchronous tract</v>
      </c>
      <c r="C352" s="7" t="str">
        <f t="shared" si="702"/>
        <v>55-59</v>
      </c>
      <c r="D352" s="6">
        <f t="shared" ref="D352:F352" si="703">J352+P352+V352</f>
        <v>3</v>
      </c>
      <c r="E352" s="6">
        <f t="shared" si="703"/>
        <v>3</v>
      </c>
      <c r="F352" s="6">
        <f t="shared" si="703"/>
        <v>0</v>
      </c>
      <c r="H352" s="8" t="s">
        <v>47</v>
      </c>
      <c r="I352" s="1" t="s">
        <v>19</v>
      </c>
      <c r="J352" s="10">
        <f t="shared" si="5"/>
        <v>0</v>
      </c>
      <c r="K352" s="1">
        <v>0.0</v>
      </c>
      <c r="L352" s="1">
        <v>0.0</v>
      </c>
      <c r="N352" s="8" t="s">
        <v>47</v>
      </c>
      <c r="O352" s="1" t="s">
        <v>19</v>
      </c>
      <c r="P352" s="10">
        <f t="shared" si="6"/>
        <v>3</v>
      </c>
      <c r="Q352" s="1">
        <v>3.0</v>
      </c>
      <c r="R352" s="1">
        <v>0.0</v>
      </c>
      <c r="T352" s="8" t="s">
        <v>47</v>
      </c>
      <c r="U352" s="1" t="s">
        <v>19</v>
      </c>
      <c r="V352" s="10">
        <f t="shared" si="7"/>
        <v>0</v>
      </c>
      <c r="W352" s="14">
        <v>0.0</v>
      </c>
      <c r="X352" s="1">
        <v>0.0</v>
      </c>
    </row>
    <row r="353">
      <c r="B353" s="6" t="str">
        <f t="shared" ref="B353:C353" si="704">H353</f>
        <v>Shan States synchronous tract</v>
      </c>
      <c r="C353" s="7" t="str">
        <f t="shared" si="704"/>
        <v>60 and over</v>
      </c>
      <c r="D353" s="6">
        <f t="shared" ref="D353:F353" si="705">J353+P353+V353</f>
        <v>4</v>
      </c>
      <c r="E353" s="6">
        <f t="shared" si="705"/>
        <v>4</v>
      </c>
      <c r="F353" s="6">
        <f t="shared" si="705"/>
        <v>0</v>
      </c>
      <c r="H353" s="8" t="s">
        <v>47</v>
      </c>
      <c r="I353" s="1" t="s">
        <v>21</v>
      </c>
      <c r="J353" s="10">
        <f t="shared" si="5"/>
        <v>0</v>
      </c>
      <c r="K353" s="1">
        <v>0.0</v>
      </c>
      <c r="L353" s="1">
        <v>0.0</v>
      </c>
      <c r="N353" s="8" t="s">
        <v>47</v>
      </c>
      <c r="O353" s="1" t="s">
        <v>21</v>
      </c>
      <c r="P353" s="10">
        <f t="shared" si="6"/>
        <v>4</v>
      </c>
      <c r="Q353" s="1">
        <v>4.0</v>
      </c>
      <c r="R353" s="1">
        <v>0.0</v>
      </c>
      <c r="T353" s="8" t="s">
        <v>47</v>
      </c>
      <c r="U353" s="1" t="s">
        <v>21</v>
      </c>
      <c r="V353" s="10">
        <f t="shared" si="7"/>
        <v>0</v>
      </c>
      <c r="W353" s="14">
        <v>0.0</v>
      </c>
      <c r="X353" s="1">
        <v>0.0</v>
      </c>
    </row>
    <row r="354">
      <c r="B354" s="6" t="str">
        <f t="shared" ref="B354:C354" si="706">H354</f>
        <v>Shwebo</v>
      </c>
      <c r="C354" s="7" t="str">
        <f t="shared" si="706"/>
        <v>0-4</v>
      </c>
      <c r="D354" s="6">
        <f t="shared" ref="D354:F354" si="707">J354+P354+V354</f>
        <v>16553</v>
      </c>
      <c r="E354" s="6">
        <f t="shared" si="707"/>
        <v>7850</v>
      </c>
      <c r="F354" s="6">
        <f t="shared" si="707"/>
        <v>8703</v>
      </c>
      <c r="H354" s="8" t="s">
        <v>48</v>
      </c>
      <c r="I354" s="9" t="s">
        <v>10</v>
      </c>
      <c r="J354" s="10">
        <f t="shared" si="5"/>
        <v>16553</v>
      </c>
      <c r="K354" s="11">
        <v>7850.0</v>
      </c>
      <c r="L354" s="11">
        <v>8703.0</v>
      </c>
      <c r="N354" s="8" t="s">
        <v>48</v>
      </c>
      <c r="O354" s="9" t="s">
        <v>10</v>
      </c>
      <c r="P354" s="10">
        <f t="shared" si="6"/>
        <v>0</v>
      </c>
      <c r="Q354" s="11">
        <v>0.0</v>
      </c>
      <c r="R354" s="11">
        <v>0.0</v>
      </c>
      <c r="T354" s="8" t="s">
        <v>48</v>
      </c>
      <c r="U354" s="9" t="s">
        <v>10</v>
      </c>
      <c r="V354" s="10">
        <f t="shared" si="7"/>
        <v>0</v>
      </c>
      <c r="W354" s="11">
        <v>0.0</v>
      </c>
      <c r="X354" s="11">
        <v>0.0</v>
      </c>
    </row>
    <row r="355">
      <c r="B355" s="6" t="str">
        <f t="shared" ref="B355:C355" si="708">H355</f>
        <v>Shwebo</v>
      </c>
      <c r="C355" s="12">
        <f t="shared" si="708"/>
        <v>45786</v>
      </c>
      <c r="D355" s="6">
        <f t="shared" ref="D355:F355" si="709">J355+P355+V355</f>
        <v>15209</v>
      </c>
      <c r="E355" s="6">
        <f t="shared" si="709"/>
        <v>7360</v>
      </c>
      <c r="F355" s="6">
        <f t="shared" si="709"/>
        <v>7849</v>
      </c>
      <c r="H355" s="8" t="s">
        <v>48</v>
      </c>
      <c r="I355" s="13">
        <v>45786.0</v>
      </c>
      <c r="J355" s="10">
        <f t="shared" si="5"/>
        <v>15208</v>
      </c>
      <c r="K355" s="11">
        <v>7360.0</v>
      </c>
      <c r="L355" s="11">
        <v>7848.0</v>
      </c>
      <c r="N355" s="8" t="s">
        <v>48</v>
      </c>
      <c r="O355" s="13">
        <v>45786.0</v>
      </c>
      <c r="P355" s="10">
        <f t="shared" si="6"/>
        <v>1</v>
      </c>
      <c r="Q355" s="11">
        <v>0.0</v>
      </c>
      <c r="R355" s="11">
        <v>1.0</v>
      </c>
      <c r="T355" s="8" t="s">
        <v>48</v>
      </c>
      <c r="U355" s="13">
        <v>45786.0</v>
      </c>
      <c r="V355" s="10">
        <f t="shared" si="7"/>
        <v>0</v>
      </c>
      <c r="W355" s="11">
        <v>0.0</v>
      </c>
      <c r="X355" s="11">
        <v>0.0</v>
      </c>
    </row>
    <row r="356">
      <c r="B356" s="6" t="str">
        <f t="shared" ref="B356:C356" si="710">H356</f>
        <v>Shwebo</v>
      </c>
      <c r="C356" s="12">
        <f t="shared" si="710"/>
        <v>45944</v>
      </c>
      <c r="D356" s="6">
        <f t="shared" ref="D356:F356" si="711">J356+P356+V356</f>
        <v>15741</v>
      </c>
      <c r="E356" s="6">
        <f t="shared" si="711"/>
        <v>7745</v>
      </c>
      <c r="F356" s="6">
        <f t="shared" si="711"/>
        <v>7996</v>
      </c>
      <c r="H356" s="8" t="s">
        <v>48</v>
      </c>
      <c r="I356" s="13">
        <v>45944.0</v>
      </c>
      <c r="J356" s="10">
        <f t="shared" si="5"/>
        <v>15715</v>
      </c>
      <c r="K356" s="11">
        <v>7737.0</v>
      </c>
      <c r="L356" s="11">
        <v>7978.0</v>
      </c>
      <c r="N356" s="8" t="s">
        <v>48</v>
      </c>
      <c r="O356" s="13">
        <v>45944.0</v>
      </c>
      <c r="P356" s="10">
        <f t="shared" si="6"/>
        <v>25</v>
      </c>
      <c r="Q356" s="11">
        <v>7.0</v>
      </c>
      <c r="R356" s="11">
        <v>18.0</v>
      </c>
      <c r="T356" s="8" t="s">
        <v>48</v>
      </c>
      <c r="U356" s="13">
        <v>45944.0</v>
      </c>
      <c r="V356" s="10">
        <f t="shared" si="7"/>
        <v>1</v>
      </c>
      <c r="W356" s="11">
        <v>1.0</v>
      </c>
      <c r="X356" s="11">
        <v>0.0</v>
      </c>
    </row>
    <row r="357">
      <c r="B357" s="6" t="str">
        <f t="shared" ref="B357:C357" si="712">H357</f>
        <v>Shwebo</v>
      </c>
      <c r="C357" s="7" t="str">
        <f t="shared" si="712"/>
        <v>15-19</v>
      </c>
      <c r="D357" s="6">
        <f t="shared" ref="D357:F357" si="713">J357+P357+V357</f>
        <v>12062</v>
      </c>
      <c r="E357" s="6">
        <f t="shared" si="713"/>
        <v>5708</v>
      </c>
      <c r="F357" s="6">
        <f t="shared" si="713"/>
        <v>6354</v>
      </c>
      <c r="H357" s="8" t="s">
        <v>48</v>
      </c>
      <c r="I357" s="9" t="s">
        <v>11</v>
      </c>
      <c r="J357" s="10">
        <f t="shared" si="5"/>
        <v>10602</v>
      </c>
      <c r="K357" s="11">
        <v>5427.0</v>
      </c>
      <c r="L357" s="11">
        <v>5175.0</v>
      </c>
      <c r="N357" s="8" t="s">
        <v>48</v>
      </c>
      <c r="O357" s="9" t="s">
        <v>11</v>
      </c>
      <c r="P357" s="10">
        <f t="shared" si="6"/>
        <v>1340</v>
      </c>
      <c r="Q357" s="11">
        <v>264.0</v>
      </c>
      <c r="R357" s="11">
        <v>1076.0</v>
      </c>
      <c r="T357" s="8" t="s">
        <v>48</v>
      </c>
      <c r="U357" s="9" t="s">
        <v>11</v>
      </c>
      <c r="V357" s="10">
        <f t="shared" si="7"/>
        <v>120</v>
      </c>
      <c r="W357" s="11">
        <v>17.0</v>
      </c>
      <c r="X357" s="11">
        <v>103.0</v>
      </c>
    </row>
    <row r="358">
      <c r="B358" s="6" t="str">
        <f t="shared" ref="B358:C358" si="714">H358</f>
        <v>Shwebo</v>
      </c>
      <c r="C358" s="7" t="str">
        <f t="shared" si="714"/>
        <v>20-24</v>
      </c>
      <c r="D358" s="6">
        <f t="shared" ref="D358:F358" si="715">J358+P358+V358</f>
        <v>11626</v>
      </c>
      <c r="E358" s="6">
        <f t="shared" si="715"/>
        <v>5530</v>
      </c>
      <c r="F358" s="6">
        <f t="shared" si="715"/>
        <v>6096</v>
      </c>
      <c r="H358" s="8" t="s">
        <v>48</v>
      </c>
      <c r="I358" s="9" t="s">
        <v>12</v>
      </c>
      <c r="J358" s="10">
        <f t="shared" si="5"/>
        <v>5139</v>
      </c>
      <c r="K358" s="11">
        <v>3151.0</v>
      </c>
      <c r="L358" s="11">
        <v>1988.0</v>
      </c>
      <c r="N358" s="8" t="s">
        <v>48</v>
      </c>
      <c r="O358" s="9" t="s">
        <v>12</v>
      </c>
      <c r="P358" s="10">
        <f t="shared" si="6"/>
        <v>5988</v>
      </c>
      <c r="Q358" s="11">
        <v>2256.0</v>
      </c>
      <c r="R358" s="11">
        <v>3732.0</v>
      </c>
      <c r="T358" s="8" t="s">
        <v>48</v>
      </c>
      <c r="U358" s="9" t="s">
        <v>12</v>
      </c>
      <c r="V358" s="10">
        <f t="shared" si="7"/>
        <v>499</v>
      </c>
      <c r="W358" s="11">
        <v>123.0</v>
      </c>
      <c r="X358" s="11">
        <v>376.0</v>
      </c>
    </row>
    <row r="359">
      <c r="B359" s="6" t="str">
        <f t="shared" ref="B359:C359" si="716">H359</f>
        <v>Shwebo</v>
      </c>
      <c r="C359" s="7" t="str">
        <f t="shared" si="716"/>
        <v>25-29</v>
      </c>
      <c r="D359" s="6">
        <f t="shared" ref="D359:F359" si="717">J359+P359+V359</f>
        <v>11593</v>
      </c>
      <c r="E359" s="6">
        <f t="shared" si="717"/>
        <v>5572</v>
      </c>
      <c r="F359" s="6">
        <f t="shared" si="717"/>
        <v>6021</v>
      </c>
      <c r="H359" s="8" t="s">
        <v>48</v>
      </c>
      <c r="I359" s="9" t="s">
        <v>13</v>
      </c>
      <c r="J359" s="10">
        <f t="shared" si="5"/>
        <v>2175</v>
      </c>
      <c r="K359" s="11">
        <v>1331.0</v>
      </c>
      <c r="L359" s="11">
        <v>844.0</v>
      </c>
      <c r="N359" s="8" t="s">
        <v>48</v>
      </c>
      <c r="O359" s="9" t="s">
        <v>13</v>
      </c>
      <c r="P359" s="10">
        <f t="shared" si="6"/>
        <v>8661</v>
      </c>
      <c r="Q359" s="11">
        <v>4030.0</v>
      </c>
      <c r="R359" s="11">
        <v>4631.0</v>
      </c>
      <c r="T359" s="1" t="s">
        <v>48</v>
      </c>
      <c r="U359" s="1" t="s">
        <v>13</v>
      </c>
      <c r="V359" s="10">
        <f t="shared" si="7"/>
        <v>757</v>
      </c>
      <c r="W359" s="1">
        <v>211.0</v>
      </c>
      <c r="X359" s="1">
        <v>546.0</v>
      </c>
    </row>
    <row r="360">
      <c r="B360" s="6" t="str">
        <f t="shared" ref="B360:C360" si="718">H360</f>
        <v>Shwebo</v>
      </c>
      <c r="C360" s="7" t="str">
        <f t="shared" si="718"/>
        <v>30-34</v>
      </c>
      <c r="D360" s="6">
        <f t="shared" ref="D360:F360" si="719">J360+P360+V360</f>
        <v>11001</v>
      </c>
      <c r="E360" s="6">
        <f t="shared" si="719"/>
        <v>5445</v>
      </c>
      <c r="F360" s="6">
        <f t="shared" si="719"/>
        <v>5556</v>
      </c>
      <c r="H360" s="8" t="s">
        <v>48</v>
      </c>
      <c r="I360" s="8" t="s">
        <v>14</v>
      </c>
      <c r="J360" s="10">
        <f t="shared" si="5"/>
        <v>1045</v>
      </c>
      <c r="K360" s="11">
        <v>609.0</v>
      </c>
      <c r="L360" s="11">
        <v>436.0</v>
      </c>
      <c r="N360" s="8" t="s">
        <v>48</v>
      </c>
      <c r="O360" s="8" t="s">
        <v>14</v>
      </c>
      <c r="P360" s="10">
        <f t="shared" si="6"/>
        <v>8984</v>
      </c>
      <c r="Q360" s="11">
        <v>4584.0</v>
      </c>
      <c r="R360" s="11">
        <v>4400.0</v>
      </c>
      <c r="T360" s="1" t="s">
        <v>48</v>
      </c>
      <c r="U360" s="1" t="s">
        <v>14</v>
      </c>
      <c r="V360" s="10">
        <f t="shared" si="7"/>
        <v>972</v>
      </c>
      <c r="W360" s="1">
        <v>252.0</v>
      </c>
      <c r="X360" s="1">
        <v>720.0</v>
      </c>
    </row>
    <row r="361">
      <c r="B361" s="6" t="str">
        <f t="shared" ref="B361:C361" si="720">H361</f>
        <v>Shwebo</v>
      </c>
      <c r="C361" s="7" t="str">
        <f t="shared" si="720"/>
        <v>35-39</v>
      </c>
      <c r="D361" s="6">
        <f t="shared" ref="D361:F361" si="721">J361+P361+V361</f>
        <v>9996</v>
      </c>
      <c r="E361" s="6">
        <f t="shared" si="721"/>
        <v>5077</v>
      </c>
      <c r="F361" s="6">
        <f t="shared" si="721"/>
        <v>4919</v>
      </c>
      <c r="H361" s="8" t="s">
        <v>48</v>
      </c>
      <c r="I361" s="8" t="s">
        <v>15</v>
      </c>
      <c r="J361" s="10">
        <f t="shared" si="5"/>
        <v>656</v>
      </c>
      <c r="K361" s="11">
        <v>385.0</v>
      </c>
      <c r="L361" s="11">
        <v>271.0</v>
      </c>
      <c r="N361" s="8" t="s">
        <v>48</v>
      </c>
      <c r="O361" s="8" t="s">
        <v>15</v>
      </c>
      <c r="P361" s="10">
        <f t="shared" si="6"/>
        <v>8336</v>
      </c>
      <c r="Q361" s="11">
        <v>4437.0</v>
      </c>
      <c r="R361" s="11">
        <v>3899.0</v>
      </c>
      <c r="T361" s="1" t="s">
        <v>48</v>
      </c>
      <c r="U361" s="1" t="s">
        <v>15</v>
      </c>
      <c r="V361" s="10">
        <f t="shared" si="7"/>
        <v>1004</v>
      </c>
      <c r="W361" s="1">
        <v>255.0</v>
      </c>
      <c r="X361" s="1">
        <v>749.0</v>
      </c>
    </row>
    <row r="362">
      <c r="B362" s="6" t="str">
        <f t="shared" ref="B362:C362" si="722">H362</f>
        <v>Shwebo</v>
      </c>
      <c r="C362" s="7" t="str">
        <f t="shared" si="722"/>
        <v>40-44</v>
      </c>
      <c r="D362" s="6">
        <f t="shared" ref="D362:F362" si="723">J362+P362+V362</f>
        <v>7688</v>
      </c>
      <c r="E362" s="6">
        <f t="shared" si="723"/>
        <v>3699</v>
      </c>
      <c r="F362" s="6">
        <f t="shared" si="723"/>
        <v>3989</v>
      </c>
      <c r="H362" s="8" t="s">
        <v>48</v>
      </c>
      <c r="I362" s="8" t="s">
        <v>16</v>
      </c>
      <c r="J362" s="10">
        <f t="shared" si="5"/>
        <v>439</v>
      </c>
      <c r="K362" s="11">
        <v>188.0</v>
      </c>
      <c r="L362" s="11">
        <v>251.0</v>
      </c>
      <c r="N362" s="8" t="s">
        <v>48</v>
      </c>
      <c r="O362" s="8" t="s">
        <v>16</v>
      </c>
      <c r="P362" s="10">
        <f t="shared" si="6"/>
        <v>6118</v>
      </c>
      <c r="Q362" s="11">
        <v>3281.0</v>
      </c>
      <c r="R362" s="11">
        <v>2837.0</v>
      </c>
      <c r="T362" s="1" t="s">
        <v>48</v>
      </c>
      <c r="U362" s="1" t="s">
        <v>16</v>
      </c>
      <c r="V362" s="10">
        <f t="shared" si="7"/>
        <v>1131</v>
      </c>
      <c r="W362" s="1">
        <v>230.0</v>
      </c>
      <c r="X362" s="1">
        <v>901.0</v>
      </c>
    </row>
    <row r="363">
      <c r="B363" s="6" t="str">
        <f t="shared" ref="B363:C363" si="724">H363</f>
        <v>Shwebo</v>
      </c>
      <c r="C363" s="7" t="str">
        <f t="shared" si="724"/>
        <v>45-49</v>
      </c>
      <c r="D363" s="6">
        <f t="shared" ref="D363:F363" si="725">J363+P363+V363</f>
        <v>5235</v>
      </c>
      <c r="E363" s="6">
        <f t="shared" si="725"/>
        <v>2598</v>
      </c>
      <c r="F363" s="6">
        <f t="shared" si="725"/>
        <v>2637</v>
      </c>
      <c r="H363" s="8" t="s">
        <v>48</v>
      </c>
      <c r="I363" s="8" t="s">
        <v>17</v>
      </c>
      <c r="J363" s="10">
        <f t="shared" si="5"/>
        <v>270</v>
      </c>
      <c r="K363" s="11">
        <v>154.0</v>
      </c>
      <c r="L363" s="11">
        <v>116.0</v>
      </c>
      <c r="N363" s="8" t="s">
        <v>48</v>
      </c>
      <c r="O363" s="8" t="s">
        <v>17</v>
      </c>
      <c r="P363" s="10">
        <f t="shared" si="6"/>
        <v>3963</v>
      </c>
      <c r="Q363" s="11">
        <v>2211.0</v>
      </c>
      <c r="R363" s="11">
        <v>1752.0</v>
      </c>
      <c r="T363" s="1" t="s">
        <v>48</v>
      </c>
      <c r="U363" s="1" t="s">
        <v>17</v>
      </c>
      <c r="V363" s="10">
        <f t="shared" si="7"/>
        <v>1002</v>
      </c>
      <c r="W363" s="1">
        <v>233.0</v>
      </c>
      <c r="X363" s="1">
        <v>769.0</v>
      </c>
    </row>
    <row r="364">
      <c r="B364" s="6" t="str">
        <f t="shared" ref="B364:C364" si="726">H364</f>
        <v>Shwebo</v>
      </c>
      <c r="C364" s="7" t="str">
        <f t="shared" si="726"/>
        <v>50-54</v>
      </c>
      <c r="D364" s="6">
        <f t="shared" ref="D364:F364" si="727">J364+P364+V364</f>
        <v>5243</v>
      </c>
      <c r="E364" s="6">
        <f t="shared" si="727"/>
        <v>2413</v>
      </c>
      <c r="F364" s="6">
        <f t="shared" si="727"/>
        <v>2830</v>
      </c>
      <c r="H364" s="8" t="s">
        <v>48</v>
      </c>
      <c r="I364" s="8" t="s">
        <v>18</v>
      </c>
      <c r="J364" s="10">
        <f t="shared" si="5"/>
        <v>274</v>
      </c>
      <c r="K364" s="11">
        <v>141.0</v>
      </c>
      <c r="L364" s="11">
        <v>133.0</v>
      </c>
      <c r="N364" s="8" t="s">
        <v>48</v>
      </c>
      <c r="O364" s="8" t="s">
        <v>18</v>
      </c>
      <c r="P364" s="10">
        <f t="shared" si="6"/>
        <v>3517</v>
      </c>
      <c r="Q364" s="11">
        <v>1980.0</v>
      </c>
      <c r="R364" s="11">
        <v>1537.0</v>
      </c>
      <c r="T364" s="1" t="s">
        <v>48</v>
      </c>
      <c r="U364" s="1" t="s">
        <v>18</v>
      </c>
      <c r="V364" s="10">
        <f t="shared" si="7"/>
        <v>1452</v>
      </c>
      <c r="W364" s="1">
        <v>292.0</v>
      </c>
      <c r="X364" s="1">
        <v>1160.0</v>
      </c>
    </row>
    <row r="365">
      <c r="B365" s="6" t="str">
        <f t="shared" ref="B365:C365" si="728">H365</f>
        <v>Shwebo</v>
      </c>
      <c r="C365" s="7" t="str">
        <f t="shared" si="728"/>
        <v>55-59</v>
      </c>
      <c r="D365" s="6">
        <f t="shared" ref="D365:F365" si="729">J365+P365+V365</f>
        <v>2961</v>
      </c>
      <c r="E365" s="6">
        <f t="shared" si="729"/>
        <v>1379</v>
      </c>
      <c r="F365" s="6">
        <f t="shared" si="729"/>
        <v>1582</v>
      </c>
      <c r="H365" s="8" t="s">
        <v>48</v>
      </c>
      <c r="I365" s="8" t="s">
        <v>19</v>
      </c>
      <c r="J365" s="10">
        <f t="shared" si="5"/>
        <v>166</v>
      </c>
      <c r="K365" s="11">
        <v>100.0</v>
      </c>
      <c r="L365" s="11">
        <v>66.0</v>
      </c>
      <c r="N365" s="8" t="s">
        <v>48</v>
      </c>
      <c r="O365" s="8" t="s">
        <v>19</v>
      </c>
      <c r="P365" s="10">
        <f t="shared" si="6"/>
        <v>1814</v>
      </c>
      <c r="Q365" s="11">
        <v>1054.0</v>
      </c>
      <c r="R365" s="11">
        <v>760.0</v>
      </c>
      <c r="T365" s="1" t="s">
        <v>48</v>
      </c>
      <c r="U365" s="1" t="s">
        <v>19</v>
      </c>
      <c r="V365" s="10">
        <f t="shared" si="7"/>
        <v>981</v>
      </c>
      <c r="W365" s="1">
        <v>225.0</v>
      </c>
      <c r="X365" s="1">
        <v>756.0</v>
      </c>
    </row>
    <row r="366">
      <c r="B366" s="6" t="str">
        <f t="shared" ref="B366:C366" si="730">H366</f>
        <v>Shwebo</v>
      </c>
      <c r="C366" s="7" t="str">
        <f t="shared" si="730"/>
        <v>60+</v>
      </c>
      <c r="D366" s="6">
        <f t="shared" ref="D366:F366" si="731">J366+P366+V366</f>
        <v>10347</v>
      </c>
      <c r="E366" s="6">
        <f t="shared" si="731"/>
        <v>4402</v>
      </c>
      <c r="F366" s="6">
        <f t="shared" si="731"/>
        <v>5945</v>
      </c>
      <c r="H366" s="8" t="s">
        <v>48</v>
      </c>
      <c r="I366" s="8" t="s">
        <v>20</v>
      </c>
      <c r="J366" s="10">
        <f t="shared" si="5"/>
        <v>516</v>
      </c>
      <c r="K366" s="11">
        <v>273.0</v>
      </c>
      <c r="L366" s="11">
        <v>243.0</v>
      </c>
      <c r="N366" s="8" t="s">
        <v>48</v>
      </c>
      <c r="O366" s="8" t="s">
        <v>21</v>
      </c>
      <c r="P366" s="10">
        <f t="shared" si="6"/>
        <v>4112</v>
      </c>
      <c r="Q366" s="11">
        <v>2613.0</v>
      </c>
      <c r="R366" s="11">
        <v>1499.0</v>
      </c>
      <c r="T366" s="1" t="s">
        <v>48</v>
      </c>
      <c r="U366" s="1" t="s">
        <v>21</v>
      </c>
      <c r="V366" s="10">
        <f t="shared" si="7"/>
        <v>5719</v>
      </c>
      <c r="W366" s="1">
        <v>1516.0</v>
      </c>
      <c r="X366" s="1">
        <v>4203.0</v>
      </c>
    </row>
    <row r="367">
      <c r="B367" s="6" t="str">
        <f t="shared" ref="B367:C367" si="732">H367</f>
        <v>Shwegyin</v>
      </c>
      <c r="C367" s="7" t="str">
        <f t="shared" si="732"/>
        <v>0-4</v>
      </c>
      <c r="D367" s="6">
        <f t="shared" ref="D367:F367" si="733">J367+P367+V367</f>
        <v>30527</v>
      </c>
      <c r="E367" s="6">
        <f t="shared" si="733"/>
        <v>15229</v>
      </c>
      <c r="F367" s="6">
        <f t="shared" si="733"/>
        <v>15298</v>
      </c>
      <c r="H367" s="8" t="s">
        <v>49</v>
      </c>
      <c r="I367" s="9" t="s">
        <v>10</v>
      </c>
      <c r="J367" s="10">
        <f t="shared" si="5"/>
        <v>30527</v>
      </c>
      <c r="K367" s="11">
        <v>15229.0</v>
      </c>
      <c r="L367" s="11">
        <v>15298.0</v>
      </c>
      <c r="N367" s="8" t="s">
        <v>49</v>
      </c>
      <c r="O367" s="9" t="s">
        <v>10</v>
      </c>
      <c r="P367" s="10">
        <f t="shared" si="6"/>
        <v>0</v>
      </c>
      <c r="Q367" s="11">
        <v>0.0</v>
      </c>
      <c r="R367" s="11">
        <v>0.0</v>
      </c>
      <c r="T367" s="8" t="s">
        <v>49</v>
      </c>
      <c r="U367" s="9" t="s">
        <v>10</v>
      </c>
      <c r="V367" s="10">
        <f t="shared" si="7"/>
        <v>0</v>
      </c>
      <c r="W367" s="11">
        <v>0.0</v>
      </c>
      <c r="X367" s="11">
        <v>0.0</v>
      </c>
    </row>
    <row r="368">
      <c r="B368" s="6" t="str">
        <f t="shared" ref="B368:C368" si="734">H368</f>
        <v>Shwegyin</v>
      </c>
      <c r="C368" s="12">
        <f t="shared" si="734"/>
        <v>45786</v>
      </c>
      <c r="D368" s="6">
        <f t="shared" ref="D368:F368" si="735">J368+P368+V368</f>
        <v>28421</v>
      </c>
      <c r="E368" s="6">
        <f t="shared" si="735"/>
        <v>14842</v>
      </c>
      <c r="F368" s="6">
        <f t="shared" si="735"/>
        <v>13579</v>
      </c>
      <c r="H368" s="8" t="s">
        <v>49</v>
      </c>
      <c r="I368" s="13">
        <v>45786.0</v>
      </c>
      <c r="J368" s="10">
        <f t="shared" si="5"/>
        <v>28421</v>
      </c>
      <c r="K368" s="11">
        <v>14842.0</v>
      </c>
      <c r="L368" s="11">
        <v>13579.0</v>
      </c>
      <c r="N368" s="8" t="s">
        <v>49</v>
      </c>
      <c r="O368" s="13">
        <v>45786.0</v>
      </c>
      <c r="P368" s="10">
        <f t="shared" si="6"/>
        <v>0</v>
      </c>
      <c r="Q368" s="11">
        <v>0.0</v>
      </c>
      <c r="R368" s="11">
        <v>0.0</v>
      </c>
      <c r="T368" s="8" t="s">
        <v>49</v>
      </c>
      <c r="U368" s="13">
        <v>45786.0</v>
      </c>
      <c r="V368" s="10">
        <f t="shared" si="7"/>
        <v>0</v>
      </c>
      <c r="W368" s="11">
        <v>0.0</v>
      </c>
      <c r="X368" s="11">
        <v>0.0</v>
      </c>
    </row>
    <row r="369">
      <c r="B369" s="6" t="str">
        <f t="shared" ref="B369:C369" si="736">H369</f>
        <v>Shwegyin</v>
      </c>
      <c r="C369" s="12">
        <f t="shared" si="736"/>
        <v>45944</v>
      </c>
      <c r="D369" s="6">
        <f t="shared" ref="D369:F369" si="737">J369+P369+V369</f>
        <v>23856</v>
      </c>
      <c r="E369" s="6">
        <f t="shared" si="737"/>
        <v>12828</v>
      </c>
      <c r="F369" s="6">
        <f t="shared" si="737"/>
        <v>11028</v>
      </c>
      <c r="H369" s="8" t="s">
        <v>49</v>
      </c>
      <c r="I369" s="13">
        <v>45944.0</v>
      </c>
      <c r="J369" s="10">
        <f t="shared" si="5"/>
        <v>23776</v>
      </c>
      <c r="K369" s="11">
        <v>12811.0</v>
      </c>
      <c r="L369" s="11">
        <v>10965.0</v>
      </c>
      <c r="N369" s="8" t="s">
        <v>49</v>
      </c>
      <c r="O369" s="13">
        <v>45944.0</v>
      </c>
      <c r="P369" s="10">
        <f t="shared" si="6"/>
        <v>77</v>
      </c>
      <c r="Q369" s="11">
        <v>16.0</v>
      </c>
      <c r="R369" s="11">
        <v>61.0</v>
      </c>
      <c r="T369" s="8" t="s">
        <v>49</v>
      </c>
      <c r="U369" s="13">
        <v>45944.0</v>
      </c>
      <c r="V369" s="10">
        <f t="shared" si="7"/>
        <v>3</v>
      </c>
      <c r="W369" s="11">
        <v>1.0</v>
      </c>
      <c r="X369" s="11">
        <v>2.0</v>
      </c>
    </row>
    <row r="370">
      <c r="B370" s="6" t="str">
        <f t="shared" ref="B370:C370" si="738">H370</f>
        <v>Shwegyin</v>
      </c>
      <c r="C370" s="7" t="str">
        <f t="shared" si="738"/>
        <v>15-19</v>
      </c>
      <c r="D370" s="6">
        <f t="shared" ref="D370:F370" si="739">J370+P370+V370</f>
        <v>19366</v>
      </c>
      <c r="E370" s="6">
        <f t="shared" si="739"/>
        <v>9491</v>
      </c>
      <c r="F370" s="6">
        <f t="shared" si="739"/>
        <v>9875</v>
      </c>
      <c r="H370" s="8" t="s">
        <v>49</v>
      </c>
      <c r="I370" s="9" t="s">
        <v>11</v>
      </c>
      <c r="J370" s="10">
        <f t="shared" si="5"/>
        <v>16038</v>
      </c>
      <c r="K370" s="11">
        <v>8949.0</v>
      </c>
      <c r="L370" s="11">
        <v>7089.0</v>
      </c>
      <c r="N370" s="8" t="s">
        <v>49</v>
      </c>
      <c r="O370" s="9" t="s">
        <v>11</v>
      </c>
      <c r="P370" s="10">
        <f t="shared" si="6"/>
        <v>3076</v>
      </c>
      <c r="Q370" s="11">
        <v>492.0</v>
      </c>
      <c r="R370" s="11">
        <v>2584.0</v>
      </c>
      <c r="T370" s="8" t="s">
        <v>49</v>
      </c>
      <c r="U370" s="8" t="s">
        <v>11</v>
      </c>
      <c r="V370" s="10">
        <f t="shared" si="7"/>
        <v>252</v>
      </c>
      <c r="W370" s="11">
        <v>50.0</v>
      </c>
      <c r="X370" s="11">
        <v>202.0</v>
      </c>
    </row>
    <row r="371">
      <c r="B371" s="6" t="str">
        <f t="shared" ref="B371:C371" si="740">H371</f>
        <v>Shwegyin</v>
      </c>
      <c r="C371" s="7" t="str">
        <f t="shared" si="740"/>
        <v>20-24</v>
      </c>
      <c r="D371" s="6">
        <f t="shared" ref="D371:F371" si="741">J371+P371+V371</f>
        <v>17660</v>
      </c>
      <c r="E371" s="6">
        <f t="shared" si="741"/>
        <v>8773</v>
      </c>
      <c r="F371" s="6">
        <f t="shared" si="741"/>
        <v>8887</v>
      </c>
      <c r="H371" s="8" t="s">
        <v>49</v>
      </c>
      <c r="I371" s="9" t="s">
        <v>12</v>
      </c>
      <c r="J371" s="10">
        <f t="shared" si="5"/>
        <v>6969</v>
      </c>
      <c r="K371" s="11">
        <v>4960.0</v>
      </c>
      <c r="L371" s="11">
        <v>2009.0</v>
      </c>
      <c r="N371" s="8" t="s">
        <v>49</v>
      </c>
      <c r="O371" s="9" t="s">
        <v>12</v>
      </c>
      <c r="P371" s="10">
        <f t="shared" si="6"/>
        <v>10051</v>
      </c>
      <c r="Q371" s="1">
        <v>3595.0</v>
      </c>
      <c r="R371" s="11">
        <v>6456.0</v>
      </c>
      <c r="T371" s="8" t="s">
        <v>49</v>
      </c>
      <c r="U371" s="8" t="s">
        <v>12</v>
      </c>
      <c r="V371" s="10">
        <f t="shared" si="7"/>
        <v>640</v>
      </c>
      <c r="W371" s="11">
        <v>218.0</v>
      </c>
      <c r="X371" s="11">
        <v>422.0</v>
      </c>
    </row>
    <row r="372">
      <c r="B372" s="6" t="str">
        <f t="shared" ref="B372:C372" si="742">H372</f>
        <v>Shwegyin</v>
      </c>
      <c r="C372" s="7" t="str">
        <f t="shared" si="742"/>
        <v>25-29</v>
      </c>
      <c r="D372" s="6">
        <f t="shared" ref="D372:F372" si="743">J372+P372+V372</f>
        <v>17501</v>
      </c>
      <c r="E372" s="6">
        <f t="shared" si="743"/>
        <v>9289</v>
      </c>
      <c r="F372" s="6">
        <f t="shared" si="743"/>
        <v>8212</v>
      </c>
      <c r="H372" s="8" t="s">
        <v>49</v>
      </c>
      <c r="I372" s="9" t="s">
        <v>13</v>
      </c>
      <c r="J372" s="10">
        <f t="shared" si="5"/>
        <v>3418</v>
      </c>
      <c r="K372" s="11">
        <v>2738.0</v>
      </c>
      <c r="L372" s="11">
        <v>680.0</v>
      </c>
      <c r="N372" s="8" t="s">
        <v>49</v>
      </c>
      <c r="O372" s="9" t="s">
        <v>13</v>
      </c>
      <c r="P372" s="10">
        <f t="shared" si="6"/>
        <v>13192</v>
      </c>
      <c r="Q372" s="11">
        <v>6143.0</v>
      </c>
      <c r="R372" s="11">
        <v>7049.0</v>
      </c>
      <c r="T372" s="8" t="s">
        <v>49</v>
      </c>
      <c r="U372" s="9" t="s">
        <v>13</v>
      </c>
      <c r="V372" s="10">
        <f t="shared" si="7"/>
        <v>891</v>
      </c>
      <c r="W372" s="1">
        <v>408.0</v>
      </c>
      <c r="X372" s="11">
        <v>483.0</v>
      </c>
    </row>
    <row r="373">
      <c r="B373" s="6" t="str">
        <f t="shared" ref="B373:C373" si="744">H373</f>
        <v>Shwegyin</v>
      </c>
      <c r="C373" s="7" t="str">
        <f t="shared" si="744"/>
        <v>30-34</v>
      </c>
      <c r="D373" s="6">
        <f t="shared" ref="D373:F373" si="745">J373+P373+V373</f>
        <v>15417</v>
      </c>
      <c r="E373" s="6">
        <f t="shared" si="745"/>
        <v>9046</v>
      </c>
      <c r="F373" s="6">
        <f t="shared" si="745"/>
        <v>6371</v>
      </c>
      <c r="H373" s="8" t="s">
        <v>49</v>
      </c>
      <c r="I373" s="8" t="s">
        <v>14</v>
      </c>
      <c r="J373" s="10">
        <f t="shared" si="5"/>
        <v>1414</v>
      </c>
      <c r="K373" s="11">
        <v>1161.0</v>
      </c>
      <c r="L373" s="11">
        <v>253.0</v>
      </c>
      <c r="N373" s="8" t="s">
        <v>49</v>
      </c>
      <c r="O373" s="8" t="s">
        <v>14</v>
      </c>
      <c r="P373" s="10">
        <f t="shared" si="6"/>
        <v>12871</v>
      </c>
      <c r="Q373" s="11">
        <v>7290.0</v>
      </c>
      <c r="R373" s="11">
        <v>5581.0</v>
      </c>
      <c r="T373" s="8" t="s">
        <v>49</v>
      </c>
      <c r="U373" s="9" t="s">
        <v>14</v>
      </c>
      <c r="V373" s="10">
        <f t="shared" si="7"/>
        <v>1132</v>
      </c>
      <c r="W373" s="1">
        <v>595.0</v>
      </c>
      <c r="X373" s="11">
        <v>537.0</v>
      </c>
    </row>
    <row r="374">
      <c r="B374" s="6" t="str">
        <f t="shared" ref="B374:C374" si="746">H374</f>
        <v>Shwegyin</v>
      </c>
      <c r="C374" s="7" t="str">
        <f t="shared" si="746"/>
        <v>35-39</v>
      </c>
      <c r="D374" s="6">
        <f t="shared" ref="D374:F374" si="747">J374+P374+V374</f>
        <v>10789</v>
      </c>
      <c r="E374" s="6">
        <f t="shared" si="747"/>
        <v>6472</v>
      </c>
      <c r="F374" s="6">
        <f t="shared" si="747"/>
        <v>4317</v>
      </c>
      <c r="H374" s="8" t="s">
        <v>49</v>
      </c>
      <c r="I374" s="8" t="s">
        <v>15</v>
      </c>
      <c r="J374" s="10">
        <f t="shared" si="5"/>
        <v>641</v>
      </c>
      <c r="K374" s="11">
        <v>517.0</v>
      </c>
      <c r="L374" s="11">
        <v>124.0</v>
      </c>
      <c r="N374" s="8" t="s">
        <v>49</v>
      </c>
      <c r="O374" s="8" t="s">
        <v>15</v>
      </c>
      <c r="P374" s="10">
        <f t="shared" si="6"/>
        <v>9096</v>
      </c>
      <c r="Q374" s="11">
        <v>5396.0</v>
      </c>
      <c r="R374" s="11">
        <v>3700.0</v>
      </c>
      <c r="T374" s="8" t="s">
        <v>49</v>
      </c>
      <c r="U374" s="9" t="s">
        <v>15</v>
      </c>
      <c r="V374" s="10">
        <f t="shared" si="7"/>
        <v>1052</v>
      </c>
      <c r="W374" s="1">
        <v>559.0</v>
      </c>
      <c r="X374" s="11">
        <v>493.0</v>
      </c>
    </row>
    <row r="375">
      <c r="B375" s="6" t="str">
        <f t="shared" ref="B375:C375" si="748">H375</f>
        <v>Shwegyin</v>
      </c>
      <c r="C375" s="7" t="str">
        <f t="shared" si="748"/>
        <v>40-44</v>
      </c>
      <c r="D375" s="6">
        <f t="shared" ref="D375:F375" si="749">J375+P375+V375</f>
        <v>10275</v>
      </c>
      <c r="E375" s="6">
        <f t="shared" si="749"/>
        <v>5876</v>
      </c>
      <c r="F375" s="6">
        <f t="shared" si="749"/>
        <v>4399</v>
      </c>
      <c r="H375" s="8" t="s">
        <v>49</v>
      </c>
      <c r="I375" s="8" t="s">
        <v>16</v>
      </c>
      <c r="J375" s="10">
        <f t="shared" si="5"/>
        <v>431</v>
      </c>
      <c r="K375" s="11">
        <v>347.0</v>
      </c>
      <c r="L375" s="11">
        <v>84.0</v>
      </c>
      <c r="N375" s="8" t="s">
        <v>49</v>
      </c>
      <c r="O375" s="8" t="s">
        <v>16</v>
      </c>
      <c r="P375" s="10">
        <f t="shared" si="6"/>
        <v>8380</v>
      </c>
      <c r="Q375" s="11">
        <v>4892.0</v>
      </c>
      <c r="R375" s="11">
        <v>3488.0</v>
      </c>
      <c r="T375" s="8" t="s">
        <v>49</v>
      </c>
      <c r="U375" s="9" t="s">
        <v>16</v>
      </c>
      <c r="V375" s="10">
        <f t="shared" si="7"/>
        <v>1464</v>
      </c>
      <c r="W375" s="1">
        <v>637.0</v>
      </c>
      <c r="X375" s="11">
        <v>827.0</v>
      </c>
    </row>
    <row r="376">
      <c r="B376" s="6" t="str">
        <f t="shared" ref="B376:C376" si="750">H376</f>
        <v>Shwegyin</v>
      </c>
      <c r="C376" s="7" t="str">
        <f t="shared" si="750"/>
        <v>45-49</v>
      </c>
      <c r="D376" s="6">
        <f t="shared" ref="D376:F376" si="751">J376+P376+V376</f>
        <v>6617</v>
      </c>
      <c r="E376" s="6">
        <f t="shared" si="751"/>
        <v>3741</v>
      </c>
      <c r="F376" s="6">
        <f t="shared" si="751"/>
        <v>2876</v>
      </c>
      <c r="H376" s="8" t="s">
        <v>49</v>
      </c>
      <c r="I376" s="8" t="s">
        <v>17</v>
      </c>
      <c r="J376" s="10">
        <f t="shared" si="5"/>
        <v>253</v>
      </c>
      <c r="K376" s="11">
        <v>183.0</v>
      </c>
      <c r="L376" s="11">
        <v>70.0</v>
      </c>
      <c r="N376" s="8" t="s">
        <v>49</v>
      </c>
      <c r="O376" s="8" t="s">
        <v>17</v>
      </c>
      <c r="P376" s="10">
        <f t="shared" si="6"/>
        <v>5201</v>
      </c>
      <c r="Q376" s="11">
        <v>3072.0</v>
      </c>
      <c r="R376" s="11">
        <v>2129.0</v>
      </c>
      <c r="T376" s="8" t="s">
        <v>49</v>
      </c>
      <c r="U376" s="9" t="s">
        <v>17</v>
      </c>
      <c r="V376" s="10">
        <f t="shared" si="7"/>
        <v>1163</v>
      </c>
      <c r="W376" s="1">
        <v>486.0</v>
      </c>
      <c r="X376" s="11">
        <v>677.0</v>
      </c>
    </row>
    <row r="377">
      <c r="B377" s="6" t="str">
        <f t="shared" ref="B377:C377" si="752">H377</f>
        <v>Shwegyin</v>
      </c>
      <c r="C377" s="7" t="str">
        <f t="shared" si="752"/>
        <v>50-54</v>
      </c>
      <c r="D377" s="6">
        <f t="shared" ref="D377:F377" si="753">J377+P377+V377</f>
        <v>6813</v>
      </c>
      <c r="E377" s="6">
        <f t="shared" si="753"/>
        <v>3562</v>
      </c>
      <c r="F377" s="6">
        <f t="shared" si="753"/>
        <v>3251</v>
      </c>
      <c r="H377" s="8" t="s">
        <v>49</v>
      </c>
      <c r="I377" s="8" t="s">
        <v>18</v>
      </c>
      <c r="J377" s="10">
        <f t="shared" si="5"/>
        <v>190</v>
      </c>
      <c r="K377" s="11">
        <v>137.0</v>
      </c>
      <c r="L377" s="11">
        <v>53.0</v>
      </c>
      <c r="N377" s="8" t="s">
        <v>49</v>
      </c>
      <c r="O377" s="8" t="s">
        <v>18</v>
      </c>
      <c r="P377" s="10">
        <f t="shared" si="6"/>
        <v>4840</v>
      </c>
      <c r="Q377" s="11">
        <v>2812.0</v>
      </c>
      <c r="R377" s="11">
        <v>2028.0</v>
      </c>
      <c r="T377" s="8" t="s">
        <v>49</v>
      </c>
      <c r="U377" s="9" t="s">
        <v>18</v>
      </c>
      <c r="V377" s="10">
        <f t="shared" si="7"/>
        <v>1783</v>
      </c>
      <c r="W377" s="1">
        <v>613.0</v>
      </c>
      <c r="X377" s="11">
        <v>1170.0</v>
      </c>
    </row>
    <row r="378">
      <c r="B378" s="6" t="str">
        <f t="shared" ref="B378:C378" si="754">H378</f>
        <v>Shwegyin</v>
      </c>
      <c r="C378" s="7" t="str">
        <f t="shared" si="754"/>
        <v>55-59</v>
      </c>
      <c r="D378" s="6">
        <f t="shared" ref="D378:F378" si="755">J378+P378+V378</f>
        <v>3446</v>
      </c>
      <c r="E378" s="6">
        <f t="shared" si="755"/>
        <v>1837</v>
      </c>
      <c r="F378" s="6">
        <f t="shared" si="755"/>
        <v>1609</v>
      </c>
      <c r="H378" s="8" t="s">
        <v>49</v>
      </c>
      <c r="I378" s="8" t="s">
        <v>19</v>
      </c>
      <c r="J378" s="10">
        <f t="shared" si="5"/>
        <v>113</v>
      </c>
      <c r="K378" s="11">
        <v>83.0</v>
      </c>
      <c r="L378" s="11">
        <v>30.0</v>
      </c>
      <c r="N378" s="8" t="s">
        <v>49</v>
      </c>
      <c r="O378" s="8" t="s">
        <v>19</v>
      </c>
      <c r="P378" s="10">
        <f t="shared" si="6"/>
        <v>2387</v>
      </c>
      <c r="Q378" s="11">
        <v>1417.0</v>
      </c>
      <c r="R378" s="11">
        <v>970.0</v>
      </c>
      <c r="T378" s="8" t="s">
        <v>49</v>
      </c>
      <c r="U378" s="9" t="s">
        <v>19</v>
      </c>
      <c r="V378" s="10">
        <f t="shared" si="7"/>
        <v>946</v>
      </c>
      <c r="W378" s="1">
        <v>337.0</v>
      </c>
      <c r="X378" s="11">
        <v>609.0</v>
      </c>
    </row>
    <row r="379">
      <c r="B379" s="6" t="str">
        <f t="shared" ref="B379:C379" si="756">H379</f>
        <v>Shwegyin</v>
      </c>
      <c r="C379" s="7" t="str">
        <f t="shared" si="756"/>
        <v>60+</v>
      </c>
      <c r="D379" s="6">
        <f t="shared" ref="D379:F379" si="757">J379+P379+V379</f>
        <v>8753</v>
      </c>
      <c r="E379" s="6">
        <f t="shared" si="757"/>
        <v>4849</v>
      </c>
      <c r="F379" s="6">
        <f t="shared" si="757"/>
        <v>3904</v>
      </c>
      <c r="H379" s="8" t="s">
        <v>49</v>
      </c>
      <c r="I379" s="8" t="s">
        <v>20</v>
      </c>
      <c r="J379" s="10">
        <f t="shared" si="5"/>
        <v>278</v>
      </c>
      <c r="K379" s="11">
        <v>163.0</v>
      </c>
      <c r="L379" s="11">
        <v>115.0</v>
      </c>
      <c r="N379" s="8" t="s">
        <v>49</v>
      </c>
      <c r="O379" s="8" t="s">
        <v>21</v>
      </c>
      <c r="P379" s="10">
        <f t="shared" si="6"/>
        <v>4599</v>
      </c>
      <c r="Q379" s="11">
        <v>3340.0</v>
      </c>
      <c r="R379" s="11">
        <v>1259.0</v>
      </c>
      <c r="T379" s="8" t="s">
        <v>49</v>
      </c>
      <c r="U379" s="8" t="s">
        <v>21</v>
      </c>
      <c r="V379" s="10">
        <f t="shared" si="7"/>
        <v>3876</v>
      </c>
      <c r="W379" s="1">
        <v>1346.0</v>
      </c>
      <c r="X379" s="11">
        <v>2530.0</v>
      </c>
    </row>
    <row r="380">
      <c r="B380" s="6" t="str">
        <f t="shared" ref="B380:C380" si="758">H380</f>
        <v>Tavoy</v>
      </c>
      <c r="C380" s="7" t="str">
        <f t="shared" si="758"/>
        <v>0-4</v>
      </c>
      <c r="D380" s="6">
        <f t="shared" ref="D380:F380" si="759">J380+P380+V380</f>
        <v>13433</v>
      </c>
      <c r="E380" s="6">
        <f t="shared" si="759"/>
        <v>6692</v>
      </c>
      <c r="F380" s="6">
        <f t="shared" si="759"/>
        <v>6741</v>
      </c>
      <c r="H380" s="8" t="s">
        <v>50</v>
      </c>
      <c r="I380" s="9" t="s">
        <v>10</v>
      </c>
      <c r="J380" s="10">
        <f t="shared" si="5"/>
        <v>13433</v>
      </c>
      <c r="K380" s="11">
        <v>6692.0</v>
      </c>
      <c r="L380" s="11">
        <v>6741.0</v>
      </c>
      <c r="N380" s="8" t="s">
        <v>50</v>
      </c>
      <c r="O380" s="9" t="s">
        <v>10</v>
      </c>
      <c r="P380" s="10">
        <f t="shared" si="6"/>
        <v>0</v>
      </c>
      <c r="Q380" s="11">
        <v>0.0</v>
      </c>
      <c r="R380" s="11">
        <v>0.0</v>
      </c>
      <c r="T380" s="8" t="s">
        <v>50</v>
      </c>
      <c r="U380" s="9" t="s">
        <v>10</v>
      </c>
      <c r="V380" s="10">
        <f t="shared" si="7"/>
        <v>0</v>
      </c>
      <c r="W380" s="11">
        <v>0.0</v>
      </c>
      <c r="X380" s="11">
        <v>0.0</v>
      </c>
    </row>
    <row r="381">
      <c r="B381" s="6" t="str">
        <f t="shared" ref="B381:C381" si="760">H381</f>
        <v>Tavoy</v>
      </c>
      <c r="C381" s="12">
        <f t="shared" si="760"/>
        <v>45786</v>
      </c>
      <c r="D381" s="6">
        <f t="shared" ref="D381:F381" si="761">J381+P381+V381</f>
        <v>12530</v>
      </c>
      <c r="E381" s="6">
        <f t="shared" si="761"/>
        <v>6060</v>
      </c>
      <c r="F381" s="6">
        <f t="shared" si="761"/>
        <v>6470</v>
      </c>
      <c r="H381" s="8" t="s">
        <v>50</v>
      </c>
      <c r="I381" s="13">
        <v>45786.0</v>
      </c>
      <c r="J381" s="10">
        <f t="shared" si="5"/>
        <v>12530</v>
      </c>
      <c r="K381" s="11">
        <v>6060.0</v>
      </c>
      <c r="L381" s="11">
        <v>6470.0</v>
      </c>
      <c r="N381" s="8" t="s">
        <v>50</v>
      </c>
      <c r="O381" s="13">
        <v>45786.0</v>
      </c>
      <c r="P381" s="10">
        <f t="shared" si="6"/>
        <v>0</v>
      </c>
      <c r="Q381" s="11">
        <v>0.0</v>
      </c>
      <c r="R381" s="11">
        <v>0.0</v>
      </c>
      <c r="T381" s="8" t="s">
        <v>50</v>
      </c>
      <c r="U381" s="13">
        <v>45786.0</v>
      </c>
      <c r="V381" s="10">
        <f t="shared" si="7"/>
        <v>0</v>
      </c>
      <c r="W381" s="11">
        <v>0.0</v>
      </c>
      <c r="X381" s="11">
        <v>0.0</v>
      </c>
    </row>
    <row r="382">
      <c r="B382" s="6" t="str">
        <f t="shared" ref="B382:C382" si="762">H382</f>
        <v>Tavoy</v>
      </c>
      <c r="C382" s="12">
        <f t="shared" si="762"/>
        <v>45944</v>
      </c>
      <c r="D382" s="6">
        <f t="shared" ref="D382:F382" si="763">J382+P382+V382</f>
        <v>11841</v>
      </c>
      <c r="E382" s="6">
        <f t="shared" si="763"/>
        <v>6204</v>
      </c>
      <c r="F382" s="6">
        <f t="shared" si="763"/>
        <v>5637</v>
      </c>
      <c r="H382" s="8" t="s">
        <v>50</v>
      </c>
      <c r="I382" s="13">
        <v>45944.0</v>
      </c>
      <c r="J382" s="10">
        <f t="shared" si="5"/>
        <v>11829</v>
      </c>
      <c r="K382" s="11">
        <v>6203.0</v>
      </c>
      <c r="L382" s="11">
        <v>5626.0</v>
      </c>
      <c r="N382" s="8" t="s">
        <v>50</v>
      </c>
      <c r="O382" s="13">
        <v>45944.0</v>
      </c>
      <c r="P382" s="10">
        <f t="shared" si="6"/>
        <v>11</v>
      </c>
      <c r="Q382" s="1">
        <v>0.0</v>
      </c>
      <c r="R382" s="11">
        <v>11.0</v>
      </c>
      <c r="T382" s="8" t="s">
        <v>50</v>
      </c>
      <c r="U382" s="13">
        <v>45944.0</v>
      </c>
      <c r="V382" s="10">
        <f t="shared" si="7"/>
        <v>1</v>
      </c>
      <c r="W382" s="11">
        <v>1.0</v>
      </c>
      <c r="X382" s="11">
        <v>0.0</v>
      </c>
    </row>
    <row r="383">
      <c r="B383" s="6" t="str">
        <f t="shared" ref="B383:C383" si="764">H383</f>
        <v>Tavoy</v>
      </c>
      <c r="C383" s="7" t="str">
        <f t="shared" si="764"/>
        <v>15-19</v>
      </c>
      <c r="D383" s="6">
        <f t="shared" ref="D383:F383" si="765">J383+P383+V383</f>
        <v>9526</v>
      </c>
      <c r="E383" s="6">
        <f t="shared" si="765"/>
        <v>4609</v>
      </c>
      <c r="F383" s="6">
        <f t="shared" si="765"/>
        <v>4917</v>
      </c>
      <c r="H383" s="8" t="s">
        <v>50</v>
      </c>
      <c r="I383" s="9" t="s">
        <v>11</v>
      </c>
      <c r="J383" s="10">
        <f t="shared" si="5"/>
        <v>8759</v>
      </c>
      <c r="K383" s="11">
        <v>4471.0</v>
      </c>
      <c r="L383" s="11">
        <v>4288.0</v>
      </c>
      <c r="N383" s="8" t="s">
        <v>50</v>
      </c>
      <c r="O383" s="9" t="s">
        <v>11</v>
      </c>
      <c r="P383" s="10">
        <f t="shared" si="6"/>
        <v>698</v>
      </c>
      <c r="Q383" s="11">
        <v>130.0</v>
      </c>
      <c r="R383" s="11">
        <v>568.0</v>
      </c>
      <c r="T383" s="8" t="s">
        <v>50</v>
      </c>
      <c r="U383" s="8" t="s">
        <v>11</v>
      </c>
      <c r="V383" s="10">
        <f t="shared" si="7"/>
        <v>69</v>
      </c>
      <c r="W383" s="11">
        <v>8.0</v>
      </c>
      <c r="X383" s="11">
        <v>61.0</v>
      </c>
    </row>
    <row r="384">
      <c r="B384" s="6" t="str">
        <f t="shared" ref="B384:C384" si="766">H384</f>
        <v>Tavoy</v>
      </c>
      <c r="C384" s="7" t="str">
        <f t="shared" si="766"/>
        <v>20-24</v>
      </c>
      <c r="D384" s="6">
        <f t="shared" ref="D384:F384" si="767">J384+P384+V384</f>
        <v>7907</v>
      </c>
      <c r="E384" s="6">
        <f t="shared" si="767"/>
        <v>3521</v>
      </c>
      <c r="F384" s="6">
        <f t="shared" si="767"/>
        <v>4386</v>
      </c>
      <c r="H384" s="8" t="s">
        <v>50</v>
      </c>
      <c r="I384" s="9" t="s">
        <v>12</v>
      </c>
      <c r="J384" s="10">
        <f t="shared" si="5"/>
        <v>4190</v>
      </c>
      <c r="K384" s="11">
        <v>2350.0</v>
      </c>
      <c r="L384" s="11">
        <v>1840.0</v>
      </c>
      <c r="N384" s="8" t="s">
        <v>50</v>
      </c>
      <c r="O384" s="9" t="s">
        <v>12</v>
      </c>
      <c r="P384" s="10">
        <f t="shared" si="6"/>
        <v>3433</v>
      </c>
      <c r="Q384" s="11">
        <v>1104.0</v>
      </c>
      <c r="R384" s="11">
        <v>2329.0</v>
      </c>
      <c r="T384" s="8" t="s">
        <v>50</v>
      </c>
      <c r="U384" s="8" t="s">
        <v>12</v>
      </c>
      <c r="V384" s="10">
        <f t="shared" si="7"/>
        <v>284</v>
      </c>
      <c r="W384" s="11">
        <v>67.0</v>
      </c>
      <c r="X384" s="11">
        <v>217.0</v>
      </c>
    </row>
    <row r="385">
      <c r="B385" s="6" t="str">
        <f t="shared" ref="B385:C385" si="768">H385</f>
        <v>Tavoy</v>
      </c>
      <c r="C385" s="7" t="str">
        <f t="shared" si="768"/>
        <v>25-29</v>
      </c>
      <c r="D385" s="6">
        <f t="shared" ref="D385:F385" si="769">J385+P385+V385</f>
        <v>7593</v>
      </c>
      <c r="E385" s="6">
        <f t="shared" si="769"/>
        <v>3542</v>
      </c>
      <c r="F385" s="6">
        <f t="shared" si="769"/>
        <v>4051</v>
      </c>
      <c r="H385" s="8" t="s">
        <v>50</v>
      </c>
      <c r="I385" s="9" t="s">
        <v>13</v>
      </c>
      <c r="J385" s="10">
        <f t="shared" si="5"/>
        <v>1631</v>
      </c>
      <c r="K385" s="11">
        <v>994.0</v>
      </c>
      <c r="L385" s="11">
        <v>637.0</v>
      </c>
      <c r="N385" s="8" t="s">
        <v>50</v>
      </c>
      <c r="O385" s="9" t="s">
        <v>13</v>
      </c>
      <c r="P385" s="10">
        <f t="shared" si="6"/>
        <v>5517</v>
      </c>
      <c r="Q385" s="11">
        <v>2420.0</v>
      </c>
      <c r="R385" s="11">
        <v>3097.0</v>
      </c>
      <c r="T385" s="8" t="s">
        <v>50</v>
      </c>
      <c r="U385" s="9" t="s">
        <v>13</v>
      </c>
      <c r="V385" s="10">
        <f t="shared" si="7"/>
        <v>445</v>
      </c>
      <c r="W385" s="1">
        <v>128.0</v>
      </c>
      <c r="X385" s="11">
        <v>317.0</v>
      </c>
    </row>
    <row r="386">
      <c r="B386" s="6" t="str">
        <f t="shared" ref="B386:C386" si="770">H386</f>
        <v>Tavoy</v>
      </c>
      <c r="C386" s="7" t="str">
        <f t="shared" si="770"/>
        <v>30-34</v>
      </c>
      <c r="D386" s="6">
        <f t="shared" ref="D386:F386" si="771">J386+P386+V386</f>
        <v>6453</v>
      </c>
      <c r="E386" s="6">
        <f t="shared" si="771"/>
        <v>3115</v>
      </c>
      <c r="F386" s="6">
        <f t="shared" si="771"/>
        <v>3338</v>
      </c>
      <c r="H386" s="8" t="s">
        <v>50</v>
      </c>
      <c r="I386" s="8" t="s">
        <v>14</v>
      </c>
      <c r="J386" s="10">
        <f t="shared" si="5"/>
        <v>597</v>
      </c>
      <c r="K386" s="11">
        <v>338.0</v>
      </c>
      <c r="L386" s="11">
        <v>259.0</v>
      </c>
      <c r="N386" s="8" t="s">
        <v>50</v>
      </c>
      <c r="O386" s="8" t="s">
        <v>14</v>
      </c>
      <c r="P386" s="10">
        <f t="shared" si="6"/>
        <v>5402</v>
      </c>
      <c r="Q386" s="11">
        <v>2634.0</v>
      </c>
      <c r="R386" s="11">
        <v>2768.0</v>
      </c>
      <c r="T386" s="8" t="s">
        <v>50</v>
      </c>
      <c r="U386" s="9" t="s">
        <v>14</v>
      </c>
      <c r="V386" s="10">
        <f t="shared" si="7"/>
        <v>454</v>
      </c>
      <c r="W386" s="1">
        <v>143.0</v>
      </c>
      <c r="X386" s="11">
        <v>311.0</v>
      </c>
    </row>
    <row r="387">
      <c r="B387" s="6" t="str">
        <f t="shared" ref="B387:C387" si="772">H387</f>
        <v>Tavoy</v>
      </c>
      <c r="C387" s="7" t="str">
        <f t="shared" si="772"/>
        <v>35-39</v>
      </c>
      <c r="D387" s="6">
        <f t="shared" ref="D387:F387" si="773">J387+P387+V387</f>
        <v>5904</v>
      </c>
      <c r="E387" s="6">
        <f t="shared" si="773"/>
        <v>2993</v>
      </c>
      <c r="F387" s="6">
        <f t="shared" si="773"/>
        <v>2911</v>
      </c>
      <c r="H387" s="8" t="s">
        <v>50</v>
      </c>
      <c r="I387" s="8" t="s">
        <v>15</v>
      </c>
      <c r="J387" s="10">
        <f t="shared" si="5"/>
        <v>293</v>
      </c>
      <c r="K387" s="11">
        <v>164.0</v>
      </c>
      <c r="L387" s="11">
        <v>129.0</v>
      </c>
      <c r="N387" s="8" t="s">
        <v>50</v>
      </c>
      <c r="O387" s="8" t="s">
        <v>15</v>
      </c>
      <c r="P387" s="10">
        <f t="shared" si="6"/>
        <v>5153</v>
      </c>
      <c r="Q387" s="11">
        <v>2682.0</v>
      </c>
      <c r="R387" s="11">
        <v>2471.0</v>
      </c>
      <c r="T387" s="8" t="s">
        <v>50</v>
      </c>
      <c r="U387" s="9" t="s">
        <v>15</v>
      </c>
      <c r="V387" s="10">
        <f t="shared" si="7"/>
        <v>458</v>
      </c>
      <c r="W387" s="1">
        <v>147.0</v>
      </c>
      <c r="X387" s="11">
        <v>311.0</v>
      </c>
    </row>
    <row r="388">
      <c r="B388" s="6" t="str">
        <f t="shared" ref="B388:C388" si="774">H388</f>
        <v>Tavoy</v>
      </c>
      <c r="C388" s="7" t="str">
        <f t="shared" si="774"/>
        <v>40-44</v>
      </c>
      <c r="D388" s="6">
        <f t="shared" ref="D388:F388" si="775">J388+P388+V388</f>
        <v>4519</v>
      </c>
      <c r="E388" s="6">
        <f t="shared" si="775"/>
        <v>2222</v>
      </c>
      <c r="F388" s="6">
        <f t="shared" si="775"/>
        <v>2297</v>
      </c>
      <c r="H388" s="8" t="s">
        <v>50</v>
      </c>
      <c r="I388" s="8" t="s">
        <v>16</v>
      </c>
      <c r="J388" s="10">
        <f t="shared" si="5"/>
        <v>252</v>
      </c>
      <c r="K388" s="11">
        <v>169.0</v>
      </c>
      <c r="L388" s="11">
        <v>83.0</v>
      </c>
      <c r="N388" s="8" t="s">
        <v>50</v>
      </c>
      <c r="O388" s="8" t="s">
        <v>16</v>
      </c>
      <c r="P388" s="10">
        <f t="shared" si="6"/>
        <v>3728</v>
      </c>
      <c r="Q388" s="11">
        <v>1912.0</v>
      </c>
      <c r="R388" s="11">
        <v>1816.0</v>
      </c>
      <c r="T388" s="8" t="s">
        <v>50</v>
      </c>
      <c r="U388" s="9" t="s">
        <v>16</v>
      </c>
      <c r="V388" s="10">
        <f t="shared" si="7"/>
        <v>539</v>
      </c>
      <c r="W388" s="1">
        <v>141.0</v>
      </c>
      <c r="X388" s="11">
        <v>398.0</v>
      </c>
    </row>
    <row r="389">
      <c r="B389" s="6" t="str">
        <f t="shared" ref="B389:C389" si="776">H389</f>
        <v>Tavoy</v>
      </c>
      <c r="C389" s="7" t="str">
        <f t="shared" si="776"/>
        <v>45-49</v>
      </c>
      <c r="D389" s="6">
        <f t="shared" ref="D389:F389" si="777">J389+P389+V389</f>
        <v>3497</v>
      </c>
      <c r="E389" s="6">
        <f t="shared" si="777"/>
        <v>1759</v>
      </c>
      <c r="F389" s="6">
        <f t="shared" si="777"/>
        <v>1738</v>
      </c>
      <c r="H389" s="8" t="s">
        <v>50</v>
      </c>
      <c r="I389" s="8" t="s">
        <v>17</v>
      </c>
      <c r="J389" s="10">
        <f t="shared" si="5"/>
        <v>100</v>
      </c>
      <c r="K389" s="11">
        <v>66.0</v>
      </c>
      <c r="L389" s="11">
        <v>34.0</v>
      </c>
      <c r="N389" s="8" t="s">
        <v>50</v>
      </c>
      <c r="O389" s="8" t="s">
        <v>17</v>
      </c>
      <c r="P389" s="10">
        <f t="shared" si="6"/>
        <v>2854</v>
      </c>
      <c r="Q389" s="11">
        <v>1548.0</v>
      </c>
      <c r="R389" s="11">
        <v>1306.0</v>
      </c>
      <c r="T389" s="8" t="s">
        <v>50</v>
      </c>
      <c r="U389" s="9" t="s">
        <v>17</v>
      </c>
      <c r="V389" s="10">
        <f t="shared" si="7"/>
        <v>543</v>
      </c>
      <c r="W389" s="1">
        <v>145.0</v>
      </c>
      <c r="X389" s="11">
        <v>398.0</v>
      </c>
    </row>
    <row r="390">
      <c r="B390" s="6" t="str">
        <f t="shared" ref="B390:C390" si="778">H390</f>
        <v>Tavoy</v>
      </c>
      <c r="C390" s="7" t="str">
        <f t="shared" si="778"/>
        <v>50-54</v>
      </c>
      <c r="D390" s="6">
        <f t="shared" ref="D390:F390" si="779">J390+P390+V390</f>
        <v>2880</v>
      </c>
      <c r="E390" s="6">
        <f t="shared" si="779"/>
        <v>1266</v>
      </c>
      <c r="F390" s="6">
        <f t="shared" si="779"/>
        <v>1614</v>
      </c>
      <c r="H390" s="8" t="s">
        <v>50</v>
      </c>
      <c r="I390" s="8" t="s">
        <v>18</v>
      </c>
      <c r="J390" s="10">
        <f t="shared" si="5"/>
        <v>84</v>
      </c>
      <c r="K390" s="11">
        <v>49.0</v>
      </c>
      <c r="L390" s="11">
        <v>35.0</v>
      </c>
      <c r="N390" s="8" t="s">
        <v>50</v>
      </c>
      <c r="O390" s="8" t="s">
        <v>18</v>
      </c>
      <c r="P390" s="10">
        <f t="shared" si="6"/>
        <v>2148</v>
      </c>
      <c r="Q390" s="11">
        <v>1083.0</v>
      </c>
      <c r="R390" s="11">
        <v>1065.0</v>
      </c>
      <c r="T390" s="8" t="s">
        <v>50</v>
      </c>
      <c r="U390" s="9" t="s">
        <v>18</v>
      </c>
      <c r="V390" s="10">
        <f t="shared" si="7"/>
        <v>648</v>
      </c>
      <c r="W390" s="1">
        <v>134.0</v>
      </c>
      <c r="X390" s="11">
        <v>514.0</v>
      </c>
    </row>
    <row r="391">
      <c r="B391" s="6" t="str">
        <f t="shared" ref="B391:C391" si="780">H391</f>
        <v>Tavoy</v>
      </c>
      <c r="C391" s="7" t="str">
        <f t="shared" si="780"/>
        <v>55-59</v>
      </c>
      <c r="D391" s="6">
        <f t="shared" ref="D391:F391" si="781">J391+P391+V391</f>
        <v>2630</v>
      </c>
      <c r="E391" s="6">
        <f t="shared" si="781"/>
        <v>1216</v>
      </c>
      <c r="F391" s="6">
        <f t="shared" si="781"/>
        <v>1414</v>
      </c>
      <c r="H391" s="8" t="s">
        <v>50</v>
      </c>
      <c r="I391" s="8" t="s">
        <v>19</v>
      </c>
      <c r="J391" s="10">
        <f t="shared" si="5"/>
        <v>55</v>
      </c>
      <c r="K391" s="11">
        <v>30.0</v>
      </c>
      <c r="L391" s="11">
        <v>25.0</v>
      </c>
      <c r="N391" s="8" t="s">
        <v>50</v>
      </c>
      <c r="O391" s="8" t="s">
        <v>19</v>
      </c>
      <c r="P391" s="10">
        <f t="shared" si="6"/>
        <v>1870</v>
      </c>
      <c r="Q391" s="11">
        <v>1004.0</v>
      </c>
      <c r="R391" s="11">
        <v>866.0</v>
      </c>
      <c r="T391" s="8" t="s">
        <v>50</v>
      </c>
      <c r="U391" s="9" t="s">
        <v>19</v>
      </c>
      <c r="V391" s="10">
        <f t="shared" si="7"/>
        <v>705</v>
      </c>
      <c r="W391" s="1">
        <v>182.0</v>
      </c>
      <c r="X391" s="11">
        <v>523.0</v>
      </c>
    </row>
    <row r="392">
      <c r="B392" s="6" t="str">
        <f t="shared" ref="B392:C392" si="782">H392</f>
        <v>Tavoy</v>
      </c>
      <c r="C392" s="7" t="str">
        <f t="shared" si="782"/>
        <v>60+</v>
      </c>
      <c r="D392" s="6">
        <f t="shared" ref="D392:F392" si="783">J392+P392+V392</f>
        <v>5646</v>
      </c>
      <c r="E392" s="6">
        <f t="shared" si="783"/>
        <v>2801</v>
      </c>
      <c r="F392" s="6">
        <f t="shared" si="783"/>
        <v>2845</v>
      </c>
      <c r="H392" s="8" t="s">
        <v>50</v>
      </c>
      <c r="I392" s="8" t="s">
        <v>20</v>
      </c>
      <c r="J392" s="10">
        <f t="shared" si="5"/>
        <v>93</v>
      </c>
      <c r="K392" s="11">
        <v>60.0</v>
      </c>
      <c r="L392" s="11">
        <v>33.0</v>
      </c>
      <c r="N392" s="8" t="s">
        <v>50</v>
      </c>
      <c r="O392" s="8" t="s">
        <v>21</v>
      </c>
      <c r="P392" s="10">
        <f t="shared" si="6"/>
        <v>3070</v>
      </c>
      <c r="Q392" s="11">
        <v>2027.0</v>
      </c>
      <c r="R392" s="11">
        <v>1043.0</v>
      </c>
      <c r="T392" s="8" t="s">
        <v>50</v>
      </c>
      <c r="U392" s="1" t="s">
        <v>21</v>
      </c>
      <c r="V392" s="10">
        <f t="shared" si="7"/>
        <v>2483</v>
      </c>
      <c r="W392" s="1">
        <v>714.0</v>
      </c>
      <c r="X392" s="11">
        <v>1769.0</v>
      </c>
    </row>
    <row r="393">
      <c r="B393" s="6" t="str">
        <f t="shared" ref="B393:C393" si="784">H393</f>
        <v>Tharrawaddy</v>
      </c>
      <c r="C393" s="7" t="str">
        <f t="shared" si="784"/>
        <v>0-4</v>
      </c>
      <c r="D393" s="6">
        <f t="shared" ref="D393:F393" si="785">J393+P393+V393</f>
        <v>52039</v>
      </c>
      <c r="E393" s="6">
        <f t="shared" si="785"/>
        <v>25646</v>
      </c>
      <c r="F393" s="6">
        <f t="shared" si="785"/>
        <v>26393</v>
      </c>
      <c r="H393" s="8" t="s">
        <v>51</v>
      </c>
      <c r="I393" s="9" t="s">
        <v>10</v>
      </c>
      <c r="J393" s="10">
        <f t="shared" si="5"/>
        <v>52039</v>
      </c>
      <c r="K393" s="11">
        <v>25646.0</v>
      </c>
      <c r="L393" s="11">
        <v>26393.0</v>
      </c>
      <c r="N393" s="8" t="s">
        <v>51</v>
      </c>
      <c r="O393" s="9" t="s">
        <v>10</v>
      </c>
      <c r="P393" s="10">
        <f t="shared" si="6"/>
        <v>0</v>
      </c>
      <c r="Q393" s="11">
        <v>0.0</v>
      </c>
      <c r="R393" s="11">
        <v>0.0</v>
      </c>
      <c r="T393" s="8" t="s">
        <v>51</v>
      </c>
      <c r="U393" s="9" t="s">
        <v>10</v>
      </c>
      <c r="V393" s="10">
        <f t="shared" si="7"/>
        <v>0</v>
      </c>
      <c r="W393" s="11">
        <v>0.0</v>
      </c>
      <c r="X393" s="11">
        <v>0.0</v>
      </c>
    </row>
    <row r="394">
      <c r="B394" s="6" t="str">
        <f t="shared" ref="B394:C394" si="786">H394</f>
        <v>Tharrawaddy</v>
      </c>
      <c r="C394" s="12">
        <f t="shared" si="786"/>
        <v>45786</v>
      </c>
      <c r="D394" s="6">
        <f t="shared" ref="D394:F394" si="787">J394+P394+V394</f>
        <v>48655</v>
      </c>
      <c r="E394" s="6">
        <f t="shared" si="787"/>
        <v>24756</v>
      </c>
      <c r="F394" s="6">
        <f t="shared" si="787"/>
        <v>23899</v>
      </c>
      <c r="H394" s="8" t="s">
        <v>51</v>
      </c>
      <c r="I394" s="13">
        <v>45786.0</v>
      </c>
      <c r="J394" s="10">
        <f t="shared" si="5"/>
        <v>48655</v>
      </c>
      <c r="K394" s="11">
        <v>24756.0</v>
      </c>
      <c r="L394" s="11">
        <v>23899.0</v>
      </c>
      <c r="N394" s="8" t="s">
        <v>51</v>
      </c>
      <c r="O394" s="13">
        <v>45786.0</v>
      </c>
      <c r="P394" s="10">
        <f t="shared" si="6"/>
        <v>0</v>
      </c>
      <c r="Q394" s="11">
        <v>0.0</v>
      </c>
      <c r="R394" s="11">
        <v>0.0</v>
      </c>
      <c r="T394" s="8" t="s">
        <v>51</v>
      </c>
      <c r="U394" s="13">
        <v>45786.0</v>
      </c>
      <c r="V394" s="10">
        <f t="shared" si="7"/>
        <v>0</v>
      </c>
      <c r="W394" s="11">
        <v>0.0</v>
      </c>
      <c r="X394" s="11">
        <v>0.0</v>
      </c>
    </row>
    <row r="395">
      <c r="B395" s="6" t="str">
        <f t="shared" ref="B395:C395" si="788">H395</f>
        <v>Tharrawaddy</v>
      </c>
      <c r="C395" s="12">
        <f t="shared" si="788"/>
        <v>45944</v>
      </c>
      <c r="D395" s="6">
        <f t="shared" ref="D395:F395" si="789">J395+P395+V395</f>
        <v>44273</v>
      </c>
      <c r="E395" s="6">
        <f t="shared" si="789"/>
        <v>23410</v>
      </c>
      <c r="F395" s="6">
        <f t="shared" si="789"/>
        <v>20863</v>
      </c>
      <c r="H395" s="8" t="s">
        <v>51</v>
      </c>
      <c r="I395" s="13">
        <v>45944.0</v>
      </c>
      <c r="J395" s="10">
        <f t="shared" si="5"/>
        <v>44180</v>
      </c>
      <c r="K395" s="11">
        <v>23387.0</v>
      </c>
      <c r="L395" s="11">
        <v>20793.0</v>
      </c>
      <c r="N395" s="8" t="s">
        <v>51</v>
      </c>
      <c r="O395" s="13">
        <v>45944.0</v>
      </c>
      <c r="P395" s="10">
        <f t="shared" si="6"/>
        <v>91</v>
      </c>
      <c r="Q395" s="11">
        <v>22.0</v>
      </c>
      <c r="R395" s="11">
        <v>69.0</v>
      </c>
      <c r="T395" s="8" t="s">
        <v>51</v>
      </c>
      <c r="U395" s="13">
        <v>45944.0</v>
      </c>
      <c r="V395" s="10">
        <f t="shared" si="7"/>
        <v>2</v>
      </c>
      <c r="W395" s="11">
        <v>1.0</v>
      </c>
      <c r="X395" s="11">
        <v>1.0</v>
      </c>
    </row>
    <row r="396">
      <c r="B396" s="6" t="str">
        <f t="shared" ref="B396:C396" si="790">H396</f>
        <v>Tharrawaddy</v>
      </c>
      <c r="C396" s="7" t="str">
        <f t="shared" si="790"/>
        <v>15-19</v>
      </c>
      <c r="D396" s="6">
        <f t="shared" ref="D396:F396" si="791">J396+P396+V396</f>
        <v>36462</v>
      </c>
      <c r="E396" s="6">
        <f t="shared" si="791"/>
        <v>16971</v>
      </c>
      <c r="F396" s="6">
        <f t="shared" si="791"/>
        <v>19491</v>
      </c>
      <c r="H396" s="8" t="s">
        <v>51</v>
      </c>
      <c r="I396" s="9" t="s">
        <v>11</v>
      </c>
      <c r="J396" s="10">
        <f t="shared" si="5"/>
        <v>28352</v>
      </c>
      <c r="K396" s="11">
        <v>15388.0</v>
      </c>
      <c r="L396" s="11">
        <v>12964.0</v>
      </c>
      <c r="N396" s="8" t="s">
        <v>51</v>
      </c>
      <c r="O396" s="9" t="s">
        <v>11</v>
      </c>
      <c r="P396" s="10">
        <f t="shared" si="6"/>
        <v>7510</v>
      </c>
      <c r="Q396" s="11">
        <v>1457.0</v>
      </c>
      <c r="R396" s="11">
        <v>6053.0</v>
      </c>
      <c r="T396" s="8" t="s">
        <v>51</v>
      </c>
      <c r="U396" s="8" t="s">
        <v>11</v>
      </c>
      <c r="V396" s="10">
        <f t="shared" si="7"/>
        <v>600</v>
      </c>
      <c r="W396" s="11">
        <v>126.0</v>
      </c>
      <c r="X396" s="11">
        <v>474.0</v>
      </c>
    </row>
    <row r="397">
      <c r="B397" s="6" t="str">
        <f t="shared" ref="B397:C397" si="792">H397</f>
        <v>Tharrawaddy</v>
      </c>
      <c r="C397" s="7" t="str">
        <f t="shared" si="792"/>
        <v>20-24</v>
      </c>
      <c r="D397" s="6">
        <f t="shared" ref="D397:F397" si="793">J397+P397+V397</f>
        <v>32329</v>
      </c>
      <c r="E397" s="6">
        <f t="shared" si="793"/>
        <v>15648</v>
      </c>
      <c r="F397" s="6">
        <f t="shared" si="793"/>
        <v>16681</v>
      </c>
      <c r="H397" s="8" t="s">
        <v>51</v>
      </c>
      <c r="I397" s="9" t="s">
        <v>12</v>
      </c>
      <c r="J397" s="10">
        <f t="shared" si="5"/>
        <v>8433</v>
      </c>
      <c r="K397" s="11">
        <v>5815.0</v>
      </c>
      <c r="L397" s="11">
        <v>2618.0</v>
      </c>
      <c r="N397" s="8" t="s">
        <v>51</v>
      </c>
      <c r="O397" s="9" t="s">
        <v>12</v>
      </c>
      <c r="P397" s="10">
        <f t="shared" si="6"/>
        <v>22261</v>
      </c>
      <c r="Q397" s="11">
        <v>9248.0</v>
      </c>
      <c r="R397" s="11">
        <v>13013.0</v>
      </c>
      <c r="T397" s="8" t="s">
        <v>51</v>
      </c>
      <c r="U397" s="8" t="s">
        <v>12</v>
      </c>
      <c r="V397" s="10">
        <f t="shared" si="7"/>
        <v>1635</v>
      </c>
      <c r="W397" s="11">
        <v>585.0</v>
      </c>
      <c r="X397" s="11">
        <v>1050.0</v>
      </c>
    </row>
    <row r="398">
      <c r="B398" s="6" t="str">
        <f t="shared" ref="B398:C398" si="794">H398</f>
        <v>Tharrawaddy</v>
      </c>
      <c r="C398" s="7" t="str">
        <f t="shared" si="794"/>
        <v>25-29</v>
      </c>
      <c r="D398" s="6">
        <f t="shared" ref="D398:F398" si="795">J398+P398+V398</f>
        <v>28806</v>
      </c>
      <c r="E398" s="6">
        <f t="shared" si="795"/>
        <v>14676</v>
      </c>
      <c r="F398" s="6">
        <f t="shared" si="795"/>
        <v>14130</v>
      </c>
      <c r="H398" s="8" t="s">
        <v>51</v>
      </c>
      <c r="I398" s="9" t="s">
        <v>13</v>
      </c>
      <c r="J398" s="10">
        <f t="shared" si="5"/>
        <v>2779</v>
      </c>
      <c r="K398" s="11">
        <v>2013.0</v>
      </c>
      <c r="L398" s="11">
        <v>766.0</v>
      </c>
      <c r="N398" s="8" t="s">
        <v>51</v>
      </c>
      <c r="O398" s="9" t="s">
        <v>13</v>
      </c>
      <c r="P398" s="10">
        <f t="shared" si="6"/>
        <v>24239</v>
      </c>
      <c r="Q398" s="11">
        <v>11941.0</v>
      </c>
      <c r="R398" s="11">
        <v>12298.0</v>
      </c>
      <c r="T398" s="8" t="s">
        <v>51</v>
      </c>
      <c r="U398" s="9" t="s">
        <v>13</v>
      </c>
      <c r="V398" s="10">
        <f t="shared" si="7"/>
        <v>1788</v>
      </c>
      <c r="W398" s="1">
        <v>722.0</v>
      </c>
      <c r="X398" s="11">
        <v>1066.0</v>
      </c>
    </row>
    <row r="399">
      <c r="B399" s="6" t="str">
        <f t="shared" ref="B399:C399" si="796">H399</f>
        <v>Tharrawaddy</v>
      </c>
      <c r="C399" s="7" t="str">
        <f t="shared" si="796"/>
        <v>30-34</v>
      </c>
      <c r="D399" s="6">
        <f t="shared" ref="D399:F399" si="797">J399+P399+V399</f>
        <v>21402</v>
      </c>
      <c r="E399" s="6">
        <f t="shared" si="797"/>
        <v>12046</v>
      </c>
      <c r="F399" s="6">
        <f t="shared" si="797"/>
        <v>9356</v>
      </c>
      <c r="H399" s="8" t="s">
        <v>51</v>
      </c>
      <c r="I399" s="8" t="s">
        <v>14</v>
      </c>
      <c r="J399" s="10">
        <f t="shared" si="5"/>
        <v>1199</v>
      </c>
      <c r="K399" s="11">
        <v>864.0</v>
      </c>
      <c r="L399" s="11">
        <v>335.0</v>
      </c>
      <c r="N399" s="8" t="s">
        <v>51</v>
      </c>
      <c r="O399" s="8" t="s">
        <v>14</v>
      </c>
      <c r="P399" s="10">
        <f t="shared" si="6"/>
        <v>18547</v>
      </c>
      <c r="Q399" s="11">
        <v>10511.0</v>
      </c>
      <c r="R399" s="11">
        <v>8036.0</v>
      </c>
      <c r="T399" s="8" t="s">
        <v>51</v>
      </c>
      <c r="U399" s="9" t="s">
        <v>14</v>
      </c>
      <c r="V399" s="10">
        <f t="shared" si="7"/>
        <v>1656</v>
      </c>
      <c r="W399" s="1">
        <v>671.0</v>
      </c>
      <c r="X399" s="11">
        <v>985.0</v>
      </c>
    </row>
    <row r="400">
      <c r="B400" s="6" t="str">
        <f t="shared" ref="B400:C400" si="798">H400</f>
        <v>Tharrawaddy</v>
      </c>
      <c r="C400" s="7" t="str">
        <f t="shared" si="798"/>
        <v>35-39</v>
      </c>
      <c r="D400" s="6">
        <f t="shared" ref="D400:F400" si="799">J400+P400+V400</f>
        <v>15046</v>
      </c>
      <c r="E400" s="6">
        <f t="shared" si="799"/>
        <v>8051</v>
      </c>
      <c r="F400" s="6">
        <f t="shared" si="799"/>
        <v>6995</v>
      </c>
      <c r="H400" s="8" t="s">
        <v>51</v>
      </c>
      <c r="I400" s="8" t="s">
        <v>15</v>
      </c>
      <c r="J400" s="10">
        <f t="shared" si="5"/>
        <v>561</v>
      </c>
      <c r="K400" s="11">
        <v>423.0</v>
      </c>
      <c r="L400" s="11">
        <v>138.0</v>
      </c>
      <c r="N400" s="8" t="s">
        <v>51</v>
      </c>
      <c r="O400" s="8" t="s">
        <v>15</v>
      </c>
      <c r="P400" s="10">
        <f t="shared" si="6"/>
        <v>13204</v>
      </c>
      <c r="Q400" s="11">
        <v>7103.0</v>
      </c>
      <c r="R400" s="11">
        <v>6101.0</v>
      </c>
      <c r="T400" s="8" t="s">
        <v>51</v>
      </c>
      <c r="U400" s="9" t="s">
        <v>15</v>
      </c>
      <c r="V400" s="10">
        <f t="shared" si="7"/>
        <v>1281</v>
      </c>
      <c r="W400" s="1">
        <v>525.0</v>
      </c>
      <c r="X400" s="11">
        <v>756.0</v>
      </c>
    </row>
    <row r="401">
      <c r="B401" s="6" t="str">
        <f t="shared" ref="B401:C401" si="800">H401</f>
        <v>Tharrawaddy</v>
      </c>
      <c r="C401" s="7" t="str">
        <f t="shared" si="800"/>
        <v>40-44</v>
      </c>
      <c r="D401" s="6">
        <f t="shared" ref="D401:F401" si="801">J401+P401+V401</f>
        <v>16430</v>
      </c>
      <c r="E401" s="6">
        <f t="shared" si="801"/>
        <v>8540</v>
      </c>
      <c r="F401" s="6">
        <f t="shared" si="801"/>
        <v>7890</v>
      </c>
      <c r="H401" s="8" t="s">
        <v>51</v>
      </c>
      <c r="I401" s="8" t="s">
        <v>16</v>
      </c>
      <c r="J401" s="10">
        <f t="shared" si="5"/>
        <v>588</v>
      </c>
      <c r="K401" s="11">
        <v>410.0</v>
      </c>
      <c r="L401" s="11">
        <v>178.0</v>
      </c>
      <c r="N401" s="8" t="s">
        <v>51</v>
      </c>
      <c r="O401" s="8" t="s">
        <v>16</v>
      </c>
      <c r="P401" s="10">
        <f t="shared" si="6"/>
        <v>13886</v>
      </c>
      <c r="Q401" s="11">
        <v>7488.0</v>
      </c>
      <c r="R401" s="11">
        <v>6398.0</v>
      </c>
      <c r="T401" s="8" t="s">
        <v>51</v>
      </c>
      <c r="U401" s="9" t="s">
        <v>16</v>
      </c>
      <c r="V401" s="10">
        <f t="shared" si="7"/>
        <v>1956</v>
      </c>
      <c r="W401" s="1">
        <v>642.0</v>
      </c>
      <c r="X401" s="11">
        <v>1314.0</v>
      </c>
    </row>
    <row r="402">
      <c r="B402" s="6" t="str">
        <f t="shared" ref="B402:C402" si="802">H402</f>
        <v>Tharrawaddy</v>
      </c>
      <c r="C402" s="7" t="str">
        <f t="shared" si="802"/>
        <v>45-49</v>
      </c>
      <c r="D402" s="6">
        <f t="shared" ref="D402:F402" si="803">J402+P402+V402</f>
        <v>11972</v>
      </c>
      <c r="E402" s="6">
        <f t="shared" si="803"/>
        <v>6261</v>
      </c>
      <c r="F402" s="6">
        <f t="shared" si="803"/>
        <v>5711</v>
      </c>
      <c r="H402" s="8" t="s">
        <v>51</v>
      </c>
      <c r="I402" s="8" t="s">
        <v>17</v>
      </c>
      <c r="J402" s="10">
        <f t="shared" si="5"/>
        <v>236</v>
      </c>
      <c r="K402" s="11">
        <v>73.0</v>
      </c>
      <c r="L402" s="11">
        <v>163.0</v>
      </c>
      <c r="N402" s="8" t="s">
        <v>51</v>
      </c>
      <c r="O402" s="8" t="s">
        <v>17</v>
      </c>
      <c r="P402" s="10">
        <f t="shared" si="6"/>
        <v>10042</v>
      </c>
      <c r="Q402" s="11">
        <v>5621.0</v>
      </c>
      <c r="R402" s="11">
        <v>4421.0</v>
      </c>
      <c r="T402" s="8" t="s">
        <v>51</v>
      </c>
      <c r="U402" s="9" t="s">
        <v>17</v>
      </c>
      <c r="V402" s="10">
        <f t="shared" si="7"/>
        <v>1694</v>
      </c>
      <c r="W402" s="1">
        <v>567.0</v>
      </c>
      <c r="X402" s="11">
        <v>1127.0</v>
      </c>
    </row>
    <row r="403">
      <c r="B403" s="6" t="str">
        <f t="shared" ref="B403:C403" si="804">H403</f>
        <v>Tharrawaddy</v>
      </c>
      <c r="C403" s="7" t="str">
        <f t="shared" si="804"/>
        <v>50-54</v>
      </c>
      <c r="D403" s="6">
        <f t="shared" ref="D403:F403" si="805">J403+P403+V403</f>
        <v>12651</v>
      </c>
      <c r="E403" s="6">
        <f t="shared" si="805"/>
        <v>5952</v>
      </c>
      <c r="F403" s="6">
        <f t="shared" si="805"/>
        <v>6699</v>
      </c>
      <c r="H403" s="8" t="s">
        <v>51</v>
      </c>
      <c r="I403" s="8" t="s">
        <v>18</v>
      </c>
      <c r="J403" s="10">
        <f t="shared" si="5"/>
        <v>252</v>
      </c>
      <c r="K403" s="11">
        <v>135.0</v>
      </c>
      <c r="L403" s="11">
        <v>117.0</v>
      </c>
      <c r="N403" s="8" t="s">
        <v>51</v>
      </c>
      <c r="O403" s="8" t="s">
        <v>18</v>
      </c>
      <c r="P403" s="10">
        <f t="shared" si="6"/>
        <v>9578</v>
      </c>
      <c r="Q403" s="11">
        <v>5145.0</v>
      </c>
      <c r="R403" s="11">
        <v>4433.0</v>
      </c>
      <c r="T403" s="8" t="s">
        <v>51</v>
      </c>
      <c r="U403" s="9" t="s">
        <v>18</v>
      </c>
      <c r="V403" s="10">
        <f t="shared" si="7"/>
        <v>2821</v>
      </c>
      <c r="W403" s="1">
        <v>672.0</v>
      </c>
      <c r="X403" s="11">
        <v>2149.0</v>
      </c>
    </row>
    <row r="404">
      <c r="B404" s="6" t="str">
        <f t="shared" ref="B404:C404" si="806">H404</f>
        <v>Tharrawaddy</v>
      </c>
      <c r="C404" s="7" t="str">
        <f t="shared" si="806"/>
        <v>55-59</v>
      </c>
      <c r="D404" s="6">
        <f t="shared" ref="D404:F404" si="807">J404+P404+V404</f>
        <v>7668</v>
      </c>
      <c r="E404" s="6">
        <f t="shared" si="807"/>
        <v>3795</v>
      </c>
      <c r="F404" s="6">
        <f t="shared" si="807"/>
        <v>3873</v>
      </c>
      <c r="H404" s="8" t="s">
        <v>51</v>
      </c>
      <c r="I404" s="8" t="s">
        <v>19</v>
      </c>
      <c r="J404" s="10">
        <f t="shared" si="5"/>
        <v>181</v>
      </c>
      <c r="K404" s="11">
        <v>75.0</v>
      </c>
      <c r="L404" s="11">
        <v>106.0</v>
      </c>
      <c r="N404" s="8" t="s">
        <v>51</v>
      </c>
      <c r="O404" s="8" t="s">
        <v>19</v>
      </c>
      <c r="P404" s="10">
        <f t="shared" si="6"/>
        <v>5619</v>
      </c>
      <c r="Q404" s="11">
        <v>3213.0</v>
      </c>
      <c r="R404" s="11">
        <v>2406.0</v>
      </c>
      <c r="T404" s="8" t="s">
        <v>51</v>
      </c>
      <c r="U404" s="9" t="s">
        <v>19</v>
      </c>
      <c r="V404" s="10">
        <f t="shared" si="7"/>
        <v>1868</v>
      </c>
      <c r="W404" s="1">
        <v>507.0</v>
      </c>
      <c r="X404" s="11">
        <v>1361.0</v>
      </c>
    </row>
    <row r="405">
      <c r="B405" s="6" t="str">
        <f t="shared" ref="B405:C405" si="808">H405</f>
        <v>Tharrawaddy</v>
      </c>
      <c r="C405" s="7" t="str">
        <f t="shared" si="808"/>
        <v>60+</v>
      </c>
      <c r="D405" s="6">
        <f t="shared" ref="D405:F405" si="809">J405+P405+V405</f>
        <v>17741</v>
      </c>
      <c r="E405" s="6">
        <f t="shared" si="809"/>
        <v>8847</v>
      </c>
      <c r="F405" s="6">
        <f t="shared" si="809"/>
        <v>8894</v>
      </c>
      <c r="H405" s="8" t="s">
        <v>51</v>
      </c>
      <c r="I405" s="8" t="s">
        <v>20</v>
      </c>
      <c r="J405" s="10">
        <f t="shared" si="5"/>
        <v>636</v>
      </c>
      <c r="K405" s="11">
        <v>393.0</v>
      </c>
      <c r="L405" s="11">
        <v>243.0</v>
      </c>
      <c r="N405" s="8" t="s">
        <v>51</v>
      </c>
      <c r="O405" s="8" t="s">
        <v>21</v>
      </c>
      <c r="P405" s="10">
        <f t="shared" si="6"/>
        <v>9443</v>
      </c>
      <c r="Q405" s="11">
        <v>6379.0</v>
      </c>
      <c r="R405" s="11">
        <v>3064.0</v>
      </c>
      <c r="T405" s="8" t="s">
        <v>51</v>
      </c>
      <c r="U405" s="1" t="s">
        <v>21</v>
      </c>
      <c r="V405" s="10">
        <f t="shared" si="7"/>
        <v>7662</v>
      </c>
      <c r="W405" s="1">
        <v>2075.0</v>
      </c>
      <c r="X405" s="11">
        <v>5587.0</v>
      </c>
    </row>
    <row r="406">
      <c r="B406" s="6" t="str">
        <f t="shared" ref="B406:C406" si="810">H406</f>
        <v>Thayetmyo</v>
      </c>
      <c r="C406" s="7" t="str">
        <f t="shared" si="810"/>
        <v>0-4</v>
      </c>
      <c r="D406" s="6">
        <f t="shared" ref="D406:F406" si="811">J406+P406+V406</f>
        <v>35135</v>
      </c>
      <c r="E406" s="6">
        <f t="shared" si="811"/>
        <v>17183</v>
      </c>
      <c r="F406" s="6">
        <f t="shared" si="811"/>
        <v>17952</v>
      </c>
      <c r="H406" s="8" t="s">
        <v>52</v>
      </c>
      <c r="I406" s="9" t="s">
        <v>10</v>
      </c>
      <c r="J406" s="10">
        <f t="shared" si="5"/>
        <v>35135</v>
      </c>
      <c r="K406" s="11">
        <v>17183.0</v>
      </c>
      <c r="L406" s="11">
        <v>17952.0</v>
      </c>
      <c r="N406" s="8" t="s">
        <v>52</v>
      </c>
      <c r="O406" s="9" t="s">
        <v>10</v>
      </c>
      <c r="P406" s="10">
        <f t="shared" si="6"/>
        <v>0</v>
      </c>
      <c r="Q406" s="11">
        <v>0.0</v>
      </c>
      <c r="R406" s="11">
        <v>0.0</v>
      </c>
      <c r="T406" s="8" t="s">
        <v>52</v>
      </c>
      <c r="U406" s="9" t="s">
        <v>10</v>
      </c>
      <c r="V406" s="10">
        <f t="shared" si="7"/>
        <v>0</v>
      </c>
      <c r="W406" s="11">
        <v>0.0</v>
      </c>
      <c r="X406" s="11">
        <v>0.0</v>
      </c>
    </row>
    <row r="407">
      <c r="B407" s="6" t="str">
        <f t="shared" ref="B407:C407" si="812">H407</f>
        <v>Thayetmyo</v>
      </c>
      <c r="C407" s="12">
        <f t="shared" si="812"/>
        <v>45786</v>
      </c>
      <c r="D407" s="6">
        <f t="shared" ref="D407:F407" si="813">J407+P407+V407</f>
        <v>33080</v>
      </c>
      <c r="E407" s="6">
        <f t="shared" si="813"/>
        <v>16594</v>
      </c>
      <c r="F407" s="6">
        <f t="shared" si="813"/>
        <v>16486</v>
      </c>
      <c r="H407" s="8" t="s">
        <v>52</v>
      </c>
      <c r="I407" s="13">
        <v>45786.0</v>
      </c>
      <c r="J407" s="10">
        <f t="shared" si="5"/>
        <v>33080</v>
      </c>
      <c r="K407" s="11">
        <v>16594.0</v>
      </c>
      <c r="L407" s="11">
        <v>16486.0</v>
      </c>
      <c r="N407" s="8" t="s">
        <v>52</v>
      </c>
      <c r="O407" s="13">
        <v>45786.0</v>
      </c>
      <c r="P407" s="10">
        <f t="shared" si="6"/>
        <v>0</v>
      </c>
      <c r="Q407" s="11">
        <v>0.0</v>
      </c>
      <c r="R407" s="11">
        <v>0.0</v>
      </c>
      <c r="T407" s="8" t="s">
        <v>52</v>
      </c>
      <c r="U407" s="13">
        <v>45786.0</v>
      </c>
      <c r="V407" s="10">
        <f t="shared" si="7"/>
        <v>0</v>
      </c>
      <c r="W407" s="11">
        <v>0.0</v>
      </c>
      <c r="X407" s="11">
        <v>0.0</v>
      </c>
    </row>
    <row r="408">
      <c r="B408" s="6" t="str">
        <f t="shared" ref="B408:C408" si="814">H408</f>
        <v>Thayetmyo</v>
      </c>
      <c r="C408" s="12">
        <f t="shared" si="814"/>
        <v>45944</v>
      </c>
      <c r="D408" s="6">
        <f t="shared" ref="D408:F408" si="815">J408+P408+V408</f>
        <v>29507</v>
      </c>
      <c r="E408" s="6">
        <f t="shared" si="815"/>
        <v>15372</v>
      </c>
      <c r="F408" s="6">
        <f t="shared" si="815"/>
        <v>14135</v>
      </c>
      <c r="H408" s="8" t="s">
        <v>52</v>
      </c>
      <c r="I408" s="13">
        <v>45944.0</v>
      </c>
      <c r="J408" s="10">
        <f t="shared" si="5"/>
        <v>29425</v>
      </c>
      <c r="K408" s="11">
        <v>15354.0</v>
      </c>
      <c r="L408" s="11">
        <v>14071.0</v>
      </c>
      <c r="N408" s="8" t="s">
        <v>52</v>
      </c>
      <c r="O408" s="13">
        <v>45944.0</v>
      </c>
      <c r="P408" s="10">
        <f t="shared" si="6"/>
        <v>76</v>
      </c>
      <c r="Q408" s="11">
        <v>16.0</v>
      </c>
      <c r="R408" s="11">
        <v>60.0</v>
      </c>
      <c r="T408" s="8" t="s">
        <v>52</v>
      </c>
      <c r="U408" s="13">
        <v>45944.0</v>
      </c>
      <c r="V408" s="10">
        <f t="shared" si="7"/>
        <v>6</v>
      </c>
      <c r="W408" s="11">
        <v>2.0</v>
      </c>
      <c r="X408" s="11">
        <v>4.0</v>
      </c>
    </row>
    <row r="409">
      <c r="B409" s="6" t="str">
        <f t="shared" ref="B409:C409" si="816">H409</f>
        <v>Thayetmyo</v>
      </c>
      <c r="C409" s="7" t="str">
        <f t="shared" si="816"/>
        <v>15-19</v>
      </c>
      <c r="D409" s="6">
        <f t="shared" ref="D409:F409" si="817">J409+P409+V409</f>
        <v>25431</v>
      </c>
      <c r="E409" s="6">
        <f t="shared" si="817"/>
        <v>12008</v>
      </c>
      <c r="F409" s="6">
        <f t="shared" si="817"/>
        <v>13423</v>
      </c>
      <c r="H409" s="8" t="s">
        <v>52</v>
      </c>
      <c r="I409" s="9" t="s">
        <v>11</v>
      </c>
      <c r="J409" s="10">
        <f t="shared" si="5"/>
        <v>20762</v>
      </c>
      <c r="K409" s="11">
        <v>11157.0</v>
      </c>
      <c r="L409" s="11">
        <v>9605.0</v>
      </c>
      <c r="N409" s="8" t="s">
        <v>52</v>
      </c>
      <c r="O409" s="9" t="s">
        <v>11</v>
      </c>
      <c r="P409" s="10">
        <f t="shared" si="6"/>
        <v>4290</v>
      </c>
      <c r="Q409" s="11">
        <v>781.0</v>
      </c>
      <c r="R409" s="11">
        <v>3509.0</v>
      </c>
      <c r="T409" s="8" t="s">
        <v>52</v>
      </c>
      <c r="U409" s="8" t="s">
        <v>11</v>
      </c>
      <c r="V409" s="10">
        <f t="shared" si="7"/>
        <v>379</v>
      </c>
      <c r="W409" s="11">
        <v>70.0</v>
      </c>
      <c r="X409" s="11">
        <v>309.0</v>
      </c>
    </row>
    <row r="410">
      <c r="B410" s="6" t="str">
        <f t="shared" ref="B410:C410" si="818">H410</f>
        <v>Thayetmyo</v>
      </c>
      <c r="C410" s="7" t="str">
        <f t="shared" si="818"/>
        <v>20-24</v>
      </c>
      <c r="D410" s="6">
        <f t="shared" ref="D410:F410" si="819">J410+P410+V410</f>
        <v>23344</v>
      </c>
      <c r="E410" s="6">
        <f t="shared" si="819"/>
        <v>11662</v>
      </c>
      <c r="F410" s="6">
        <f t="shared" si="819"/>
        <v>11682</v>
      </c>
      <c r="H410" s="8" t="s">
        <v>52</v>
      </c>
      <c r="I410" s="9" t="s">
        <v>12</v>
      </c>
      <c r="J410" s="10">
        <f t="shared" si="5"/>
        <v>7471</v>
      </c>
      <c r="K410" s="11">
        <v>5347.0</v>
      </c>
      <c r="L410" s="11">
        <v>2124.0</v>
      </c>
      <c r="N410" s="8" t="s">
        <v>52</v>
      </c>
      <c r="O410" s="9" t="s">
        <v>12</v>
      </c>
      <c r="P410" s="10">
        <f t="shared" si="6"/>
        <v>14622</v>
      </c>
      <c r="Q410" s="11">
        <v>5902.0</v>
      </c>
      <c r="R410" s="11">
        <v>8720.0</v>
      </c>
      <c r="T410" s="8" t="s">
        <v>52</v>
      </c>
      <c r="U410" s="8" t="s">
        <v>12</v>
      </c>
      <c r="V410" s="10">
        <f t="shared" si="7"/>
        <v>1251</v>
      </c>
      <c r="W410" s="11">
        <v>413.0</v>
      </c>
      <c r="X410" s="11">
        <v>838.0</v>
      </c>
    </row>
    <row r="411">
      <c r="B411" s="6" t="str">
        <f t="shared" ref="B411:C411" si="820">H411</f>
        <v>Thayetmyo</v>
      </c>
      <c r="C411" s="7" t="str">
        <f t="shared" si="820"/>
        <v>25-29</v>
      </c>
      <c r="D411" s="6">
        <f t="shared" ref="D411:F411" si="821">J411+P411+V411</f>
        <v>19604</v>
      </c>
      <c r="E411" s="6">
        <f t="shared" si="821"/>
        <v>10012</v>
      </c>
      <c r="F411" s="6">
        <f t="shared" si="821"/>
        <v>9592</v>
      </c>
      <c r="H411" s="8" t="s">
        <v>52</v>
      </c>
      <c r="I411" s="9" t="s">
        <v>13</v>
      </c>
      <c r="J411" s="10">
        <f t="shared" si="5"/>
        <v>2520</v>
      </c>
      <c r="K411" s="11">
        <v>1921.0</v>
      </c>
      <c r="L411" s="11">
        <v>599.0</v>
      </c>
      <c r="N411" s="8" t="s">
        <v>52</v>
      </c>
      <c r="O411" s="9" t="s">
        <v>13</v>
      </c>
      <c r="P411" s="10">
        <f t="shared" si="6"/>
        <v>15748</v>
      </c>
      <c r="Q411" s="11">
        <v>7575.0</v>
      </c>
      <c r="R411" s="11">
        <v>8173.0</v>
      </c>
      <c r="T411" s="8" t="s">
        <v>52</v>
      </c>
      <c r="U411" s="9" t="s">
        <v>13</v>
      </c>
      <c r="V411" s="10">
        <f t="shared" si="7"/>
        <v>1336</v>
      </c>
      <c r="W411" s="1">
        <v>516.0</v>
      </c>
      <c r="X411" s="11">
        <v>820.0</v>
      </c>
    </row>
    <row r="412">
      <c r="B412" s="6" t="str">
        <f t="shared" ref="B412:C412" si="822">H412</f>
        <v>Thayetmyo</v>
      </c>
      <c r="C412" s="7" t="str">
        <f t="shared" si="822"/>
        <v>30-34</v>
      </c>
      <c r="D412" s="6">
        <f t="shared" ref="D412:F412" si="823">J412+P412+V412</f>
        <v>15623</v>
      </c>
      <c r="E412" s="6">
        <f t="shared" si="823"/>
        <v>8350</v>
      </c>
      <c r="F412" s="6">
        <f t="shared" si="823"/>
        <v>7273</v>
      </c>
      <c r="H412" s="8" t="s">
        <v>52</v>
      </c>
      <c r="I412" s="8" t="s">
        <v>14</v>
      </c>
      <c r="J412" s="10">
        <f t="shared" si="5"/>
        <v>918</v>
      </c>
      <c r="K412" s="11">
        <v>684.0</v>
      </c>
      <c r="L412" s="11">
        <v>234.0</v>
      </c>
      <c r="N412" s="8" t="s">
        <v>52</v>
      </c>
      <c r="O412" s="8" t="s">
        <v>14</v>
      </c>
      <c r="P412" s="10">
        <f t="shared" si="6"/>
        <v>13446</v>
      </c>
      <c r="Q412" s="11">
        <v>7185.0</v>
      </c>
      <c r="R412" s="11">
        <v>6261.0</v>
      </c>
      <c r="T412" s="8" t="s">
        <v>52</v>
      </c>
      <c r="U412" s="9" t="s">
        <v>14</v>
      </c>
      <c r="V412" s="10">
        <f t="shared" si="7"/>
        <v>1259</v>
      </c>
      <c r="W412" s="1">
        <v>481.0</v>
      </c>
      <c r="X412" s="11">
        <v>778.0</v>
      </c>
    </row>
    <row r="413">
      <c r="B413" s="6" t="str">
        <f t="shared" ref="B413:C413" si="824">H413</f>
        <v>Thayetmyo</v>
      </c>
      <c r="C413" s="7" t="str">
        <f t="shared" si="824"/>
        <v>35-39</v>
      </c>
      <c r="D413" s="6">
        <f t="shared" ref="D413:F413" si="825">J413+P413+V413</f>
        <v>12085</v>
      </c>
      <c r="E413" s="6">
        <f t="shared" si="825"/>
        <v>6434</v>
      </c>
      <c r="F413" s="6">
        <f t="shared" si="825"/>
        <v>5651</v>
      </c>
      <c r="H413" s="8" t="s">
        <v>52</v>
      </c>
      <c r="I413" s="8" t="s">
        <v>15</v>
      </c>
      <c r="J413" s="10">
        <f t="shared" si="5"/>
        <v>460</v>
      </c>
      <c r="K413" s="11">
        <v>356.0</v>
      </c>
      <c r="L413" s="11">
        <v>104.0</v>
      </c>
      <c r="N413" s="8" t="s">
        <v>52</v>
      </c>
      <c r="O413" s="8" t="s">
        <v>15</v>
      </c>
      <c r="P413" s="10">
        <f t="shared" si="6"/>
        <v>10507</v>
      </c>
      <c r="Q413" s="11">
        <v>5644.0</v>
      </c>
      <c r="R413" s="11">
        <v>4863.0</v>
      </c>
      <c r="T413" s="8" t="s">
        <v>52</v>
      </c>
      <c r="U413" s="9" t="s">
        <v>15</v>
      </c>
      <c r="V413" s="10">
        <f t="shared" si="7"/>
        <v>1118</v>
      </c>
      <c r="W413" s="1">
        <v>434.0</v>
      </c>
      <c r="X413" s="11">
        <v>684.0</v>
      </c>
    </row>
    <row r="414">
      <c r="B414" s="6" t="str">
        <f t="shared" ref="B414:C414" si="826">H414</f>
        <v>Thayetmyo</v>
      </c>
      <c r="C414" s="7" t="str">
        <f t="shared" si="826"/>
        <v>40-44</v>
      </c>
      <c r="D414" s="6">
        <f t="shared" ref="D414:F414" si="827">J414+P414+V414</f>
        <v>13559</v>
      </c>
      <c r="E414" s="6">
        <f t="shared" si="827"/>
        <v>6924</v>
      </c>
      <c r="F414" s="6">
        <f t="shared" si="827"/>
        <v>6635</v>
      </c>
      <c r="H414" s="8" t="s">
        <v>52</v>
      </c>
      <c r="I414" s="8" t="s">
        <v>16</v>
      </c>
      <c r="J414" s="10">
        <f t="shared" si="5"/>
        <v>373</v>
      </c>
      <c r="K414" s="11">
        <v>257.0</v>
      </c>
      <c r="L414" s="11">
        <v>116.0</v>
      </c>
      <c r="N414" s="8" t="s">
        <v>52</v>
      </c>
      <c r="O414" s="8" t="s">
        <v>16</v>
      </c>
      <c r="P414" s="10">
        <f t="shared" si="6"/>
        <v>11374</v>
      </c>
      <c r="Q414" s="11">
        <v>6005.0</v>
      </c>
      <c r="R414" s="11">
        <v>5369.0</v>
      </c>
      <c r="T414" s="8" t="s">
        <v>52</v>
      </c>
      <c r="U414" s="9" t="s">
        <v>16</v>
      </c>
      <c r="V414" s="10">
        <f t="shared" si="7"/>
        <v>1812</v>
      </c>
      <c r="W414" s="1">
        <v>662.0</v>
      </c>
      <c r="X414" s="11">
        <v>1150.0</v>
      </c>
    </row>
    <row r="415">
      <c r="B415" s="6" t="str">
        <f t="shared" ref="B415:C415" si="828">H415</f>
        <v>Thayetmyo</v>
      </c>
      <c r="C415" s="7" t="str">
        <f t="shared" si="828"/>
        <v>45-49</v>
      </c>
      <c r="D415" s="6">
        <f t="shared" ref="D415:F415" si="829">J415+P415+V415</f>
        <v>10473</v>
      </c>
      <c r="E415" s="6">
        <f t="shared" si="829"/>
        <v>5378</v>
      </c>
      <c r="F415" s="6">
        <f t="shared" si="829"/>
        <v>5095</v>
      </c>
      <c r="H415" s="8" t="s">
        <v>52</v>
      </c>
      <c r="I415" s="8" t="s">
        <v>17</v>
      </c>
      <c r="J415" s="10">
        <f t="shared" si="5"/>
        <v>262</v>
      </c>
      <c r="K415" s="11">
        <v>177.0</v>
      </c>
      <c r="L415" s="11">
        <v>85.0</v>
      </c>
      <c r="N415" s="8" t="s">
        <v>52</v>
      </c>
      <c r="O415" s="8" t="s">
        <v>17</v>
      </c>
      <c r="P415" s="10">
        <f t="shared" si="6"/>
        <v>8471</v>
      </c>
      <c r="Q415" s="11">
        <v>4675.0</v>
      </c>
      <c r="R415" s="11">
        <v>3796.0</v>
      </c>
      <c r="T415" s="8" t="s">
        <v>52</v>
      </c>
      <c r="U415" s="9" t="s">
        <v>17</v>
      </c>
      <c r="V415" s="10">
        <f t="shared" si="7"/>
        <v>1740</v>
      </c>
      <c r="W415" s="1">
        <v>526.0</v>
      </c>
      <c r="X415" s="11">
        <v>1214.0</v>
      </c>
    </row>
    <row r="416">
      <c r="B416" s="6" t="str">
        <f t="shared" ref="B416:C416" si="830">H416</f>
        <v>Thayetmyo</v>
      </c>
      <c r="C416" s="7" t="str">
        <f t="shared" si="830"/>
        <v>50-54</v>
      </c>
      <c r="D416" s="6">
        <f t="shared" ref="D416:F416" si="831">J416+P416+V416</f>
        <v>10477</v>
      </c>
      <c r="E416" s="6">
        <f t="shared" si="831"/>
        <v>5062</v>
      </c>
      <c r="F416" s="6">
        <f t="shared" si="831"/>
        <v>5415</v>
      </c>
      <c r="H416" s="8" t="s">
        <v>52</v>
      </c>
      <c r="I416" s="8" t="s">
        <v>18</v>
      </c>
      <c r="J416" s="10">
        <f t="shared" si="5"/>
        <v>290</v>
      </c>
      <c r="K416" s="11">
        <v>197.0</v>
      </c>
      <c r="L416" s="11">
        <v>93.0</v>
      </c>
      <c r="N416" s="8" t="s">
        <v>52</v>
      </c>
      <c r="O416" s="8" t="s">
        <v>18</v>
      </c>
      <c r="P416" s="10">
        <f t="shared" si="6"/>
        <v>7626</v>
      </c>
      <c r="Q416" s="11">
        <v>4260.0</v>
      </c>
      <c r="R416" s="11">
        <v>3366.0</v>
      </c>
      <c r="T416" s="8" t="s">
        <v>52</v>
      </c>
      <c r="U416" s="9" t="s">
        <v>18</v>
      </c>
      <c r="V416" s="10">
        <f t="shared" si="7"/>
        <v>2561</v>
      </c>
      <c r="W416" s="1">
        <v>605.0</v>
      </c>
      <c r="X416" s="11">
        <v>1956.0</v>
      </c>
    </row>
    <row r="417">
      <c r="B417" s="6" t="str">
        <f t="shared" ref="B417:C417" si="832">H417</f>
        <v>Thayetmyo</v>
      </c>
      <c r="C417" s="7" t="str">
        <f t="shared" si="832"/>
        <v>55-59</v>
      </c>
      <c r="D417" s="6">
        <f t="shared" ref="D417:F417" si="833">J417+P417+V417</f>
        <v>6715</v>
      </c>
      <c r="E417" s="6">
        <f t="shared" si="833"/>
        <v>3431</v>
      </c>
      <c r="F417" s="6">
        <f t="shared" si="833"/>
        <v>3284</v>
      </c>
      <c r="H417" s="8" t="s">
        <v>52</v>
      </c>
      <c r="I417" s="8" t="s">
        <v>19</v>
      </c>
      <c r="J417" s="10">
        <f t="shared" si="5"/>
        <v>160</v>
      </c>
      <c r="K417" s="11">
        <v>96.0</v>
      </c>
      <c r="L417" s="11">
        <v>64.0</v>
      </c>
      <c r="N417" s="8" t="s">
        <v>52</v>
      </c>
      <c r="O417" s="8" t="s">
        <v>19</v>
      </c>
      <c r="P417" s="10">
        <f t="shared" si="6"/>
        <v>4707</v>
      </c>
      <c r="Q417" s="11">
        <v>2818.0</v>
      </c>
      <c r="R417" s="11">
        <v>1889.0</v>
      </c>
      <c r="T417" s="8" t="s">
        <v>52</v>
      </c>
      <c r="U417" s="9" t="s">
        <v>19</v>
      </c>
      <c r="V417" s="10">
        <f t="shared" si="7"/>
        <v>1848</v>
      </c>
      <c r="W417" s="1">
        <v>517.0</v>
      </c>
      <c r="X417" s="11">
        <v>1331.0</v>
      </c>
    </row>
    <row r="418">
      <c r="B418" s="6" t="str">
        <f t="shared" ref="B418:C418" si="834">H418</f>
        <v>Thayetmyo</v>
      </c>
      <c r="C418" s="7" t="str">
        <f t="shared" si="834"/>
        <v>60+</v>
      </c>
      <c r="D418" s="6">
        <f t="shared" ref="D418:F418" si="835">J418+P418+V418</f>
        <v>15128</v>
      </c>
      <c r="E418" s="6">
        <f t="shared" si="835"/>
        <v>7064</v>
      </c>
      <c r="F418" s="6">
        <f t="shared" si="835"/>
        <v>8064</v>
      </c>
      <c r="H418" s="8" t="s">
        <v>52</v>
      </c>
      <c r="I418" s="8" t="s">
        <v>20</v>
      </c>
      <c r="J418" s="10">
        <f t="shared" si="5"/>
        <v>396</v>
      </c>
      <c r="K418" s="11">
        <v>205.0</v>
      </c>
      <c r="L418" s="11">
        <v>191.0</v>
      </c>
      <c r="N418" s="8" t="s">
        <v>52</v>
      </c>
      <c r="O418" s="8" t="s">
        <v>21</v>
      </c>
      <c r="P418" s="10">
        <f t="shared" si="6"/>
        <v>7283</v>
      </c>
      <c r="Q418" s="11">
        <v>4750.0</v>
      </c>
      <c r="R418" s="11">
        <v>2533.0</v>
      </c>
      <c r="T418" s="8" t="s">
        <v>52</v>
      </c>
      <c r="U418" s="1" t="s">
        <v>21</v>
      </c>
      <c r="V418" s="10">
        <f t="shared" si="7"/>
        <v>7449</v>
      </c>
      <c r="W418" s="1">
        <v>2109.0</v>
      </c>
      <c r="X418" s="11">
        <v>5340.0</v>
      </c>
    </row>
    <row r="419">
      <c r="B419" s="6" t="str">
        <f t="shared" ref="B419:C419" si="836">H419</f>
        <v>Thongwa</v>
      </c>
      <c r="C419" s="7" t="str">
        <f t="shared" si="836"/>
        <v>0-4</v>
      </c>
      <c r="D419" s="6">
        <f t="shared" ref="D419:F419" si="837">J419+P419+V419</f>
        <v>64259</v>
      </c>
      <c r="E419" s="6">
        <f t="shared" si="837"/>
        <v>31573</v>
      </c>
      <c r="F419" s="6">
        <f t="shared" si="837"/>
        <v>32686</v>
      </c>
      <c r="H419" s="8" t="s">
        <v>53</v>
      </c>
      <c r="I419" s="9" t="s">
        <v>10</v>
      </c>
      <c r="J419" s="10">
        <f t="shared" si="5"/>
        <v>64259</v>
      </c>
      <c r="K419" s="11">
        <v>31573.0</v>
      </c>
      <c r="L419" s="11">
        <v>32686.0</v>
      </c>
      <c r="N419" s="8" t="s">
        <v>53</v>
      </c>
      <c r="O419" s="9" t="s">
        <v>10</v>
      </c>
      <c r="P419" s="10">
        <f t="shared" si="6"/>
        <v>0</v>
      </c>
      <c r="Q419" s="11">
        <v>0.0</v>
      </c>
      <c r="R419" s="11">
        <v>0.0</v>
      </c>
      <c r="T419" s="8" t="s">
        <v>53</v>
      </c>
      <c r="U419" s="9" t="s">
        <v>10</v>
      </c>
      <c r="V419" s="10">
        <f t="shared" si="7"/>
        <v>0</v>
      </c>
      <c r="W419" s="11">
        <v>0.0</v>
      </c>
      <c r="X419" s="11">
        <v>0.0</v>
      </c>
    </row>
    <row r="420">
      <c r="B420" s="6" t="str">
        <f t="shared" ref="B420:C420" si="838">H420</f>
        <v>Thongwa</v>
      </c>
      <c r="C420" s="12">
        <f t="shared" si="838"/>
        <v>45786</v>
      </c>
      <c r="D420" s="6">
        <f t="shared" ref="D420:F420" si="839">J420+P420+V420</f>
        <v>58079</v>
      </c>
      <c r="E420" s="6">
        <f t="shared" si="839"/>
        <v>29351</v>
      </c>
      <c r="F420" s="6">
        <f t="shared" si="839"/>
        <v>28728</v>
      </c>
      <c r="H420" s="8" t="s">
        <v>53</v>
      </c>
      <c r="I420" s="13">
        <v>45786.0</v>
      </c>
      <c r="J420" s="10">
        <f t="shared" si="5"/>
        <v>58079</v>
      </c>
      <c r="K420" s="11">
        <v>29351.0</v>
      </c>
      <c r="L420" s="11">
        <v>28728.0</v>
      </c>
      <c r="N420" s="8" t="s">
        <v>53</v>
      </c>
      <c r="O420" s="13">
        <v>45786.0</v>
      </c>
      <c r="P420" s="10">
        <f t="shared" si="6"/>
        <v>0</v>
      </c>
      <c r="Q420" s="11">
        <v>0.0</v>
      </c>
      <c r="R420" s="11">
        <v>0.0</v>
      </c>
      <c r="T420" s="8" t="s">
        <v>53</v>
      </c>
      <c r="U420" s="13">
        <v>45786.0</v>
      </c>
      <c r="V420" s="10">
        <f t="shared" si="7"/>
        <v>0</v>
      </c>
      <c r="W420" s="11">
        <v>0.0</v>
      </c>
      <c r="X420" s="11">
        <v>0.0</v>
      </c>
    </row>
    <row r="421">
      <c r="B421" s="6" t="str">
        <f t="shared" ref="B421:C421" si="840">H421</f>
        <v>Thongwa</v>
      </c>
      <c r="C421" s="12">
        <f t="shared" si="840"/>
        <v>45944</v>
      </c>
      <c r="D421" s="6">
        <f t="shared" ref="D421:F421" si="841">J421+P421+V421</f>
        <v>52862</v>
      </c>
      <c r="E421" s="6">
        <f t="shared" si="841"/>
        <v>28182</v>
      </c>
      <c r="F421" s="6">
        <f t="shared" si="841"/>
        <v>24680</v>
      </c>
      <c r="H421" s="8" t="s">
        <v>53</v>
      </c>
      <c r="I421" s="13">
        <v>45944.0</v>
      </c>
      <c r="J421" s="10">
        <f t="shared" si="5"/>
        <v>52714</v>
      </c>
      <c r="K421" s="11">
        <v>28159.0</v>
      </c>
      <c r="L421" s="11">
        <v>24555.0</v>
      </c>
      <c r="N421" s="8" t="s">
        <v>53</v>
      </c>
      <c r="O421" s="13">
        <v>45944.0</v>
      </c>
      <c r="P421" s="10">
        <f t="shared" si="6"/>
        <v>142</v>
      </c>
      <c r="Q421" s="11">
        <v>22.0</v>
      </c>
      <c r="R421" s="11">
        <v>120.0</v>
      </c>
      <c r="T421" s="8" t="s">
        <v>53</v>
      </c>
      <c r="U421" s="13">
        <v>45944.0</v>
      </c>
      <c r="V421" s="10">
        <f t="shared" si="7"/>
        <v>6</v>
      </c>
      <c r="W421" s="11">
        <v>1.0</v>
      </c>
      <c r="X421" s="11">
        <v>5.0</v>
      </c>
    </row>
    <row r="422">
      <c r="B422" s="6" t="str">
        <f t="shared" ref="B422:C422" si="842">H422</f>
        <v>Thongwa</v>
      </c>
      <c r="C422" s="7" t="str">
        <f t="shared" si="842"/>
        <v>15-19</v>
      </c>
      <c r="D422" s="6">
        <f t="shared" ref="D422:F422" si="843">J422+P422+V422</f>
        <v>44184</v>
      </c>
      <c r="E422" s="6">
        <f t="shared" si="843"/>
        <v>22010</v>
      </c>
      <c r="F422" s="6">
        <f t="shared" si="843"/>
        <v>22174</v>
      </c>
      <c r="H422" s="8" t="s">
        <v>53</v>
      </c>
      <c r="I422" s="9" t="s">
        <v>11</v>
      </c>
      <c r="J422" s="10">
        <f t="shared" si="5"/>
        <v>35783</v>
      </c>
      <c r="K422" s="11">
        <v>20477.0</v>
      </c>
      <c r="L422" s="11">
        <v>15306.0</v>
      </c>
      <c r="N422" s="8" t="s">
        <v>53</v>
      </c>
      <c r="O422" s="9" t="s">
        <v>11</v>
      </c>
      <c r="P422" s="10">
        <f t="shared" si="6"/>
        <v>7781</v>
      </c>
      <c r="Q422" s="11">
        <v>1414.0</v>
      </c>
      <c r="R422" s="11">
        <v>6367.0</v>
      </c>
      <c r="T422" s="8" t="s">
        <v>53</v>
      </c>
      <c r="U422" s="8" t="s">
        <v>11</v>
      </c>
      <c r="V422" s="10">
        <f t="shared" si="7"/>
        <v>620</v>
      </c>
      <c r="W422" s="11">
        <v>119.0</v>
      </c>
      <c r="X422" s="11">
        <v>501.0</v>
      </c>
    </row>
    <row r="423">
      <c r="B423" s="6" t="str">
        <f t="shared" ref="B423:C423" si="844">H423</f>
        <v>Thongwa</v>
      </c>
      <c r="C423" s="7" t="str">
        <f t="shared" si="844"/>
        <v>20-24</v>
      </c>
      <c r="D423" s="6">
        <f t="shared" ref="D423:F423" si="845">J423+P423+V423</f>
        <v>43270</v>
      </c>
      <c r="E423" s="6">
        <f t="shared" si="845"/>
        <v>23500</v>
      </c>
      <c r="F423" s="6">
        <f t="shared" si="845"/>
        <v>19770</v>
      </c>
      <c r="H423" s="8" t="s">
        <v>53</v>
      </c>
      <c r="I423" s="9" t="s">
        <v>12</v>
      </c>
      <c r="J423" s="10">
        <f t="shared" si="5"/>
        <v>17344</v>
      </c>
      <c r="K423" s="11">
        <v>12953.0</v>
      </c>
      <c r="L423" s="11">
        <v>4391.0</v>
      </c>
      <c r="N423" s="8" t="s">
        <v>53</v>
      </c>
      <c r="O423" s="9" t="s">
        <v>12</v>
      </c>
      <c r="P423" s="10">
        <f t="shared" si="6"/>
        <v>24267</v>
      </c>
      <c r="Q423" s="11">
        <v>9881.0</v>
      </c>
      <c r="R423" s="11">
        <v>14386.0</v>
      </c>
      <c r="T423" s="8" t="s">
        <v>53</v>
      </c>
      <c r="U423" s="8" t="s">
        <v>12</v>
      </c>
      <c r="V423" s="10">
        <f t="shared" si="7"/>
        <v>1659</v>
      </c>
      <c r="W423" s="11">
        <v>666.0</v>
      </c>
      <c r="X423" s="11">
        <v>993.0</v>
      </c>
    </row>
    <row r="424">
      <c r="B424" s="6" t="str">
        <f t="shared" ref="B424:C424" si="846">H424</f>
        <v>Thongwa</v>
      </c>
      <c r="C424" s="7" t="str">
        <f t="shared" si="846"/>
        <v>25-29</v>
      </c>
      <c r="D424" s="6">
        <f t="shared" ref="D424:F424" si="847">J424+P424+V424</f>
        <v>38749</v>
      </c>
      <c r="E424" s="6">
        <f t="shared" si="847"/>
        <v>21917</v>
      </c>
      <c r="F424" s="6">
        <f t="shared" si="847"/>
        <v>16832</v>
      </c>
      <c r="H424" s="8" t="s">
        <v>53</v>
      </c>
      <c r="I424" s="9" t="s">
        <v>13</v>
      </c>
      <c r="J424" s="10">
        <f t="shared" si="5"/>
        <v>7596</v>
      </c>
      <c r="K424" s="11">
        <v>6093.0</v>
      </c>
      <c r="L424" s="11">
        <v>1503.0</v>
      </c>
      <c r="N424" s="8" t="s">
        <v>53</v>
      </c>
      <c r="O424" s="9" t="s">
        <v>13</v>
      </c>
      <c r="P424" s="10">
        <f t="shared" si="6"/>
        <v>29198</v>
      </c>
      <c r="Q424" s="11">
        <v>14813.0</v>
      </c>
      <c r="R424" s="11">
        <v>14385.0</v>
      </c>
      <c r="T424" s="8" t="s">
        <v>53</v>
      </c>
      <c r="U424" s="9" t="s">
        <v>13</v>
      </c>
      <c r="V424" s="10">
        <f t="shared" si="7"/>
        <v>1955</v>
      </c>
      <c r="W424" s="1">
        <v>1011.0</v>
      </c>
      <c r="X424" s="11">
        <v>944.0</v>
      </c>
    </row>
    <row r="425">
      <c r="B425" s="6" t="str">
        <f t="shared" ref="B425:C425" si="848">H425</f>
        <v>Thongwa</v>
      </c>
      <c r="C425" s="7" t="str">
        <f t="shared" si="848"/>
        <v>30-34</v>
      </c>
      <c r="D425" s="6">
        <f t="shared" ref="D425:F425" si="849">J425+P425+V425</f>
        <v>33515</v>
      </c>
      <c r="E425" s="6">
        <f t="shared" si="849"/>
        <v>19770</v>
      </c>
      <c r="F425" s="6">
        <f t="shared" si="849"/>
        <v>13745</v>
      </c>
      <c r="H425" s="8" t="s">
        <v>53</v>
      </c>
      <c r="I425" s="8" t="s">
        <v>14</v>
      </c>
      <c r="J425" s="10">
        <f t="shared" si="5"/>
        <v>3324</v>
      </c>
      <c r="K425" s="11">
        <v>2698.0</v>
      </c>
      <c r="L425" s="11">
        <v>626.0</v>
      </c>
      <c r="N425" s="8" t="s">
        <v>53</v>
      </c>
      <c r="O425" s="8" t="s">
        <v>14</v>
      </c>
      <c r="P425" s="10">
        <f t="shared" si="6"/>
        <v>27969</v>
      </c>
      <c r="Q425" s="11">
        <v>15851.0</v>
      </c>
      <c r="R425" s="11">
        <v>12118.0</v>
      </c>
      <c r="T425" s="8" t="s">
        <v>53</v>
      </c>
      <c r="U425" s="9" t="s">
        <v>14</v>
      </c>
      <c r="V425" s="10">
        <f t="shared" si="7"/>
        <v>2222</v>
      </c>
      <c r="W425" s="1">
        <v>1221.0</v>
      </c>
      <c r="X425" s="11">
        <v>1001.0</v>
      </c>
    </row>
    <row r="426">
      <c r="B426" s="6" t="str">
        <f t="shared" ref="B426:C426" si="850">H426</f>
        <v>Thongwa</v>
      </c>
      <c r="C426" s="7" t="str">
        <f t="shared" si="850"/>
        <v>35-39</v>
      </c>
      <c r="D426" s="6">
        <f t="shared" ref="D426:F426" si="851">J426+P426+V426</f>
        <v>25238</v>
      </c>
      <c r="E426" s="6">
        <f t="shared" si="851"/>
        <v>15150</v>
      </c>
      <c r="F426" s="6">
        <f t="shared" si="851"/>
        <v>10088</v>
      </c>
      <c r="H426" s="8" t="s">
        <v>53</v>
      </c>
      <c r="I426" s="8" t="s">
        <v>15</v>
      </c>
      <c r="J426" s="10">
        <f t="shared" si="5"/>
        <v>1623</v>
      </c>
      <c r="K426" s="11">
        <v>1285.0</v>
      </c>
      <c r="L426" s="11">
        <v>338.0</v>
      </c>
      <c r="N426" s="8" t="s">
        <v>53</v>
      </c>
      <c r="O426" s="8" t="s">
        <v>15</v>
      </c>
      <c r="P426" s="10">
        <f t="shared" si="6"/>
        <v>21554</v>
      </c>
      <c r="Q426" s="11">
        <v>12697.0</v>
      </c>
      <c r="R426" s="11">
        <v>8857.0</v>
      </c>
      <c r="T426" s="8" t="s">
        <v>53</v>
      </c>
      <c r="U426" s="9" t="s">
        <v>15</v>
      </c>
      <c r="V426" s="10">
        <f t="shared" si="7"/>
        <v>2061</v>
      </c>
      <c r="W426" s="1">
        <v>1168.0</v>
      </c>
      <c r="X426" s="11">
        <v>893.0</v>
      </c>
    </row>
    <row r="427">
      <c r="B427" s="6" t="str">
        <f t="shared" ref="B427:C427" si="852">H427</f>
        <v>Thongwa</v>
      </c>
      <c r="C427" s="7" t="str">
        <f t="shared" si="852"/>
        <v>40-44</v>
      </c>
      <c r="D427" s="6">
        <f t="shared" ref="D427:F427" si="853">J427+P427+V427</f>
        <v>22997</v>
      </c>
      <c r="E427" s="6">
        <f t="shared" si="853"/>
        <v>13421</v>
      </c>
      <c r="F427" s="6">
        <f t="shared" si="853"/>
        <v>9576</v>
      </c>
      <c r="H427" s="8" t="s">
        <v>53</v>
      </c>
      <c r="I427" s="8" t="s">
        <v>16</v>
      </c>
      <c r="J427" s="10">
        <f t="shared" si="5"/>
        <v>938</v>
      </c>
      <c r="K427" s="11">
        <v>725.0</v>
      </c>
      <c r="L427" s="11">
        <v>213.0</v>
      </c>
      <c r="N427" s="8" t="s">
        <v>53</v>
      </c>
      <c r="O427" s="8" t="s">
        <v>16</v>
      </c>
      <c r="P427" s="10">
        <f t="shared" si="6"/>
        <v>19416</v>
      </c>
      <c r="Q427" s="11">
        <v>11445.0</v>
      </c>
      <c r="R427" s="11">
        <v>7971.0</v>
      </c>
      <c r="T427" s="8" t="s">
        <v>53</v>
      </c>
      <c r="U427" s="9" t="s">
        <v>16</v>
      </c>
      <c r="V427" s="10">
        <f t="shared" si="7"/>
        <v>2643</v>
      </c>
      <c r="W427" s="1">
        <v>1251.0</v>
      </c>
      <c r="X427" s="11">
        <v>1392.0</v>
      </c>
    </row>
    <row r="428">
      <c r="B428" s="6" t="str">
        <f t="shared" ref="B428:C428" si="854">H428</f>
        <v>Thongwa</v>
      </c>
      <c r="C428" s="7" t="str">
        <f t="shared" si="854"/>
        <v>45-49</v>
      </c>
      <c r="D428" s="6">
        <f t="shared" ref="D428:F428" si="855">J428+P428+V428</f>
        <v>15319</v>
      </c>
      <c r="E428" s="6">
        <f t="shared" si="855"/>
        <v>8744</v>
      </c>
      <c r="F428" s="6">
        <f t="shared" si="855"/>
        <v>6575</v>
      </c>
      <c r="H428" s="8" t="s">
        <v>53</v>
      </c>
      <c r="I428" s="8" t="s">
        <v>17</v>
      </c>
      <c r="J428" s="10">
        <f t="shared" si="5"/>
        <v>547</v>
      </c>
      <c r="K428" s="11">
        <v>413.0</v>
      </c>
      <c r="L428" s="11">
        <v>134.0</v>
      </c>
      <c r="N428" s="8" t="s">
        <v>53</v>
      </c>
      <c r="O428" s="8" t="s">
        <v>17</v>
      </c>
      <c r="P428" s="10">
        <f t="shared" si="6"/>
        <v>12509</v>
      </c>
      <c r="Q428" s="11">
        <v>7387.0</v>
      </c>
      <c r="R428" s="11">
        <v>5122.0</v>
      </c>
      <c r="T428" s="8" t="s">
        <v>53</v>
      </c>
      <c r="U428" s="9" t="s">
        <v>17</v>
      </c>
      <c r="V428" s="10">
        <f t="shared" si="7"/>
        <v>2263</v>
      </c>
      <c r="W428" s="1">
        <v>944.0</v>
      </c>
      <c r="X428" s="11">
        <v>1319.0</v>
      </c>
    </row>
    <row r="429">
      <c r="B429" s="6" t="str">
        <f t="shared" ref="B429:C429" si="856">H429</f>
        <v>Thongwa</v>
      </c>
      <c r="C429" s="7" t="str">
        <f t="shared" si="856"/>
        <v>50-54</v>
      </c>
      <c r="D429" s="6">
        <f t="shared" ref="D429:F429" si="857">J429+P429+V429</f>
        <v>16209</v>
      </c>
      <c r="E429" s="6">
        <f t="shared" si="857"/>
        <v>8506</v>
      </c>
      <c r="F429" s="6">
        <f t="shared" si="857"/>
        <v>7703</v>
      </c>
      <c r="H429" s="8" t="s">
        <v>53</v>
      </c>
      <c r="I429" s="8" t="s">
        <v>18</v>
      </c>
      <c r="J429" s="10">
        <f t="shared" si="5"/>
        <v>580</v>
      </c>
      <c r="K429" s="11">
        <v>401.0</v>
      </c>
      <c r="L429" s="11">
        <v>179.0</v>
      </c>
      <c r="N429" s="8" t="s">
        <v>53</v>
      </c>
      <c r="O429" s="8" t="s">
        <v>18</v>
      </c>
      <c r="P429" s="10">
        <f t="shared" si="6"/>
        <v>12156</v>
      </c>
      <c r="Q429" s="11">
        <v>6867.0</v>
      </c>
      <c r="R429" s="11">
        <v>5289.0</v>
      </c>
      <c r="T429" s="8" t="s">
        <v>53</v>
      </c>
      <c r="U429" s="9" t="s">
        <v>18</v>
      </c>
      <c r="V429" s="10">
        <f t="shared" si="7"/>
        <v>3473</v>
      </c>
      <c r="W429" s="1">
        <v>1238.0</v>
      </c>
      <c r="X429" s="11">
        <v>2235.0</v>
      </c>
    </row>
    <row r="430">
      <c r="B430" s="6" t="str">
        <f t="shared" ref="B430:C430" si="858">H430</f>
        <v>Thongwa</v>
      </c>
      <c r="C430" s="7" t="str">
        <f t="shared" si="858"/>
        <v>55-59</v>
      </c>
      <c r="D430" s="6">
        <f t="shared" ref="D430:F430" si="859">J430+P430+V430</f>
        <v>9328</v>
      </c>
      <c r="E430" s="6">
        <f t="shared" si="859"/>
        <v>5003</v>
      </c>
      <c r="F430" s="6">
        <f t="shared" si="859"/>
        <v>4325</v>
      </c>
      <c r="H430" s="8" t="s">
        <v>53</v>
      </c>
      <c r="I430" s="8" t="s">
        <v>19</v>
      </c>
      <c r="J430" s="10">
        <f t="shared" si="5"/>
        <v>274</v>
      </c>
      <c r="K430" s="11">
        <v>196.0</v>
      </c>
      <c r="L430" s="11">
        <v>78.0</v>
      </c>
      <c r="N430" s="8" t="s">
        <v>53</v>
      </c>
      <c r="O430" s="8" t="s">
        <v>19</v>
      </c>
      <c r="P430" s="10">
        <f t="shared" si="6"/>
        <v>6653</v>
      </c>
      <c r="Q430" s="11">
        <v>3944.0</v>
      </c>
      <c r="R430" s="11">
        <v>2709.0</v>
      </c>
      <c r="T430" s="8" t="s">
        <v>53</v>
      </c>
      <c r="U430" s="9" t="s">
        <v>19</v>
      </c>
      <c r="V430" s="10">
        <f t="shared" si="7"/>
        <v>2401</v>
      </c>
      <c r="W430" s="1">
        <v>863.0</v>
      </c>
      <c r="X430" s="11">
        <v>1538.0</v>
      </c>
    </row>
    <row r="431">
      <c r="B431" s="6" t="str">
        <f t="shared" ref="B431:C431" si="860">H431</f>
        <v>Thongwa</v>
      </c>
      <c r="C431" s="7" t="str">
        <f t="shared" si="860"/>
        <v>60+</v>
      </c>
      <c r="D431" s="6">
        <f t="shared" ref="D431:F431" si="861">J431+P431+V431</f>
        <v>22437</v>
      </c>
      <c r="E431" s="6">
        <f t="shared" si="861"/>
        <v>11831</v>
      </c>
      <c r="F431" s="6">
        <f t="shared" si="861"/>
        <v>10606</v>
      </c>
      <c r="H431" s="8" t="s">
        <v>53</v>
      </c>
      <c r="I431" s="8" t="s">
        <v>20</v>
      </c>
      <c r="J431" s="10">
        <f t="shared" si="5"/>
        <v>642</v>
      </c>
      <c r="K431" s="11">
        <v>374.0</v>
      </c>
      <c r="L431" s="11">
        <v>268.0</v>
      </c>
      <c r="N431" s="8" t="s">
        <v>53</v>
      </c>
      <c r="O431" s="8" t="s">
        <v>21</v>
      </c>
      <c r="P431" s="10">
        <f t="shared" si="6"/>
        <v>12188</v>
      </c>
      <c r="Q431" s="11">
        <v>8249.0</v>
      </c>
      <c r="R431" s="11">
        <v>3939.0</v>
      </c>
      <c r="T431" s="8" t="s">
        <v>53</v>
      </c>
      <c r="U431" s="1" t="s">
        <v>21</v>
      </c>
      <c r="V431" s="10">
        <f t="shared" si="7"/>
        <v>9607</v>
      </c>
      <c r="W431" s="1">
        <v>3208.0</v>
      </c>
      <c r="X431" s="11">
        <v>6399.0</v>
      </c>
    </row>
    <row r="432">
      <c r="B432" s="6" t="str">
        <f t="shared" ref="B432:C432" si="862">H432</f>
        <v>Toungoo</v>
      </c>
      <c r="C432" s="7" t="str">
        <f t="shared" si="862"/>
        <v>0-4</v>
      </c>
      <c r="D432" s="6">
        <f t="shared" ref="D432:F432" si="863">J432+P432+V432</f>
        <v>23069</v>
      </c>
      <c r="E432" s="6">
        <f t="shared" si="863"/>
        <v>11512</v>
      </c>
      <c r="F432" s="6">
        <f t="shared" si="863"/>
        <v>11557</v>
      </c>
      <c r="H432" s="8" t="s">
        <v>54</v>
      </c>
      <c r="I432" s="9" t="s">
        <v>10</v>
      </c>
      <c r="J432" s="10">
        <f t="shared" si="5"/>
        <v>23069</v>
      </c>
      <c r="K432" s="11">
        <v>11512.0</v>
      </c>
      <c r="L432" s="11">
        <v>11557.0</v>
      </c>
      <c r="N432" s="8" t="s">
        <v>54</v>
      </c>
      <c r="O432" s="9" t="s">
        <v>10</v>
      </c>
      <c r="P432" s="10">
        <f t="shared" si="6"/>
        <v>0</v>
      </c>
      <c r="Q432" s="11">
        <v>0.0</v>
      </c>
      <c r="R432" s="11">
        <v>0.0</v>
      </c>
      <c r="T432" s="8" t="s">
        <v>54</v>
      </c>
      <c r="U432" s="9" t="s">
        <v>10</v>
      </c>
      <c r="V432" s="10">
        <f t="shared" si="7"/>
        <v>0</v>
      </c>
      <c r="W432" s="11">
        <v>0.0</v>
      </c>
      <c r="X432" s="11">
        <v>0.0</v>
      </c>
    </row>
    <row r="433">
      <c r="B433" s="6" t="str">
        <f t="shared" ref="B433:C433" si="864">H433</f>
        <v>Toungoo</v>
      </c>
      <c r="C433" s="12">
        <f t="shared" si="864"/>
        <v>45786</v>
      </c>
      <c r="D433" s="6">
        <f t="shared" ref="D433:F433" si="865">J433+P433+V433</f>
        <v>23751</v>
      </c>
      <c r="E433" s="6">
        <f t="shared" si="865"/>
        <v>13099</v>
      </c>
      <c r="F433" s="6">
        <f t="shared" si="865"/>
        <v>10652</v>
      </c>
      <c r="H433" s="8" t="s">
        <v>54</v>
      </c>
      <c r="I433" s="13">
        <v>45786.0</v>
      </c>
      <c r="J433" s="10">
        <f t="shared" si="5"/>
        <v>23751</v>
      </c>
      <c r="K433" s="11">
        <v>13099.0</v>
      </c>
      <c r="L433" s="11">
        <v>10652.0</v>
      </c>
      <c r="N433" s="8" t="s">
        <v>54</v>
      </c>
      <c r="O433" s="13">
        <v>45786.0</v>
      </c>
      <c r="P433" s="10">
        <f t="shared" si="6"/>
        <v>0</v>
      </c>
      <c r="Q433" s="11">
        <v>0.0</v>
      </c>
      <c r="R433" s="11">
        <v>0.0</v>
      </c>
      <c r="T433" s="8" t="s">
        <v>54</v>
      </c>
      <c r="U433" s="13">
        <v>45786.0</v>
      </c>
      <c r="V433" s="10">
        <f t="shared" si="7"/>
        <v>0</v>
      </c>
      <c r="W433" s="11">
        <v>0.0</v>
      </c>
      <c r="X433" s="11">
        <v>0.0</v>
      </c>
    </row>
    <row r="434">
      <c r="B434" s="6" t="str">
        <f t="shared" ref="B434:C434" si="866">H434</f>
        <v>Toungoo</v>
      </c>
      <c r="C434" s="12">
        <f t="shared" si="866"/>
        <v>45944</v>
      </c>
      <c r="D434" s="6">
        <f t="shared" ref="D434:F434" si="867">J434+P434+V434</f>
        <v>22482</v>
      </c>
      <c r="E434" s="6">
        <f t="shared" si="867"/>
        <v>13506</v>
      </c>
      <c r="F434" s="6">
        <f t="shared" si="867"/>
        <v>8976</v>
      </c>
      <c r="H434" s="8" t="s">
        <v>54</v>
      </c>
      <c r="I434" s="13">
        <v>45944.0</v>
      </c>
      <c r="J434" s="10">
        <f t="shared" si="5"/>
        <v>22355</v>
      </c>
      <c r="K434" s="11">
        <v>13480.0</v>
      </c>
      <c r="L434" s="11">
        <v>8875.0</v>
      </c>
      <c r="N434" s="8" t="s">
        <v>54</v>
      </c>
      <c r="O434" s="13">
        <v>45944.0</v>
      </c>
      <c r="P434" s="10">
        <f t="shared" si="6"/>
        <v>117</v>
      </c>
      <c r="Q434" s="11">
        <v>24.0</v>
      </c>
      <c r="R434" s="11">
        <v>93.0</v>
      </c>
      <c r="T434" s="8" t="s">
        <v>54</v>
      </c>
      <c r="U434" s="13">
        <v>45944.0</v>
      </c>
      <c r="V434" s="10">
        <f t="shared" si="7"/>
        <v>10</v>
      </c>
      <c r="W434" s="11">
        <v>2.0</v>
      </c>
      <c r="X434" s="11">
        <v>8.0</v>
      </c>
    </row>
    <row r="435">
      <c r="B435" s="6" t="str">
        <f t="shared" ref="B435:C435" si="868">H435</f>
        <v>Toungoo</v>
      </c>
      <c r="C435" s="7" t="str">
        <f t="shared" si="868"/>
        <v>15-19</v>
      </c>
      <c r="D435" s="6">
        <f t="shared" ref="D435:F435" si="869">J435+P435+V435</f>
        <v>16994</v>
      </c>
      <c r="E435" s="6">
        <f t="shared" si="869"/>
        <v>9080</v>
      </c>
      <c r="F435" s="6">
        <f t="shared" si="869"/>
        <v>7914</v>
      </c>
      <c r="H435" s="8" t="s">
        <v>54</v>
      </c>
      <c r="I435" s="9" t="s">
        <v>11</v>
      </c>
      <c r="J435" s="10">
        <f t="shared" si="5"/>
        <v>13624</v>
      </c>
      <c r="K435" s="11">
        <v>8600.0</v>
      </c>
      <c r="L435" s="11">
        <v>5024.0</v>
      </c>
      <c r="N435" s="8" t="s">
        <v>54</v>
      </c>
      <c r="O435" s="9" t="s">
        <v>11</v>
      </c>
      <c r="P435" s="10">
        <f t="shared" si="6"/>
        <v>3141</v>
      </c>
      <c r="Q435" s="11">
        <v>438.0</v>
      </c>
      <c r="R435" s="11">
        <v>2703.0</v>
      </c>
      <c r="T435" s="8" t="s">
        <v>54</v>
      </c>
      <c r="U435" s="8" t="s">
        <v>11</v>
      </c>
      <c r="V435" s="10">
        <f t="shared" si="7"/>
        <v>229</v>
      </c>
      <c r="W435" s="11">
        <v>42.0</v>
      </c>
      <c r="X435" s="11">
        <v>187.0</v>
      </c>
    </row>
    <row r="436">
      <c r="B436" s="6" t="str">
        <f t="shared" ref="B436:C436" si="870">H436</f>
        <v>Toungoo</v>
      </c>
      <c r="C436" s="7" t="str">
        <f t="shared" si="870"/>
        <v>20-24</v>
      </c>
      <c r="D436" s="6">
        <f t="shared" ref="D436:F436" si="871">J436+P436+V436</f>
        <v>14157</v>
      </c>
      <c r="E436" s="6">
        <f t="shared" si="871"/>
        <v>6746</v>
      </c>
      <c r="F436" s="6">
        <f t="shared" si="871"/>
        <v>7411</v>
      </c>
      <c r="H436" s="8" t="s">
        <v>54</v>
      </c>
      <c r="I436" s="9" t="s">
        <v>12</v>
      </c>
      <c r="J436" s="10">
        <f t="shared" si="5"/>
        <v>4726</v>
      </c>
      <c r="K436" s="11">
        <v>3424.0</v>
      </c>
      <c r="L436" s="11">
        <v>1302.0</v>
      </c>
      <c r="N436" s="8" t="s">
        <v>54</v>
      </c>
      <c r="O436" s="9" t="s">
        <v>12</v>
      </c>
      <c r="P436" s="10">
        <f t="shared" si="6"/>
        <v>8856</v>
      </c>
      <c r="Q436" s="1">
        <v>3124.0</v>
      </c>
      <c r="R436" s="11">
        <v>5732.0</v>
      </c>
      <c r="T436" s="8" t="s">
        <v>54</v>
      </c>
      <c r="U436" s="8" t="s">
        <v>12</v>
      </c>
      <c r="V436" s="10">
        <f t="shared" si="7"/>
        <v>575</v>
      </c>
      <c r="W436" s="11">
        <v>198.0</v>
      </c>
      <c r="X436" s="11">
        <v>377.0</v>
      </c>
    </row>
    <row r="437">
      <c r="B437" s="6" t="str">
        <f t="shared" ref="B437:C437" si="872">H437</f>
        <v>Toungoo</v>
      </c>
      <c r="C437" s="7" t="str">
        <f t="shared" si="872"/>
        <v>25-29</v>
      </c>
      <c r="D437" s="6">
        <f t="shared" ref="D437:F437" si="873">J437+P437+V437</f>
        <v>15078</v>
      </c>
      <c r="E437" s="6">
        <f t="shared" si="873"/>
        <v>8152</v>
      </c>
      <c r="F437" s="6">
        <f t="shared" si="873"/>
        <v>6926</v>
      </c>
      <c r="H437" s="8" t="s">
        <v>54</v>
      </c>
      <c r="I437" s="9" t="s">
        <v>13</v>
      </c>
      <c r="J437" s="10">
        <f t="shared" si="5"/>
        <v>3185</v>
      </c>
      <c r="K437" s="11">
        <v>2718.0</v>
      </c>
      <c r="L437" s="11">
        <v>467.0</v>
      </c>
      <c r="N437" s="8" t="s">
        <v>54</v>
      </c>
      <c r="O437" s="9" t="s">
        <v>13</v>
      </c>
      <c r="P437" s="10">
        <f t="shared" si="6"/>
        <v>11264</v>
      </c>
      <c r="Q437" s="11">
        <v>5229.0</v>
      </c>
      <c r="R437" s="11">
        <v>6035.0</v>
      </c>
      <c r="T437" s="8" t="s">
        <v>54</v>
      </c>
      <c r="U437" s="9" t="s">
        <v>13</v>
      </c>
      <c r="V437" s="10">
        <f t="shared" si="7"/>
        <v>629</v>
      </c>
      <c r="W437" s="1">
        <v>205.0</v>
      </c>
      <c r="X437" s="11">
        <v>424.0</v>
      </c>
    </row>
    <row r="438">
      <c r="B438" s="6" t="str">
        <f t="shared" ref="B438:C438" si="874">H438</f>
        <v>Toungoo</v>
      </c>
      <c r="C438" s="7" t="str">
        <f t="shared" si="874"/>
        <v>30-34</v>
      </c>
      <c r="D438" s="6">
        <f t="shared" ref="D438:F438" si="875">J438+P438+V438</f>
        <v>12901</v>
      </c>
      <c r="E438" s="6">
        <f t="shared" si="875"/>
        <v>7210</v>
      </c>
      <c r="F438" s="6">
        <f t="shared" si="875"/>
        <v>5691</v>
      </c>
      <c r="H438" s="8" t="s">
        <v>54</v>
      </c>
      <c r="I438" s="8" t="s">
        <v>14</v>
      </c>
      <c r="J438" s="10">
        <f t="shared" si="5"/>
        <v>919</v>
      </c>
      <c r="K438" s="11">
        <v>721.0</v>
      </c>
      <c r="L438" s="11">
        <v>198.0</v>
      </c>
      <c r="N438" s="8" t="s">
        <v>54</v>
      </c>
      <c r="O438" s="8" t="s">
        <v>14</v>
      </c>
      <c r="P438" s="10">
        <f t="shared" si="6"/>
        <v>11054</v>
      </c>
      <c r="Q438" s="11">
        <v>6114.0</v>
      </c>
      <c r="R438" s="11">
        <v>4940.0</v>
      </c>
      <c r="T438" s="8" t="s">
        <v>54</v>
      </c>
      <c r="U438" s="9" t="s">
        <v>14</v>
      </c>
      <c r="V438" s="10">
        <f t="shared" si="7"/>
        <v>928</v>
      </c>
      <c r="W438" s="1">
        <v>375.0</v>
      </c>
      <c r="X438" s="11">
        <v>553.0</v>
      </c>
    </row>
    <row r="439">
      <c r="B439" s="6" t="str">
        <f t="shared" ref="B439:C439" si="876">H439</f>
        <v>Toungoo</v>
      </c>
      <c r="C439" s="7" t="str">
        <f t="shared" si="876"/>
        <v>35-39</v>
      </c>
      <c r="D439" s="6">
        <f t="shared" ref="D439:F439" si="877">J439+P439+V439</f>
        <v>9332</v>
      </c>
      <c r="E439" s="6">
        <f t="shared" si="877"/>
        <v>5295</v>
      </c>
      <c r="F439" s="6">
        <f t="shared" si="877"/>
        <v>4037</v>
      </c>
      <c r="H439" s="8" t="s">
        <v>54</v>
      </c>
      <c r="I439" s="8" t="s">
        <v>15</v>
      </c>
      <c r="J439" s="10">
        <f t="shared" si="5"/>
        <v>374</v>
      </c>
      <c r="K439" s="11">
        <v>285.0</v>
      </c>
      <c r="L439" s="11">
        <v>89.0</v>
      </c>
      <c r="N439" s="8" t="s">
        <v>54</v>
      </c>
      <c r="O439" s="8" t="s">
        <v>15</v>
      </c>
      <c r="P439" s="10">
        <f t="shared" si="6"/>
        <v>8243</v>
      </c>
      <c r="Q439" s="11">
        <v>4702.0</v>
      </c>
      <c r="R439" s="11">
        <v>3541.0</v>
      </c>
      <c r="T439" s="8" t="s">
        <v>54</v>
      </c>
      <c r="U439" s="9" t="s">
        <v>15</v>
      </c>
      <c r="V439" s="10">
        <f t="shared" si="7"/>
        <v>715</v>
      </c>
      <c r="W439" s="1">
        <v>308.0</v>
      </c>
      <c r="X439" s="11">
        <v>407.0</v>
      </c>
    </row>
    <row r="440">
      <c r="B440" s="6" t="str">
        <f t="shared" ref="B440:C440" si="878">H440</f>
        <v>Toungoo</v>
      </c>
      <c r="C440" s="7" t="str">
        <f t="shared" si="878"/>
        <v>40-44</v>
      </c>
      <c r="D440" s="6">
        <f t="shared" ref="D440:F440" si="879">J440+P440+V440</f>
        <v>9159</v>
      </c>
      <c r="E440" s="6">
        <f t="shared" si="879"/>
        <v>4901</v>
      </c>
      <c r="F440" s="6">
        <f t="shared" si="879"/>
        <v>4258</v>
      </c>
      <c r="H440" s="8" t="s">
        <v>54</v>
      </c>
      <c r="I440" s="8" t="s">
        <v>16</v>
      </c>
      <c r="J440" s="10">
        <f t="shared" si="5"/>
        <v>270</v>
      </c>
      <c r="K440" s="11">
        <v>186.0</v>
      </c>
      <c r="L440" s="11">
        <v>84.0</v>
      </c>
      <c r="N440" s="8" t="s">
        <v>54</v>
      </c>
      <c r="O440" s="8" t="s">
        <v>16</v>
      </c>
      <c r="P440" s="10">
        <f t="shared" si="6"/>
        <v>7688</v>
      </c>
      <c r="Q440" s="11">
        <v>4344.0</v>
      </c>
      <c r="R440" s="11">
        <v>3344.0</v>
      </c>
      <c r="T440" s="8" t="s">
        <v>54</v>
      </c>
      <c r="U440" s="9" t="s">
        <v>16</v>
      </c>
      <c r="V440" s="10">
        <f t="shared" si="7"/>
        <v>1201</v>
      </c>
      <c r="W440" s="1">
        <v>371.0</v>
      </c>
      <c r="X440" s="11">
        <v>830.0</v>
      </c>
    </row>
    <row r="441">
      <c r="B441" s="6" t="str">
        <f t="shared" ref="B441:C441" si="880">H441</f>
        <v>Toungoo</v>
      </c>
      <c r="C441" s="7" t="str">
        <f t="shared" si="880"/>
        <v>45-49</v>
      </c>
      <c r="D441" s="6">
        <f t="shared" ref="D441:F441" si="881">J441+P441+V441</f>
        <v>5852</v>
      </c>
      <c r="E441" s="6">
        <f t="shared" si="881"/>
        <v>3133</v>
      </c>
      <c r="F441" s="6">
        <f t="shared" si="881"/>
        <v>2719</v>
      </c>
      <c r="H441" s="8" t="s">
        <v>54</v>
      </c>
      <c r="I441" s="8" t="s">
        <v>17</v>
      </c>
      <c r="J441" s="10">
        <f t="shared" si="5"/>
        <v>141</v>
      </c>
      <c r="K441" s="11">
        <v>95.0</v>
      </c>
      <c r="L441" s="11">
        <v>46.0</v>
      </c>
      <c r="N441" s="8" t="s">
        <v>54</v>
      </c>
      <c r="O441" s="8" t="s">
        <v>17</v>
      </c>
      <c r="P441" s="10">
        <f t="shared" si="6"/>
        <v>4801</v>
      </c>
      <c r="Q441" s="11">
        <v>2777.0</v>
      </c>
      <c r="R441" s="11">
        <v>2024.0</v>
      </c>
      <c r="T441" s="8" t="s">
        <v>54</v>
      </c>
      <c r="U441" s="9" t="s">
        <v>17</v>
      </c>
      <c r="V441" s="10">
        <f t="shared" si="7"/>
        <v>910</v>
      </c>
      <c r="W441" s="1">
        <v>261.0</v>
      </c>
      <c r="X441" s="11">
        <v>649.0</v>
      </c>
    </row>
    <row r="442">
      <c r="B442" s="6" t="str">
        <f t="shared" ref="B442:C442" si="882">H442</f>
        <v>Toungoo</v>
      </c>
      <c r="C442" s="7" t="str">
        <f t="shared" si="882"/>
        <v>50-54</v>
      </c>
      <c r="D442" s="6">
        <f t="shared" ref="D442:F442" si="883">J442+P442+V442</f>
        <v>6219</v>
      </c>
      <c r="E442" s="6">
        <f t="shared" si="883"/>
        <v>3151</v>
      </c>
      <c r="F442" s="6">
        <f t="shared" si="883"/>
        <v>3068</v>
      </c>
      <c r="H442" s="8" t="s">
        <v>54</v>
      </c>
      <c r="I442" s="8" t="s">
        <v>18</v>
      </c>
      <c r="J442" s="10">
        <f t="shared" si="5"/>
        <v>153</v>
      </c>
      <c r="K442" s="11">
        <v>85.0</v>
      </c>
      <c r="L442" s="11">
        <v>68.0</v>
      </c>
      <c r="N442" s="8" t="s">
        <v>54</v>
      </c>
      <c r="O442" s="8" t="s">
        <v>18</v>
      </c>
      <c r="P442" s="10">
        <f t="shared" si="6"/>
        <v>4527</v>
      </c>
      <c r="Q442" s="11">
        <v>2701.0</v>
      </c>
      <c r="R442" s="11">
        <v>1826.0</v>
      </c>
      <c r="T442" s="8" t="s">
        <v>54</v>
      </c>
      <c r="U442" s="9" t="s">
        <v>18</v>
      </c>
      <c r="V442" s="10">
        <f t="shared" si="7"/>
        <v>1539</v>
      </c>
      <c r="W442" s="1">
        <v>365.0</v>
      </c>
      <c r="X442" s="11">
        <v>1174.0</v>
      </c>
    </row>
    <row r="443">
      <c r="B443" s="6" t="str">
        <f t="shared" ref="B443:C443" si="884">H443</f>
        <v>Toungoo</v>
      </c>
      <c r="C443" s="7" t="str">
        <f t="shared" si="884"/>
        <v>55-59</v>
      </c>
      <c r="D443" s="6">
        <f t="shared" ref="D443:F443" si="885">J443+P443+V443</f>
        <v>3215</v>
      </c>
      <c r="E443" s="6">
        <f t="shared" si="885"/>
        <v>1677</v>
      </c>
      <c r="F443" s="6">
        <f t="shared" si="885"/>
        <v>1538</v>
      </c>
      <c r="H443" s="8" t="s">
        <v>54</v>
      </c>
      <c r="I443" s="8" t="s">
        <v>19</v>
      </c>
      <c r="J443" s="10">
        <f t="shared" si="5"/>
        <v>46</v>
      </c>
      <c r="K443" s="11">
        <v>30.0</v>
      </c>
      <c r="L443" s="11">
        <v>16.0</v>
      </c>
      <c r="N443" s="8" t="s">
        <v>54</v>
      </c>
      <c r="O443" s="8" t="s">
        <v>19</v>
      </c>
      <c r="P443" s="10">
        <f t="shared" si="6"/>
        <v>2261</v>
      </c>
      <c r="Q443" s="11">
        <v>1387.0</v>
      </c>
      <c r="R443" s="11">
        <v>874.0</v>
      </c>
      <c r="T443" s="8" t="s">
        <v>54</v>
      </c>
      <c r="U443" s="9" t="s">
        <v>19</v>
      </c>
      <c r="V443" s="10">
        <f t="shared" si="7"/>
        <v>908</v>
      </c>
      <c r="W443" s="1">
        <v>260.0</v>
      </c>
      <c r="X443" s="11">
        <v>648.0</v>
      </c>
    </row>
    <row r="444">
      <c r="B444" s="6" t="str">
        <f t="shared" ref="B444:C444" si="886">H444</f>
        <v>Toungoo</v>
      </c>
      <c r="C444" s="7" t="str">
        <f t="shared" si="886"/>
        <v>60+</v>
      </c>
      <c r="D444" s="6">
        <f t="shared" ref="D444:F444" si="887">J444+P444+V444</f>
        <v>7669</v>
      </c>
      <c r="E444" s="6">
        <f t="shared" si="887"/>
        <v>3967</v>
      </c>
      <c r="F444" s="6">
        <f t="shared" si="887"/>
        <v>3702</v>
      </c>
      <c r="H444" s="8" t="s">
        <v>54</v>
      </c>
      <c r="I444" s="8" t="s">
        <v>20</v>
      </c>
      <c r="J444" s="10">
        <f t="shared" si="5"/>
        <v>249</v>
      </c>
      <c r="K444" s="11">
        <v>117.0</v>
      </c>
      <c r="L444" s="11">
        <v>132.0</v>
      </c>
      <c r="N444" s="8" t="s">
        <v>54</v>
      </c>
      <c r="O444" s="8" t="s">
        <v>21</v>
      </c>
      <c r="P444" s="10">
        <f t="shared" si="6"/>
        <v>3913</v>
      </c>
      <c r="Q444" s="11">
        <v>2891.0</v>
      </c>
      <c r="R444" s="11">
        <v>1022.0</v>
      </c>
      <c r="T444" s="8" t="s">
        <v>54</v>
      </c>
      <c r="U444" s="8" t="s">
        <v>21</v>
      </c>
      <c r="V444" s="10">
        <f t="shared" si="7"/>
        <v>3507</v>
      </c>
      <c r="W444" s="1">
        <v>959.0</v>
      </c>
      <c r="X444" s="11">
        <v>2548.0</v>
      </c>
    </row>
    <row r="445">
      <c r="B445" s="6" t="str">
        <f t="shared" ref="B445:C445" si="888">H445</f>
        <v>Upper Chindwin</v>
      </c>
      <c r="C445" s="7" t="str">
        <f t="shared" si="888"/>
        <v>0-4</v>
      </c>
      <c r="D445" s="6">
        <f t="shared" ref="D445:F445" si="889">J445+P445+V445</f>
        <v>9135</v>
      </c>
      <c r="E445" s="6">
        <f t="shared" si="889"/>
        <v>4400</v>
      </c>
      <c r="F445" s="6">
        <f t="shared" si="889"/>
        <v>4735</v>
      </c>
      <c r="H445" s="8" t="s">
        <v>55</v>
      </c>
      <c r="I445" s="9" t="s">
        <v>10</v>
      </c>
      <c r="J445" s="10">
        <f t="shared" si="5"/>
        <v>9135</v>
      </c>
      <c r="K445" s="11">
        <v>4400.0</v>
      </c>
      <c r="L445" s="11">
        <v>4735.0</v>
      </c>
      <c r="N445" s="8" t="s">
        <v>55</v>
      </c>
      <c r="O445" s="9" t="s">
        <v>10</v>
      </c>
      <c r="P445" s="10">
        <f t="shared" si="6"/>
        <v>0</v>
      </c>
      <c r="Q445" s="11">
        <v>0.0</v>
      </c>
      <c r="R445" s="11">
        <v>0.0</v>
      </c>
      <c r="T445" s="8" t="s">
        <v>55</v>
      </c>
      <c r="U445" s="9" t="s">
        <v>10</v>
      </c>
      <c r="V445" s="10">
        <f t="shared" si="7"/>
        <v>0</v>
      </c>
      <c r="W445" s="11">
        <v>0.0</v>
      </c>
      <c r="X445" s="11">
        <v>0.0</v>
      </c>
    </row>
    <row r="446">
      <c r="B446" s="6" t="str">
        <f t="shared" ref="B446:C446" si="890">H446</f>
        <v>Upper Chindwin</v>
      </c>
      <c r="C446" s="12">
        <f t="shared" si="890"/>
        <v>45786</v>
      </c>
      <c r="D446" s="6">
        <f t="shared" ref="D446:F446" si="891">J446+P446+V446</f>
        <v>8683</v>
      </c>
      <c r="E446" s="6">
        <f t="shared" si="891"/>
        <v>4248</v>
      </c>
      <c r="F446" s="6">
        <f t="shared" si="891"/>
        <v>4435</v>
      </c>
      <c r="H446" s="8" t="s">
        <v>55</v>
      </c>
      <c r="I446" s="13">
        <v>45786.0</v>
      </c>
      <c r="J446" s="10">
        <f t="shared" si="5"/>
        <v>8683</v>
      </c>
      <c r="K446" s="11">
        <v>4248.0</v>
      </c>
      <c r="L446" s="11">
        <v>4435.0</v>
      </c>
      <c r="N446" s="8" t="s">
        <v>55</v>
      </c>
      <c r="O446" s="13">
        <v>45786.0</v>
      </c>
      <c r="P446" s="10">
        <f t="shared" si="6"/>
        <v>0</v>
      </c>
      <c r="Q446" s="11">
        <v>0.0</v>
      </c>
      <c r="R446" s="11">
        <v>0.0</v>
      </c>
      <c r="T446" s="8" t="s">
        <v>55</v>
      </c>
      <c r="U446" s="13">
        <v>45786.0</v>
      </c>
      <c r="V446" s="10">
        <f t="shared" si="7"/>
        <v>0</v>
      </c>
      <c r="W446" s="11">
        <v>0.0</v>
      </c>
      <c r="X446" s="11">
        <v>0.0</v>
      </c>
    </row>
    <row r="447">
      <c r="B447" s="6" t="str">
        <f t="shared" ref="B447:C447" si="892">H447</f>
        <v>Upper Chindwin</v>
      </c>
      <c r="C447" s="12">
        <f t="shared" si="892"/>
        <v>45944</v>
      </c>
      <c r="D447" s="6">
        <f t="shared" ref="D447:F447" si="893">J447+P447+V447</f>
        <v>8245</v>
      </c>
      <c r="E447" s="6">
        <f t="shared" si="893"/>
        <v>4107</v>
      </c>
      <c r="F447" s="6">
        <f t="shared" si="893"/>
        <v>4138</v>
      </c>
      <c r="H447" s="8" t="s">
        <v>55</v>
      </c>
      <c r="I447" s="13">
        <v>45944.0</v>
      </c>
      <c r="J447" s="10">
        <f t="shared" si="5"/>
        <v>8211</v>
      </c>
      <c r="K447" s="11">
        <v>4101.0</v>
      </c>
      <c r="L447" s="11">
        <v>4110.0</v>
      </c>
      <c r="N447" s="8" t="s">
        <v>55</v>
      </c>
      <c r="O447" s="13">
        <v>45944.0</v>
      </c>
      <c r="P447" s="10">
        <f t="shared" si="6"/>
        <v>34</v>
      </c>
      <c r="Q447" s="11">
        <v>6.0</v>
      </c>
      <c r="R447" s="11">
        <v>28.0</v>
      </c>
      <c r="T447" s="8" t="s">
        <v>55</v>
      </c>
      <c r="U447" s="13">
        <v>45944.0</v>
      </c>
      <c r="V447" s="10">
        <f t="shared" si="7"/>
        <v>0</v>
      </c>
      <c r="W447" s="11">
        <v>0.0</v>
      </c>
      <c r="X447" s="11">
        <v>0.0</v>
      </c>
    </row>
    <row r="448">
      <c r="B448" s="6" t="str">
        <f t="shared" ref="B448:C448" si="894">H448</f>
        <v>Upper Chindwin</v>
      </c>
      <c r="C448" s="7" t="str">
        <f t="shared" si="894"/>
        <v>15-19</v>
      </c>
      <c r="D448" s="6">
        <f t="shared" ref="D448:F448" si="895">J448+P448+V448</f>
        <v>7071</v>
      </c>
      <c r="E448" s="6">
        <f t="shared" si="895"/>
        <v>3426</v>
      </c>
      <c r="F448" s="6">
        <f t="shared" si="895"/>
        <v>3645</v>
      </c>
      <c r="H448" s="8" t="s">
        <v>55</v>
      </c>
      <c r="I448" s="9" t="s">
        <v>11</v>
      </c>
      <c r="J448" s="10">
        <f t="shared" si="5"/>
        <v>5724</v>
      </c>
      <c r="K448" s="11">
        <v>3205.0</v>
      </c>
      <c r="L448" s="11">
        <v>2519.0</v>
      </c>
      <c r="N448" s="8" t="s">
        <v>55</v>
      </c>
      <c r="O448" s="9" t="s">
        <v>11</v>
      </c>
      <c r="P448" s="10">
        <f t="shared" si="6"/>
        <v>1243</v>
      </c>
      <c r="Q448" s="11">
        <v>209.0</v>
      </c>
      <c r="R448" s="11">
        <v>1034.0</v>
      </c>
      <c r="T448" s="8" t="s">
        <v>55</v>
      </c>
      <c r="U448" s="9" t="s">
        <v>11</v>
      </c>
      <c r="V448" s="10">
        <f t="shared" si="7"/>
        <v>104</v>
      </c>
      <c r="W448" s="11">
        <v>12.0</v>
      </c>
      <c r="X448" s="11">
        <v>92.0</v>
      </c>
    </row>
    <row r="449">
      <c r="B449" s="6" t="str">
        <f t="shared" ref="B449:C449" si="896">H449</f>
        <v>Upper Chindwin</v>
      </c>
      <c r="C449" s="7" t="str">
        <f t="shared" si="896"/>
        <v>20-24</v>
      </c>
      <c r="D449" s="6">
        <f t="shared" ref="D449:F449" si="897">J449+P449+V449</f>
        <v>7253</v>
      </c>
      <c r="E449" s="6">
        <f t="shared" si="897"/>
        <v>3868</v>
      </c>
      <c r="F449" s="6">
        <f t="shared" si="897"/>
        <v>3385</v>
      </c>
      <c r="H449" s="8" t="s">
        <v>55</v>
      </c>
      <c r="I449" s="9" t="s">
        <v>12</v>
      </c>
      <c r="J449" s="10">
        <f t="shared" si="5"/>
        <v>3009</v>
      </c>
      <c r="K449" s="11">
        <v>2310.0</v>
      </c>
      <c r="L449" s="11">
        <v>699.0</v>
      </c>
      <c r="N449" s="8" t="s">
        <v>55</v>
      </c>
      <c r="O449" s="9" t="s">
        <v>12</v>
      </c>
      <c r="P449" s="10">
        <f t="shared" si="6"/>
        <v>3870</v>
      </c>
      <c r="Q449" s="11">
        <v>1465.0</v>
      </c>
      <c r="R449" s="11">
        <v>2405.0</v>
      </c>
      <c r="T449" s="8" t="s">
        <v>55</v>
      </c>
      <c r="U449" s="9" t="s">
        <v>12</v>
      </c>
      <c r="V449" s="10">
        <f t="shared" si="7"/>
        <v>374</v>
      </c>
      <c r="W449" s="11">
        <v>93.0</v>
      </c>
      <c r="X449" s="11">
        <v>281.0</v>
      </c>
    </row>
    <row r="450">
      <c r="B450" s="6" t="str">
        <f t="shared" ref="B450:C450" si="898">H450</f>
        <v>Upper Chindwin</v>
      </c>
      <c r="C450" s="7" t="str">
        <f t="shared" si="898"/>
        <v>25-29</v>
      </c>
      <c r="D450" s="6">
        <f t="shared" ref="D450:F450" si="899">J450+P450+V450</f>
        <v>6938</v>
      </c>
      <c r="E450" s="6">
        <f t="shared" si="899"/>
        <v>3551</v>
      </c>
      <c r="F450" s="6">
        <f t="shared" si="899"/>
        <v>3387</v>
      </c>
      <c r="H450" s="8" t="s">
        <v>55</v>
      </c>
      <c r="I450" s="9" t="s">
        <v>13</v>
      </c>
      <c r="J450" s="10">
        <f t="shared" si="5"/>
        <v>1180</v>
      </c>
      <c r="K450" s="11">
        <v>961.0</v>
      </c>
      <c r="L450" s="11">
        <v>219.0</v>
      </c>
      <c r="N450" s="8" t="s">
        <v>55</v>
      </c>
      <c r="O450" s="9" t="s">
        <v>13</v>
      </c>
      <c r="P450" s="10">
        <f t="shared" si="6"/>
        <v>5294</v>
      </c>
      <c r="Q450" s="11">
        <v>2436.0</v>
      </c>
      <c r="R450" s="11">
        <v>2858.0</v>
      </c>
      <c r="T450" s="1" t="s">
        <v>55</v>
      </c>
      <c r="U450" s="1" t="s">
        <v>13</v>
      </c>
      <c r="V450" s="10">
        <f t="shared" si="7"/>
        <v>464</v>
      </c>
      <c r="W450" s="1">
        <v>154.0</v>
      </c>
      <c r="X450" s="1">
        <v>310.0</v>
      </c>
    </row>
    <row r="451">
      <c r="B451" s="6" t="str">
        <f t="shared" ref="B451:C451" si="900">H451</f>
        <v>Upper Chindwin</v>
      </c>
      <c r="C451" s="7" t="str">
        <f t="shared" si="900"/>
        <v>30-34</v>
      </c>
      <c r="D451" s="6">
        <f t="shared" ref="D451:F451" si="901">J451+P451+V451</f>
        <v>6517</v>
      </c>
      <c r="E451" s="6">
        <f t="shared" si="901"/>
        <v>3433</v>
      </c>
      <c r="F451" s="6">
        <f t="shared" si="901"/>
        <v>3084</v>
      </c>
      <c r="H451" s="8" t="s">
        <v>55</v>
      </c>
      <c r="I451" s="8" t="s">
        <v>14</v>
      </c>
      <c r="J451" s="10">
        <f t="shared" si="5"/>
        <v>483</v>
      </c>
      <c r="K451" s="11">
        <v>373.0</v>
      </c>
      <c r="L451" s="11">
        <v>110.0</v>
      </c>
      <c r="N451" s="8" t="s">
        <v>55</v>
      </c>
      <c r="O451" s="8" t="s">
        <v>14</v>
      </c>
      <c r="P451" s="10">
        <f t="shared" si="6"/>
        <v>5434</v>
      </c>
      <c r="Q451" s="11">
        <v>2871.0</v>
      </c>
      <c r="R451" s="11">
        <v>2563.0</v>
      </c>
      <c r="T451" s="1" t="s">
        <v>55</v>
      </c>
      <c r="U451" s="1" t="s">
        <v>14</v>
      </c>
      <c r="V451" s="10">
        <f t="shared" si="7"/>
        <v>600</v>
      </c>
      <c r="W451" s="1">
        <v>189.0</v>
      </c>
      <c r="X451" s="1">
        <v>411.0</v>
      </c>
    </row>
    <row r="452">
      <c r="B452" s="6" t="str">
        <f t="shared" ref="B452:C452" si="902">H452</f>
        <v>Upper Chindwin</v>
      </c>
      <c r="C452" s="7" t="str">
        <f t="shared" si="902"/>
        <v>35-39</v>
      </c>
      <c r="D452" s="6">
        <f t="shared" ref="D452:F452" si="903">J452+P452+V452</f>
        <v>5137</v>
      </c>
      <c r="E452" s="6">
        <f t="shared" si="903"/>
        <v>2814</v>
      </c>
      <c r="F452" s="6">
        <f t="shared" si="903"/>
        <v>2323</v>
      </c>
      <c r="H452" s="8" t="s">
        <v>55</v>
      </c>
      <c r="I452" s="8" t="s">
        <v>15</v>
      </c>
      <c r="J452" s="10">
        <f t="shared" si="5"/>
        <v>231</v>
      </c>
      <c r="K452" s="11">
        <v>161.0</v>
      </c>
      <c r="L452" s="11">
        <v>70.0</v>
      </c>
      <c r="N452" s="8" t="s">
        <v>55</v>
      </c>
      <c r="O452" s="8" t="s">
        <v>15</v>
      </c>
      <c r="P452" s="10">
        <f t="shared" si="6"/>
        <v>4378</v>
      </c>
      <c r="Q452" s="11">
        <v>2488.0</v>
      </c>
      <c r="R452" s="11">
        <v>1890.0</v>
      </c>
      <c r="T452" s="1" t="s">
        <v>55</v>
      </c>
      <c r="U452" s="1" t="s">
        <v>15</v>
      </c>
      <c r="V452" s="10">
        <f t="shared" si="7"/>
        <v>528</v>
      </c>
      <c r="W452" s="1">
        <v>165.0</v>
      </c>
      <c r="X452" s="1">
        <v>363.0</v>
      </c>
    </row>
    <row r="453">
      <c r="B453" s="6" t="str">
        <f t="shared" ref="B453:C453" si="904">H453</f>
        <v>Upper Chindwin</v>
      </c>
      <c r="C453" s="7" t="str">
        <f t="shared" si="904"/>
        <v>40-44</v>
      </c>
      <c r="D453" s="6">
        <f t="shared" ref="D453:F453" si="905">J453+P453+V453</f>
        <v>4388</v>
      </c>
      <c r="E453" s="6">
        <f t="shared" si="905"/>
        <v>2293</v>
      </c>
      <c r="F453" s="6">
        <f t="shared" si="905"/>
        <v>2095</v>
      </c>
      <c r="H453" s="8" t="s">
        <v>55</v>
      </c>
      <c r="I453" s="8" t="s">
        <v>16</v>
      </c>
      <c r="J453" s="10">
        <f t="shared" si="5"/>
        <v>146</v>
      </c>
      <c r="K453" s="11">
        <v>100.0</v>
      </c>
      <c r="L453" s="11">
        <v>46.0</v>
      </c>
      <c r="N453" s="8" t="s">
        <v>55</v>
      </c>
      <c r="O453" s="8" t="s">
        <v>16</v>
      </c>
      <c r="P453" s="10">
        <f t="shared" si="6"/>
        <v>3548</v>
      </c>
      <c r="Q453" s="11">
        <v>2010.0</v>
      </c>
      <c r="R453" s="11">
        <v>1538.0</v>
      </c>
      <c r="T453" s="1" t="s">
        <v>55</v>
      </c>
      <c r="U453" s="1" t="s">
        <v>16</v>
      </c>
      <c r="V453" s="10">
        <f t="shared" si="7"/>
        <v>694</v>
      </c>
      <c r="W453" s="1">
        <v>183.0</v>
      </c>
      <c r="X453" s="1">
        <v>511.0</v>
      </c>
    </row>
    <row r="454">
      <c r="B454" s="6" t="str">
        <f t="shared" ref="B454:C454" si="906">H454</f>
        <v>Upper Chindwin</v>
      </c>
      <c r="C454" s="7" t="str">
        <f t="shared" si="906"/>
        <v>45-49</v>
      </c>
      <c r="D454" s="6">
        <f t="shared" ref="D454:F454" si="907">J454+P454+V454</f>
        <v>3003</v>
      </c>
      <c r="E454" s="6">
        <f t="shared" si="907"/>
        <v>1592</v>
      </c>
      <c r="F454" s="6">
        <f t="shared" si="907"/>
        <v>1411</v>
      </c>
      <c r="H454" s="8" t="s">
        <v>55</v>
      </c>
      <c r="I454" s="8" t="s">
        <v>17</v>
      </c>
      <c r="J454" s="10">
        <f t="shared" si="5"/>
        <v>96</v>
      </c>
      <c r="K454" s="11">
        <v>65.0</v>
      </c>
      <c r="L454" s="11">
        <v>31.0</v>
      </c>
      <c r="N454" s="8" t="s">
        <v>55</v>
      </c>
      <c r="O454" s="8" t="s">
        <v>17</v>
      </c>
      <c r="P454" s="10">
        <f t="shared" si="6"/>
        <v>2321</v>
      </c>
      <c r="Q454" s="11">
        <v>1369.0</v>
      </c>
      <c r="R454" s="11">
        <v>952.0</v>
      </c>
      <c r="T454" s="1" t="s">
        <v>55</v>
      </c>
      <c r="U454" s="1" t="s">
        <v>17</v>
      </c>
      <c r="V454" s="10">
        <f t="shared" si="7"/>
        <v>586</v>
      </c>
      <c r="W454" s="1">
        <v>158.0</v>
      </c>
      <c r="X454" s="1">
        <v>428.0</v>
      </c>
    </row>
    <row r="455">
      <c r="B455" s="6" t="str">
        <f t="shared" ref="B455:C455" si="908">H455</f>
        <v>Upper Chindwin</v>
      </c>
      <c r="C455" s="7" t="str">
        <f t="shared" si="908"/>
        <v>50-54</v>
      </c>
      <c r="D455" s="6">
        <f t="shared" ref="D455:F455" si="909">J455+P455+V455</f>
        <v>2961</v>
      </c>
      <c r="E455" s="6">
        <f t="shared" si="909"/>
        <v>1408</v>
      </c>
      <c r="F455" s="6">
        <f t="shared" si="909"/>
        <v>1553</v>
      </c>
      <c r="H455" s="8" t="s">
        <v>55</v>
      </c>
      <c r="I455" s="8" t="s">
        <v>18</v>
      </c>
      <c r="J455" s="10">
        <f t="shared" si="5"/>
        <v>104</v>
      </c>
      <c r="K455" s="11">
        <v>59.0</v>
      </c>
      <c r="L455" s="11">
        <v>45.0</v>
      </c>
      <c r="N455" s="8" t="s">
        <v>55</v>
      </c>
      <c r="O455" s="8" t="s">
        <v>18</v>
      </c>
      <c r="P455" s="10">
        <f t="shared" si="6"/>
        <v>1961</v>
      </c>
      <c r="Q455" s="11">
        <v>1155.0</v>
      </c>
      <c r="R455" s="11">
        <v>806.0</v>
      </c>
      <c r="T455" s="1" t="s">
        <v>55</v>
      </c>
      <c r="U455" s="1" t="s">
        <v>18</v>
      </c>
      <c r="V455" s="10">
        <f t="shared" si="7"/>
        <v>896</v>
      </c>
      <c r="W455" s="1">
        <v>194.0</v>
      </c>
      <c r="X455" s="1">
        <v>702.0</v>
      </c>
    </row>
    <row r="456">
      <c r="B456" s="6" t="str">
        <f t="shared" ref="B456:C456" si="910">H456</f>
        <v>Upper Chindwin</v>
      </c>
      <c r="C456" s="7" t="str">
        <f t="shared" si="910"/>
        <v>55-59</v>
      </c>
      <c r="D456" s="6">
        <f t="shared" ref="D456:F456" si="911">J456+P456+V456</f>
        <v>1693</v>
      </c>
      <c r="E456" s="6">
        <f t="shared" si="911"/>
        <v>853</v>
      </c>
      <c r="F456" s="6">
        <f t="shared" si="911"/>
        <v>840</v>
      </c>
      <c r="H456" s="8" t="s">
        <v>55</v>
      </c>
      <c r="I456" s="8" t="s">
        <v>19</v>
      </c>
      <c r="J456" s="10">
        <f t="shared" si="5"/>
        <v>77</v>
      </c>
      <c r="K456" s="11">
        <v>48.0</v>
      </c>
      <c r="L456" s="11">
        <v>29.0</v>
      </c>
      <c r="N456" s="8" t="s">
        <v>55</v>
      </c>
      <c r="O456" s="8" t="s">
        <v>19</v>
      </c>
      <c r="P456" s="10">
        <f t="shared" si="6"/>
        <v>1031</v>
      </c>
      <c r="Q456" s="11">
        <v>645.0</v>
      </c>
      <c r="R456" s="11">
        <v>386.0</v>
      </c>
      <c r="T456" s="1" t="s">
        <v>55</v>
      </c>
      <c r="U456" s="1" t="s">
        <v>19</v>
      </c>
      <c r="V456" s="10">
        <f t="shared" si="7"/>
        <v>585</v>
      </c>
      <c r="W456" s="1">
        <v>160.0</v>
      </c>
      <c r="X456" s="1">
        <v>425.0</v>
      </c>
    </row>
    <row r="457">
      <c r="B457" s="6" t="str">
        <f t="shared" ref="B457:C457" si="912">H457</f>
        <v>Upper Chindwin</v>
      </c>
      <c r="C457" s="7" t="str">
        <f t="shared" si="912"/>
        <v>60+</v>
      </c>
      <c r="D457" s="6">
        <f t="shared" ref="D457:F457" si="913">J457+P457+V457</f>
        <v>4741</v>
      </c>
      <c r="E457" s="6">
        <f t="shared" si="913"/>
        <v>2100</v>
      </c>
      <c r="F457" s="6">
        <f t="shared" si="913"/>
        <v>2641</v>
      </c>
      <c r="H457" s="8" t="s">
        <v>55</v>
      </c>
      <c r="I457" s="8" t="s">
        <v>20</v>
      </c>
      <c r="J457" s="10">
        <f t="shared" si="5"/>
        <v>150</v>
      </c>
      <c r="K457" s="11">
        <v>75.0</v>
      </c>
      <c r="L457" s="11">
        <v>75.0</v>
      </c>
      <c r="N457" s="8" t="s">
        <v>55</v>
      </c>
      <c r="O457" s="8" t="s">
        <v>21</v>
      </c>
      <c r="P457" s="10">
        <f t="shared" si="6"/>
        <v>1924</v>
      </c>
      <c r="Q457" s="11">
        <v>1345.0</v>
      </c>
      <c r="R457" s="11">
        <v>579.0</v>
      </c>
      <c r="T457" s="1" t="s">
        <v>55</v>
      </c>
      <c r="U457" s="1" t="s">
        <v>21</v>
      </c>
      <c r="V457" s="10">
        <f t="shared" si="7"/>
        <v>2667</v>
      </c>
      <c r="W457" s="1">
        <v>680.0</v>
      </c>
      <c r="X457" s="1">
        <v>1987.0</v>
      </c>
    </row>
    <row r="458">
      <c r="B458" s="6" t="str">
        <f t="shared" ref="B458:C458" si="914">H458</f>
        <v>Yamèthin</v>
      </c>
      <c r="C458" s="7" t="str">
        <f t="shared" si="914"/>
        <v>0-4</v>
      </c>
      <c r="D458" s="6">
        <f t="shared" ref="D458:F458" si="915">J458+P458+V458</f>
        <v>22413</v>
      </c>
      <c r="E458" s="6">
        <f t="shared" si="915"/>
        <v>10715</v>
      </c>
      <c r="F458" s="6">
        <f t="shared" si="915"/>
        <v>11698</v>
      </c>
      <c r="H458" s="8" t="s">
        <v>56</v>
      </c>
      <c r="I458" s="9" t="s">
        <v>10</v>
      </c>
      <c r="J458" s="10">
        <f t="shared" si="5"/>
        <v>22413</v>
      </c>
      <c r="K458" s="11">
        <v>10715.0</v>
      </c>
      <c r="L458" s="11">
        <v>11698.0</v>
      </c>
      <c r="N458" s="8" t="s">
        <v>56</v>
      </c>
      <c r="O458" s="9" t="s">
        <v>10</v>
      </c>
      <c r="P458" s="10">
        <f t="shared" si="6"/>
        <v>0</v>
      </c>
      <c r="Q458" s="11">
        <v>0.0</v>
      </c>
      <c r="R458" s="11">
        <v>0.0</v>
      </c>
      <c r="T458" s="8" t="s">
        <v>56</v>
      </c>
      <c r="U458" s="9" t="s">
        <v>10</v>
      </c>
      <c r="V458" s="10">
        <f t="shared" si="7"/>
        <v>0</v>
      </c>
      <c r="W458" s="11">
        <v>0.0</v>
      </c>
      <c r="X458" s="11">
        <v>0.0</v>
      </c>
    </row>
    <row r="459">
      <c r="B459" s="6" t="str">
        <f t="shared" ref="B459:C459" si="916">H459</f>
        <v>Yamèthin</v>
      </c>
      <c r="C459" s="12">
        <f t="shared" si="916"/>
        <v>45786</v>
      </c>
      <c r="D459" s="6">
        <f t="shared" ref="D459:F459" si="917">J459+P459+V459</f>
        <v>21976</v>
      </c>
      <c r="E459" s="6">
        <f t="shared" si="917"/>
        <v>10927</v>
      </c>
      <c r="F459" s="6">
        <f t="shared" si="917"/>
        <v>11049</v>
      </c>
      <c r="H459" s="8" t="s">
        <v>56</v>
      </c>
      <c r="I459" s="13">
        <v>45786.0</v>
      </c>
      <c r="J459" s="10">
        <f t="shared" si="5"/>
        <v>21976</v>
      </c>
      <c r="K459" s="11">
        <v>10927.0</v>
      </c>
      <c r="L459" s="11">
        <v>11049.0</v>
      </c>
      <c r="N459" s="8" t="s">
        <v>56</v>
      </c>
      <c r="O459" s="13">
        <v>45786.0</v>
      </c>
      <c r="P459" s="10">
        <f t="shared" si="6"/>
        <v>0</v>
      </c>
      <c r="Q459" s="11">
        <v>0.0</v>
      </c>
      <c r="R459" s="11">
        <v>0.0</v>
      </c>
      <c r="T459" s="8" t="s">
        <v>56</v>
      </c>
      <c r="U459" s="13">
        <v>45786.0</v>
      </c>
      <c r="V459" s="10">
        <f t="shared" si="7"/>
        <v>0</v>
      </c>
      <c r="W459" s="11">
        <v>0.0</v>
      </c>
      <c r="X459" s="11">
        <v>0.0</v>
      </c>
    </row>
    <row r="460">
      <c r="B460" s="6" t="str">
        <f t="shared" ref="B460:C460" si="918">H460</f>
        <v>Yamèthin</v>
      </c>
      <c r="C460" s="12">
        <f t="shared" si="918"/>
        <v>45944</v>
      </c>
      <c r="D460" s="6">
        <f t="shared" ref="D460:F460" si="919">J460+P460+V460</f>
        <v>21152</v>
      </c>
      <c r="E460" s="6">
        <f t="shared" si="919"/>
        <v>10418</v>
      </c>
      <c r="F460" s="6">
        <f t="shared" si="919"/>
        <v>10734</v>
      </c>
      <c r="H460" s="8" t="s">
        <v>56</v>
      </c>
      <c r="I460" s="13">
        <v>45944.0</v>
      </c>
      <c r="J460" s="10">
        <f t="shared" si="5"/>
        <v>21097</v>
      </c>
      <c r="K460" s="11">
        <v>10400.0</v>
      </c>
      <c r="L460" s="11">
        <v>10697.0</v>
      </c>
      <c r="N460" s="8" t="s">
        <v>56</v>
      </c>
      <c r="O460" s="13">
        <v>45944.0</v>
      </c>
      <c r="P460" s="10">
        <f t="shared" si="6"/>
        <v>52</v>
      </c>
      <c r="Q460" s="11">
        <v>17.0</v>
      </c>
      <c r="R460" s="11">
        <v>35.0</v>
      </c>
      <c r="T460" s="8" t="s">
        <v>56</v>
      </c>
      <c r="U460" s="13">
        <v>45944.0</v>
      </c>
      <c r="V460" s="10">
        <f t="shared" si="7"/>
        <v>3</v>
      </c>
      <c r="W460" s="11">
        <v>1.0</v>
      </c>
      <c r="X460" s="11">
        <v>2.0</v>
      </c>
    </row>
    <row r="461">
      <c r="B461" s="6" t="str">
        <f t="shared" ref="B461:C461" si="920">H461</f>
        <v>Yamèthin</v>
      </c>
      <c r="C461" s="7" t="str">
        <f t="shared" si="920"/>
        <v>15-19</v>
      </c>
      <c r="D461" s="6">
        <f t="shared" ref="D461:F461" si="921">J461+P461+V461</f>
        <v>15407</v>
      </c>
      <c r="E461" s="6">
        <f t="shared" si="921"/>
        <v>7242</v>
      </c>
      <c r="F461" s="6">
        <f t="shared" si="921"/>
        <v>8165</v>
      </c>
      <c r="H461" s="8" t="s">
        <v>56</v>
      </c>
      <c r="I461" s="9" t="s">
        <v>11</v>
      </c>
      <c r="J461" s="10">
        <f t="shared" si="5"/>
        <v>13549</v>
      </c>
      <c r="K461" s="11">
        <v>6939.0</v>
      </c>
      <c r="L461" s="11">
        <v>6610.0</v>
      </c>
      <c r="N461" s="8" t="s">
        <v>56</v>
      </c>
      <c r="O461" s="9" t="s">
        <v>11</v>
      </c>
      <c r="P461" s="10">
        <f t="shared" si="6"/>
        <v>1670</v>
      </c>
      <c r="Q461" s="11">
        <v>281.0</v>
      </c>
      <c r="R461" s="11">
        <v>1389.0</v>
      </c>
      <c r="T461" s="8" t="s">
        <v>56</v>
      </c>
      <c r="U461" s="9" t="s">
        <v>11</v>
      </c>
      <c r="V461" s="10">
        <f t="shared" si="7"/>
        <v>188</v>
      </c>
      <c r="W461" s="11">
        <v>22.0</v>
      </c>
      <c r="X461" s="11">
        <v>166.0</v>
      </c>
    </row>
    <row r="462">
      <c r="B462" s="6" t="str">
        <f t="shared" ref="B462:C462" si="922">H462</f>
        <v>Yamèthin</v>
      </c>
      <c r="C462" s="7" t="str">
        <f t="shared" si="922"/>
        <v>20-24</v>
      </c>
      <c r="D462" s="6">
        <f t="shared" ref="D462:F462" si="923">J462+P462+V462</f>
        <v>13503</v>
      </c>
      <c r="E462" s="6">
        <f t="shared" si="923"/>
        <v>6625</v>
      </c>
      <c r="F462" s="6">
        <f t="shared" si="923"/>
        <v>6878</v>
      </c>
      <c r="H462" s="8" t="s">
        <v>56</v>
      </c>
      <c r="I462" s="9" t="s">
        <v>12</v>
      </c>
      <c r="J462" s="10">
        <f t="shared" si="5"/>
        <v>6583</v>
      </c>
      <c r="K462" s="11">
        <v>4209.0</v>
      </c>
      <c r="L462" s="11">
        <v>2374.0</v>
      </c>
      <c r="N462" s="8" t="s">
        <v>56</v>
      </c>
      <c r="O462" s="9" t="s">
        <v>12</v>
      </c>
      <c r="P462" s="10">
        <f t="shared" si="6"/>
        <v>6301</v>
      </c>
      <c r="Q462" s="11">
        <v>2269.0</v>
      </c>
      <c r="R462" s="11">
        <v>4032.0</v>
      </c>
      <c r="T462" s="8" t="s">
        <v>56</v>
      </c>
      <c r="U462" s="9" t="s">
        <v>12</v>
      </c>
      <c r="V462" s="10">
        <f t="shared" si="7"/>
        <v>619</v>
      </c>
      <c r="W462" s="11">
        <v>147.0</v>
      </c>
      <c r="X462" s="11">
        <v>472.0</v>
      </c>
    </row>
    <row r="463">
      <c r="B463" s="6" t="str">
        <f t="shared" ref="B463:C463" si="924">H463</f>
        <v>Yamèthin</v>
      </c>
      <c r="C463" s="7" t="str">
        <f t="shared" si="924"/>
        <v>25-29</v>
      </c>
      <c r="D463" s="6">
        <f t="shared" ref="D463:F463" si="925">J463+P463+V463</f>
        <v>11571</v>
      </c>
      <c r="E463" s="6">
        <f t="shared" si="925"/>
        <v>5676</v>
      </c>
      <c r="F463" s="6">
        <f t="shared" si="925"/>
        <v>5895</v>
      </c>
      <c r="H463" s="8" t="s">
        <v>56</v>
      </c>
      <c r="I463" s="9" t="s">
        <v>13</v>
      </c>
      <c r="J463" s="10">
        <f t="shared" si="5"/>
        <v>2546</v>
      </c>
      <c r="K463" s="11">
        <v>1760.0</v>
      </c>
      <c r="L463" s="11">
        <v>786.0</v>
      </c>
      <c r="N463" s="8" t="s">
        <v>56</v>
      </c>
      <c r="O463" s="9" t="s">
        <v>13</v>
      </c>
      <c r="P463" s="10">
        <f t="shared" si="6"/>
        <v>8309</v>
      </c>
      <c r="Q463" s="11">
        <v>3722.0</v>
      </c>
      <c r="R463" s="11">
        <v>4587.0</v>
      </c>
      <c r="T463" s="1" t="s">
        <v>56</v>
      </c>
      <c r="U463" s="1" t="s">
        <v>13</v>
      </c>
      <c r="V463" s="10">
        <f t="shared" si="7"/>
        <v>716</v>
      </c>
      <c r="W463" s="1">
        <v>194.0</v>
      </c>
      <c r="X463" s="1">
        <v>522.0</v>
      </c>
    </row>
    <row r="464">
      <c r="B464" s="6" t="str">
        <f t="shared" ref="B464:C464" si="926">H464</f>
        <v>Yamèthin</v>
      </c>
      <c r="C464" s="7" t="str">
        <f t="shared" si="926"/>
        <v>30-34</v>
      </c>
      <c r="D464" s="6">
        <f t="shared" ref="D464:F464" si="927">J464+P464+V464</f>
        <v>10676</v>
      </c>
      <c r="E464" s="6">
        <f t="shared" si="927"/>
        <v>5224</v>
      </c>
      <c r="F464" s="6">
        <f t="shared" si="927"/>
        <v>5452</v>
      </c>
      <c r="H464" s="8" t="s">
        <v>56</v>
      </c>
      <c r="I464" s="8" t="s">
        <v>14</v>
      </c>
      <c r="J464" s="10">
        <f t="shared" si="5"/>
        <v>1076</v>
      </c>
      <c r="K464" s="11">
        <v>711.0</v>
      </c>
      <c r="L464" s="11">
        <v>365.0</v>
      </c>
      <c r="N464" s="8" t="s">
        <v>56</v>
      </c>
      <c r="O464" s="8" t="s">
        <v>14</v>
      </c>
      <c r="P464" s="10">
        <f t="shared" si="6"/>
        <v>8776</v>
      </c>
      <c r="Q464" s="11">
        <v>4266.0</v>
      </c>
      <c r="R464" s="11">
        <v>4510.0</v>
      </c>
      <c r="T464" s="1" t="s">
        <v>56</v>
      </c>
      <c r="U464" s="1" t="s">
        <v>14</v>
      </c>
      <c r="V464" s="10">
        <f t="shared" si="7"/>
        <v>824</v>
      </c>
      <c r="W464" s="1">
        <v>247.0</v>
      </c>
      <c r="X464" s="1">
        <v>577.0</v>
      </c>
    </row>
    <row r="465">
      <c r="B465" s="6" t="str">
        <f t="shared" ref="B465:C465" si="928">H465</f>
        <v>Yamèthin</v>
      </c>
      <c r="C465" s="7" t="str">
        <f t="shared" si="928"/>
        <v>35-39</v>
      </c>
      <c r="D465" s="6">
        <f t="shared" ref="D465:F465" si="929">J465+P465+V465</f>
        <v>9860</v>
      </c>
      <c r="E465" s="6">
        <f t="shared" si="929"/>
        <v>5020</v>
      </c>
      <c r="F465" s="6">
        <f t="shared" si="929"/>
        <v>4840</v>
      </c>
      <c r="H465" s="8" t="s">
        <v>56</v>
      </c>
      <c r="I465" s="8" t="s">
        <v>15</v>
      </c>
      <c r="J465" s="10">
        <f t="shared" si="5"/>
        <v>592</v>
      </c>
      <c r="K465" s="11">
        <v>376.0</v>
      </c>
      <c r="L465" s="11">
        <v>216.0</v>
      </c>
      <c r="N465" s="8" t="s">
        <v>56</v>
      </c>
      <c r="O465" s="8" t="s">
        <v>15</v>
      </c>
      <c r="P465" s="10">
        <f t="shared" si="6"/>
        <v>8402</v>
      </c>
      <c r="Q465" s="11">
        <v>4407.0</v>
      </c>
      <c r="R465" s="11">
        <v>3995.0</v>
      </c>
      <c r="T465" s="1" t="s">
        <v>56</v>
      </c>
      <c r="U465" s="1" t="s">
        <v>15</v>
      </c>
      <c r="V465" s="10">
        <f t="shared" si="7"/>
        <v>866</v>
      </c>
      <c r="W465" s="1">
        <v>237.0</v>
      </c>
      <c r="X465" s="1">
        <v>629.0</v>
      </c>
    </row>
    <row r="466">
      <c r="B466" s="6" t="str">
        <f t="shared" ref="B466:C466" si="930">H466</f>
        <v>Yamèthin</v>
      </c>
      <c r="C466" s="7" t="str">
        <f t="shared" si="930"/>
        <v>40-44</v>
      </c>
      <c r="D466" s="6">
        <f t="shared" ref="D466:F466" si="931">J466+P466+V466</f>
        <v>8467</v>
      </c>
      <c r="E466" s="6">
        <f t="shared" si="931"/>
        <v>4252</v>
      </c>
      <c r="F466" s="6">
        <f t="shared" si="931"/>
        <v>4215</v>
      </c>
      <c r="H466" s="8" t="s">
        <v>56</v>
      </c>
      <c r="I466" s="8" t="s">
        <v>16</v>
      </c>
      <c r="J466" s="10">
        <f t="shared" si="5"/>
        <v>393</v>
      </c>
      <c r="K466" s="11">
        <v>227.0</v>
      </c>
      <c r="L466" s="11">
        <v>166.0</v>
      </c>
      <c r="N466" s="8" t="s">
        <v>56</v>
      </c>
      <c r="O466" s="8" t="s">
        <v>16</v>
      </c>
      <c r="P466" s="10">
        <f t="shared" si="6"/>
        <v>7001</v>
      </c>
      <c r="Q466" s="11">
        <v>3762.0</v>
      </c>
      <c r="R466" s="11">
        <v>3239.0</v>
      </c>
      <c r="T466" s="1" t="s">
        <v>56</v>
      </c>
      <c r="U466" s="1" t="s">
        <v>16</v>
      </c>
      <c r="V466" s="10">
        <f t="shared" si="7"/>
        <v>1073</v>
      </c>
      <c r="W466" s="1">
        <v>263.0</v>
      </c>
      <c r="X466" s="1">
        <v>810.0</v>
      </c>
    </row>
    <row r="467">
      <c r="B467" s="6" t="str">
        <f t="shared" ref="B467:C467" si="932">H467</f>
        <v>Yamèthin</v>
      </c>
      <c r="C467" s="7" t="str">
        <f t="shared" si="932"/>
        <v>45-49</v>
      </c>
      <c r="D467" s="6">
        <f t="shared" ref="D467:F467" si="933">J467+P467+V467</f>
        <v>5564</v>
      </c>
      <c r="E467" s="6">
        <f t="shared" si="933"/>
        <v>2852</v>
      </c>
      <c r="F467" s="6">
        <f t="shared" si="933"/>
        <v>2712</v>
      </c>
      <c r="H467" s="8" t="s">
        <v>56</v>
      </c>
      <c r="I467" s="8" t="s">
        <v>17</v>
      </c>
      <c r="J467" s="10">
        <f t="shared" si="5"/>
        <v>207</v>
      </c>
      <c r="K467" s="11">
        <v>124.0</v>
      </c>
      <c r="L467" s="11">
        <v>83.0</v>
      </c>
      <c r="N467" s="8" t="s">
        <v>56</v>
      </c>
      <c r="O467" s="8" t="s">
        <v>17</v>
      </c>
      <c r="P467" s="10">
        <f t="shared" si="6"/>
        <v>4519</v>
      </c>
      <c r="Q467" s="11">
        <v>2539.0</v>
      </c>
      <c r="R467" s="11">
        <v>1980.0</v>
      </c>
      <c r="T467" s="1" t="s">
        <v>56</v>
      </c>
      <c r="U467" s="1" t="s">
        <v>17</v>
      </c>
      <c r="V467" s="10">
        <f t="shared" si="7"/>
        <v>838</v>
      </c>
      <c r="W467" s="1">
        <v>189.0</v>
      </c>
      <c r="X467" s="1">
        <v>649.0</v>
      </c>
    </row>
    <row r="468">
      <c r="B468" s="6" t="str">
        <f t="shared" ref="B468:C468" si="934">H468</f>
        <v>Yamèthin</v>
      </c>
      <c r="C468" s="7" t="str">
        <f t="shared" si="934"/>
        <v>50-54</v>
      </c>
      <c r="D468" s="6">
        <f t="shared" ref="D468:F468" si="935">J468+P468+V468</f>
        <v>5690</v>
      </c>
      <c r="E468" s="6">
        <f t="shared" si="935"/>
        <v>2786</v>
      </c>
      <c r="F468" s="6">
        <f t="shared" si="935"/>
        <v>2904</v>
      </c>
      <c r="H468" s="8" t="s">
        <v>56</v>
      </c>
      <c r="I468" s="8" t="s">
        <v>18</v>
      </c>
      <c r="J468" s="10">
        <f t="shared" si="5"/>
        <v>185</v>
      </c>
      <c r="K468" s="11">
        <v>102.0</v>
      </c>
      <c r="L468" s="11">
        <v>83.0</v>
      </c>
      <c r="N468" s="8" t="s">
        <v>56</v>
      </c>
      <c r="O468" s="8" t="s">
        <v>18</v>
      </c>
      <c r="P468" s="10">
        <f t="shared" si="6"/>
        <v>4196</v>
      </c>
      <c r="Q468" s="11">
        <v>2390.0</v>
      </c>
      <c r="R468" s="11">
        <v>1806.0</v>
      </c>
      <c r="T468" s="1" t="s">
        <v>56</v>
      </c>
      <c r="U468" s="1" t="s">
        <v>18</v>
      </c>
      <c r="V468" s="10">
        <f t="shared" si="7"/>
        <v>1309</v>
      </c>
      <c r="W468" s="1">
        <v>294.0</v>
      </c>
      <c r="X468" s="1">
        <v>1015.0</v>
      </c>
    </row>
    <row r="469">
      <c r="B469" s="6" t="str">
        <f t="shared" ref="B469:C469" si="936">H469</f>
        <v>Yamèthin</v>
      </c>
      <c r="C469" s="7" t="str">
        <f t="shared" si="936"/>
        <v>55-59</v>
      </c>
      <c r="D469" s="6">
        <f t="shared" ref="D469:F469" si="937">J469+P469+V469</f>
        <v>3063</v>
      </c>
      <c r="E469" s="6">
        <f t="shared" si="937"/>
        <v>1521</v>
      </c>
      <c r="F469" s="6">
        <f t="shared" si="937"/>
        <v>1542</v>
      </c>
      <c r="H469" s="8" t="s">
        <v>56</v>
      </c>
      <c r="I469" s="8" t="s">
        <v>19</v>
      </c>
      <c r="J469" s="10">
        <f t="shared" si="5"/>
        <v>98</v>
      </c>
      <c r="K469" s="11">
        <v>54.0</v>
      </c>
      <c r="L469" s="11">
        <v>44.0</v>
      </c>
      <c r="N469" s="8" t="s">
        <v>56</v>
      </c>
      <c r="O469" s="8" t="s">
        <v>19</v>
      </c>
      <c r="P469" s="10">
        <f t="shared" si="6"/>
        <v>2219</v>
      </c>
      <c r="Q469" s="11">
        <v>1298.0</v>
      </c>
      <c r="R469" s="11">
        <v>921.0</v>
      </c>
      <c r="T469" s="1" t="s">
        <v>56</v>
      </c>
      <c r="U469" s="1" t="s">
        <v>19</v>
      </c>
      <c r="V469" s="10">
        <f t="shared" si="7"/>
        <v>746</v>
      </c>
      <c r="W469" s="1">
        <v>169.0</v>
      </c>
      <c r="X469" s="1">
        <v>577.0</v>
      </c>
    </row>
    <row r="470">
      <c r="B470" s="6" t="str">
        <f t="shared" ref="B470:C470" si="938">H470</f>
        <v>Yamèthin</v>
      </c>
      <c r="C470" s="7" t="str">
        <f t="shared" si="938"/>
        <v>60+</v>
      </c>
      <c r="D470" s="6">
        <f t="shared" ref="D470:F470" si="939">J470+P470+V470</f>
        <v>10943</v>
      </c>
      <c r="E470" s="6">
        <f t="shared" si="939"/>
        <v>4626</v>
      </c>
      <c r="F470" s="6">
        <f t="shared" si="939"/>
        <v>6317</v>
      </c>
      <c r="H470" s="8" t="s">
        <v>56</v>
      </c>
      <c r="I470" s="8" t="s">
        <v>20</v>
      </c>
      <c r="J470" s="10">
        <f t="shared" si="5"/>
        <v>407</v>
      </c>
      <c r="K470" s="11">
        <v>133.0</v>
      </c>
      <c r="L470" s="11">
        <v>274.0</v>
      </c>
      <c r="N470" s="8" t="s">
        <v>56</v>
      </c>
      <c r="O470" s="8" t="s">
        <v>21</v>
      </c>
      <c r="P470" s="10">
        <f t="shared" si="6"/>
        <v>5219</v>
      </c>
      <c r="Q470" s="11">
        <v>3357.0</v>
      </c>
      <c r="R470" s="11">
        <v>1862.0</v>
      </c>
      <c r="T470" s="1" t="s">
        <v>56</v>
      </c>
      <c r="U470" s="1" t="s">
        <v>21</v>
      </c>
      <c r="V470" s="10">
        <f t="shared" si="7"/>
        <v>5317</v>
      </c>
      <c r="W470" s="1">
        <v>1136.0</v>
      </c>
      <c r="X470" s="1">
        <v>4181.0</v>
      </c>
    </row>
    <row r="471">
      <c r="B471" s="6" t="str">
        <f t="shared" ref="B471:C471" si="940">H471</f>
        <v>Ye-u</v>
      </c>
      <c r="C471" s="7" t="str">
        <f t="shared" si="940"/>
        <v>0-4</v>
      </c>
      <c r="D471" s="6">
        <f t="shared" ref="D471:F471" si="941">J471+P471+V471</f>
        <v>11633</v>
      </c>
      <c r="E471" s="6">
        <f t="shared" si="941"/>
        <v>5541</v>
      </c>
      <c r="F471" s="6">
        <f t="shared" si="941"/>
        <v>6092</v>
      </c>
      <c r="H471" s="8" t="s">
        <v>57</v>
      </c>
      <c r="I471" s="9" t="s">
        <v>10</v>
      </c>
      <c r="J471" s="10">
        <f t="shared" si="5"/>
        <v>11633</v>
      </c>
      <c r="K471" s="11">
        <v>5541.0</v>
      </c>
      <c r="L471" s="11">
        <v>6092.0</v>
      </c>
      <c r="N471" s="8" t="s">
        <v>57</v>
      </c>
      <c r="O471" s="9" t="s">
        <v>10</v>
      </c>
      <c r="P471" s="10">
        <f t="shared" si="6"/>
        <v>0</v>
      </c>
      <c r="Q471" s="11">
        <v>0.0</v>
      </c>
      <c r="R471" s="11">
        <v>0.0</v>
      </c>
      <c r="T471" s="8" t="s">
        <v>57</v>
      </c>
      <c r="U471" s="9" t="s">
        <v>10</v>
      </c>
      <c r="V471" s="10">
        <f t="shared" si="7"/>
        <v>0</v>
      </c>
      <c r="W471" s="11">
        <v>0.0</v>
      </c>
      <c r="X471" s="11">
        <v>0.0</v>
      </c>
    </row>
    <row r="472">
      <c r="B472" s="6" t="str">
        <f t="shared" ref="B472:C472" si="942">H472</f>
        <v>Ye-u</v>
      </c>
      <c r="C472" s="12">
        <f t="shared" si="942"/>
        <v>45786</v>
      </c>
      <c r="D472" s="6">
        <f t="shared" ref="D472:F472" si="943">J472+P472+V472</f>
        <v>10328</v>
      </c>
      <c r="E472" s="6">
        <f t="shared" si="943"/>
        <v>4750</v>
      </c>
      <c r="F472" s="6">
        <f t="shared" si="943"/>
        <v>5578</v>
      </c>
      <c r="H472" s="8" t="s">
        <v>57</v>
      </c>
      <c r="I472" s="13">
        <v>45786.0</v>
      </c>
      <c r="J472" s="10">
        <f t="shared" si="5"/>
        <v>10328</v>
      </c>
      <c r="K472" s="11">
        <v>4750.0</v>
      </c>
      <c r="L472" s="11">
        <v>5578.0</v>
      </c>
      <c r="N472" s="8" t="s">
        <v>57</v>
      </c>
      <c r="O472" s="13">
        <v>45786.0</v>
      </c>
      <c r="P472" s="10">
        <f t="shared" si="6"/>
        <v>0</v>
      </c>
      <c r="Q472" s="11">
        <v>0.0</v>
      </c>
      <c r="R472" s="11">
        <v>0.0</v>
      </c>
      <c r="T472" s="8" t="s">
        <v>57</v>
      </c>
      <c r="U472" s="13">
        <v>45786.0</v>
      </c>
      <c r="V472" s="10">
        <f t="shared" si="7"/>
        <v>0</v>
      </c>
      <c r="W472" s="11">
        <v>0.0</v>
      </c>
      <c r="X472" s="11">
        <v>0.0</v>
      </c>
    </row>
    <row r="473">
      <c r="B473" s="6" t="str">
        <f t="shared" ref="B473:C473" si="944">H473</f>
        <v>Ye-u</v>
      </c>
      <c r="C473" s="12">
        <f t="shared" si="944"/>
        <v>45944</v>
      </c>
      <c r="D473" s="6">
        <f t="shared" ref="D473:F473" si="945">J473+P473+V473</f>
        <v>11961</v>
      </c>
      <c r="E473" s="6">
        <f t="shared" si="945"/>
        <v>5809</v>
      </c>
      <c r="F473" s="6">
        <f t="shared" si="945"/>
        <v>6152</v>
      </c>
      <c r="H473" s="8" t="s">
        <v>57</v>
      </c>
      <c r="I473" s="13">
        <v>45944.0</v>
      </c>
      <c r="J473" s="10">
        <f t="shared" si="5"/>
        <v>11934</v>
      </c>
      <c r="K473" s="11">
        <v>5805.0</v>
      </c>
      <c r="L473" s="11">
        <v>6129.0</v>
      </c>
      <c r="N473" s="8" t="s">
        <v>57</v>
      </c>
      <c r="O473" s="13">
        <v>45944.0</v>
      </c>
      <c r="P473" s="10">
        <f t="shared" si="6"/>
        <v>23</v>
      </c>
      <c r="Q473" s="11">
        <v>3.0</v>
      </c>
      <c r="R473" s="11">
        <v>20.0</v>
      </c>
      <c r="T473" s="8" t="s">
        <v>57</v>
      </c>
      <c r="U473" s="13">
        <v>45944.0</v>
      </c>
      <c r="V473" s="10">
        <f t="shared" si="7"/>
        <v>4</v>
      </c>
      <c r="W473" s="11">
        <v>1.0</v>
      </c>
      <c r="X473" s="11">
        <v>3.0</v>
      </c>
    </row>
    <row r="474">
      <c r="B474" s="6" t="str">
        <f t="shared" ref="B474:C474" si="946">H474</f>
        <v>Ye-u</v>
      </c>
      <c r="C474" s="7" t="str">
        <f t="shared" si="946"/>
        <v>15-19</v>
      </c>
      <c r="D474" s="6">
        <f t="shared" ref="D474:F474" si="947">J474+P474+V474</f>
        <v>8147</v>
      </c>
      <c r="E474" s="6">
        <f t="shared" si="947"/>
        <v>3692</v>
      </c>
      <c r="F474" s="6">
        <f t="shared" si="947"/>
        <v>4455</v>
      </c>
      <c r="H474" s="8" t="s">
        <v>57</v>
      </c>
      <c r="I474" s="9" t="s">
        <v>11</v>
      </c>
      <c r="J474" s="10">
        <f t="shared" si="5"/>
        <v>6934</v>
      </c>
      <c r="K474" s="11">
        <v>3442.0</v>
      </c>
      <c r="L474" s="11">
        <v>3492.0</v>
      </c>
      <c r="N474" s="8" t="s">
        <v>57</v>
      </c>
      <c r="O474" s="9" t="s">
        <v>11</v>
      </c>
      <c r="P474" s="10">
        <f t="shared" si="6"/>
        <v>1062</v>
      </c>
      <c r="Q474" s="11">
        <v>226.0</v>
      </c>
      <c r="R474" s="11">
        <v>836.0</v>
      </c>
      <c r="T474" s="8" t="s">
        <v>57</v>
      </c>
      <c r="U474" s="9" t="s">
        <v>11</v>
      </c>
      <c r="V474" s="10">
        <f t="shared" si="7"/>
        <v>151</v>
      </c>
      <c r="W474" s="11">
        <v>24.0</v>
      </c>
      <c r="X474" s="11">
        <v>127.0</v>
      </c>
    </row>
    <row r="475">
      <c r="B475" s="6" t="str">
        <f t="shared" ref="B475:C475" si="948">H475</f>
        <v>Ye-u</v>
      </c>
      <c r="C475" s="7" t="str">
        <f t="shared" si="948"/>
        <v>20-24</v>
      </c>
      <c r="D475" s="6">
        <f t="shared" ref="D475:F475" si="949">J475+P475+V475</f>
        <v>6579</v>
      </c>
      <c r="E475" s="6">
        <f t="shared" si="949"/>
        <v>2877</v>
      </c>
      <c r="F475" s="6">
        <f t="shared" si="949"/>
        <v>3702</v>
      </c>
      <c r="H475" s="8" t="s">
        <v>57</v>
      </c>
      <c r="I475" s="9" t="s">
        <v>12</v>
      </c>
      <c r="J475" s="10">
        <f t="shared" si="5"/>
        <v>2521</v>
      </c>
      <c r="K475" s="11">
        <v>1493.0</v>
      </c>
      <c r="L475" s="11">
        <v>1028.0</v>
      </c>
      <c r="N475" s="8" t="s">
        <v>57</v>
      </c>
      <c r="O475" s="9" t="s">
        <v>12</v>
      </c>
      <c r="P475" s="10">
        <f t="shared" si="6"/>
        <v>3611</v>
      </c>
      <c r="Q475" s="11">
        <v>1282.0</v>
      </c>
      <c r="R475" s="11">
        <v>2329.0</v>
      </c>
      <c r="T475" s="8" t="s">
        <v>57</v>
      </c>
      <c r="U475" s="9" t="s">
        <v>12</v>
      </c>
      <c r="V475" s="10">
        <f t="shared" si="7"/>
        <v>447</v>
      </c>
      <c r="W475" s="11">
        <v>102.0</v>
      </c>
      <c r="X475" s="11">
        <v>345.0</v>
      </c>
    </row>
    <row r="476">
      <c r="B476" s="6" t="str">
        <f t="shared" ref="B476:C476" si="950">H476</f>
        <v>Ye-u</v>
      </c>
      <c r="C476" s="7" t="str">
        <f t="shared" si="950"/>
        <v>25-29</v>
      </c>
      <c r="D476" s="6">
        <f t="shared" ref="D476:F476" si="951">J476+P476+V476</f>
        <v>6634</v>
      </c>
      <c r="E476" s="6">
        <f t="shared" si="951"/>
        <v>2809</v>
      </c>
      <c r="F476" s="6">
        <f t="shared" si="951"/>
        <v>3825</v>
      </c>
      <c r="H476" s="8" t="s">
        <v>57</v>
      </c>
      <c r="I476" s="9" t="s">
        <v>13</v>
      </c>
      <c r="J476" s="10">
        <f t="shared" si="5"/>
        <v>970</v>
      </c>
      <c r="K476" s="11">
        <v>563.0</v>
      </c>
      <c r="L476" s="11">
        <v>407.0</v>
      </c>
      <c r="N476" s="8" t="s">
        <v>57</v>
      </c>
      <c r="O476" s="9" t="s">
        <v>13</v>
      </c>
      <c r="P476" s="10">
        <f t="shared" si="6"/>
        <v>5120</v>
      </c>
      <c r="Q476" s="11">
        <v>2100.0</v>
      </c>
      <c r="R476" s="11">
        <v>3020.0</v>
      </c>
      <c r="T476" s="1" t="s">
        <v>57</v>
      </c>
      <c r="U476" s="1" t="s">
        <v>13</v>
      </c>
      <c r="V476" s="10">
        <f t="shared" si="7"/>
        <v>544</v>
      </c>
      <c r="W476" s="1">
        <v>146.0</v>
      </c>
      <c r="X476" s="1">
        <v>398.0</v>
      </c>
    </row>
    <row r="477">
      <c r="B477" s="6" t="str">
        <f t="shared" ref="B477:C477" si="952">H477</f>
        <v>Ye-u</v>
      </c>
      <c r="C477" s="7" t="str">
        <f t="shared" si="952"/>
        <v>30-34</v>
      </c>
      <c r="D477" s="6">
        <f t="shared" ref="D477:F477" si="953">J477+P477+V477</f>
        <v>7022</v>
      </c>
      <c r="E477" s="6">
        <f t="shared" si="953"/>
        <v>3059</v>
      </c>
      <c r="F477" s="6">
        <f t="shared" si="953"/>
        <v>3963</v>
      </c>
      <c r="H477" s="8" t="s">
        <v>57</v>
      </c>
      <c r="I477" s="8" t="s">
        <v>14</v>
      </c>
      <c r="J477" s="10">
        <f t="shared" si="5"/>
        <v>545</v>
      </c>
      <c r="K477" s="11">
        <v>316.0</v>
      </c>
      <c r="L477" s="11">
        <v>229.0</v>
      </c>
      <c r="N477" s="8" t="s">
        <v>57</v>
      </c>
      <c r="O477" s="8" t="s">
        <v>14</v>
      </c>
      <c r="P477" s="10">
        <f t="shared" si="6"/>
        <v>5834</v>
      </c>
      <c r="Q477" s="11">
        <v>2595.0</v>
      </c>
      <c r="R477" s="11">
        <v>3239.0</v>
      </c>
      <c r="T477" s="1" t="s">
        <v>57</v>
      </c>
      <c r="U477" s="1" t="s">
        <v>14</v>
      </c>
      <c r="V477" s="10">
        <f t="shared" si="7"/>
        <v>643</v>
      </c>
      <c r="W477" s="1">
        <v>148.0</v>
      </c>
      <c r="X477" s="1">
        <v>495.0</v>
      </c>
    </row>
    <row r="478">
      <c r="B478" s="6" t="str">
        <f t="shared" ref="B478:C478" si="954">H478</f>
        <v>Ye-u</v>
      </c>
      <c r="C478" s="7" t="str">
        <f t="shared" si="954"/>
        <v>35-39</v>
      </c>
      <c r="D478" s="6">
        <f t="shared" ref="D478:F478" si="955">J478+P478+V478</f>
        <v>6682</v>
      </c>
      <c r="E478" s="6">
        <f t="shared" si="955"/>
        <v>3260</v>
      </c>
      <c r="F478" s="6">
        <f t="shared" si="955"/>
        <v>3422</v>
      </c>
      <c r="H478" s="8" t="s">
        <v>57</v>
      </c>
      <c r="I478" s="8" t="s">
        <v>15</v>
      </c>
      <c r="J478" s="10">
        <f t="shared" si="5"/>
        <v>381</v>
      </c>
      <c r="K478" s="11">
        <v>227.0</v>
      </c>
      <c r="L478" s="11">
        <v>154.0</v>
      </c>
      <c r="N478" s="8" t="s">
        <v>57</v>
      </c>
      <c r="O478" s="8" t="s">
        <v>15</v>
      </c>
      <c r="P478" s="10">
        <f t="shared" si="6"/>
        <v>5677</v>
      </c>
      <c r="Q478" s="11">
        <v>2888.0</v>
      </c>
      <c r="R478" s="11">
        <v>2789.0</v>
      </c>
      <c r="T478" s="1" t="s">
        <v>57</v>
      </c>
      <c r="U478" s="1" t="s">
        <v>15</v>
      </c>
      <c r="V478" s="10">
        <f t="shared" si="7"/>
        <v>624</v>
      </c>
      <c r="W478" s="1">
        <v>145.0</v>
      </c>
      <c r="X478" s="1">
        <v>479.0</v>
      </c>
    </row>
    <row r="479">
      <c r="B479" s="6" t="str">
        <f t="shared" ref="B479:C479" si="956">H479</f>
        <v>Ye-u</v>
      </c>
      <c r="C479" s="7" t="str">
        <f t="shared" si="956"/>
        <v>40-44</v>
      </c>
      <c r="D479" s="6">
        <f t="shared" ref="D479:F479" si="957">J479+P479+V479</f>
        <v>5593</v>
      </c>
      <c r="E479" s="6">
        <f t="shared" si="957"/>
        <v>2581</v>
      </c>
      <c r="F479" s="6">
        <f t="shared" si="957"/>
        <v>3012</v>
      </c>
      <c r="H479" s="8" t="s">
        <v>57</v>
      </c>
      <c r="I479" s="8" t="s">
        <v>16</v>
      </c>
      <c r="J479" s="10">
        <f t="shared" si="5"/>
        <v>280</v>
      </c>
      <c r="K479" s="11">
        <v>148.0</v>
      </c>
      <c r="L479" s="11">
        <v>132.0</v>
      </c>
      <c r="N479" s="8" t="s">
        <v>57</v>
      </c>
      <c r="O479" s="8" t="s">
        <v>16</v>
      </c>
      <c r="P479" s="10">
        <f t="shared" si="6"/>
        <v>4567</v>
      </c>
      <c r="Q479" s="11">
        <v>2276.0</v>
      </c>
      <c r="R479" s="11">
        <v>2291.0</v>
      </c>
      <c r="T479" s="1" t="s">
        <v>57</v>
      </c>
      <c r="U479" s="1" t="s">
        <v>16</v>
      </c>
      <c r="V479" s="10">
        <f t="shared" si="7"/>
        <v>746</v>
      </c>
      <c r="W479" s="1">
        <v>157.0</v>
      </c>
      <c r="X479" s="1">
        <v>589.0</v>
      </c>
    </row>
    <row r="480">
      <c r="B480" s="6" t="str">
        <f t="shared" ref="B480:C480" si="958">H480</f>
        <v>Ye-u</v>
      </c>
      <c r="C480" s="7" t="str">
        <f t="shared" si="958"/>
        <v>45-49</v>
      </c>
      <c r="D480" s="6">
        <f t="shared" ref="D480:F480" si="959">J480+P480+V480</f>
        <v>4038</v>
      </c>
      <c r="E480" s="6">
        <f t="shared" si="959"/>
        <v>2048</v>
      </c>
      <c r="F480" s="6">
        <f t="shared" si="959"/>
        <v>1990</v>
      </c>
      <c r="H480" s="8" t="s">
        <v>57</v>
      </c>
      <c r="I480" s="8" t="s">
        <v>17</v>
      </c>
      <c r="J480" s="10">
        <f t="shared" si="5"/>
        <v>179</v>
      </c>
      <c r="K480" s="11">
        <v>119.0</v>
      </c>
      <c r="L480" s="11">
        <v>60.0</v>
      </c>
      <c r="N480" s="8" t="s">
        <v>57</v>
      </c>
      <c r="O480" s="8" t="s">
        <v>17</v>
      </c>
      <c r="P480" s="10">
        <f t="shared" si="6"/>
        <v>3258</v>
      </c>
      <c r="Q480" s="11">
        <v>1805.0</v>
      </c>
      <c r="R480" s="11">
        <v>1453.0</v>
      </c>
      <c r="T480" s="1" t="s">
        <v>57</v>
      </c>
      <c r="U480" s="1" t="s">
        <v>17</v>
      </c>
      <c r="V480" s="10">
        <f t="shared" si="7"/>
        <v>601</v>
      </c>
      <c r="W480" s="1">
        <v>124.0</v>
      </c>
      <c r="X480" s="1">
        <v>477.0</v>
      </c>
    </row>
    <row r="481">
      <c r="B481" s="6" t="str">
        <f t="shared" ref="B481:C481" si="960">H481</f>
        <v>Ye-u</v>
      </c>
      <c r="C481" s="7" t="str">
        <f t="shared" si="960"/>
        <v>50-54</v>
      </c>
      <c r="D481" s="6">
        <f t="shared" ref="D481:F481" si="961">J481+P481+V481</f>
        <v>3592</v>
      </c>
      <c r="E481" s="6">
        <f t="shared" si="961"/>
        <v>1659</v>
      </c>
      <c r="F481" s="6">
        <f t="shared" si="961"/>
        <v>1933</v>
      </c>
      <c r="H481" s="8" t="s">
        <v>57</v>
      </c>
      <c r="I481" s="8" t="s">
        <v>18</v>
      </c>
      <c r="J481" s="10">
        <f t="shared" si="5"/>
        <v>161</v>
      </c>
      <c r="K481" s="11">
        <v>91.0</v>
      </c>
      <c r="L481" s="11">
        <v>70.0</v>
      </c>
      <c r="N481" s="8" t="s">
        <v>57</v>
      </c>
      <c r="O481" s="8" t="s">
        <v>18</v>
      </c>
      <c r="P481" s="10">
        <f t="shared" si="6"/>
        <v>2515</v>
      </c>
      <c r="Q481" s="11">
        <v>1405.0</v>
      </c>
      <c r="R481" s="11">
        <v>1110.0</v>
      </c>
      <c r="T481" s="1" t="s">
        <v>57</v>
      </c>
      <c r="U481" s="1" t="s">
        <v>18</v>
      </c>
      <c r="V481" s="10">
        <f t="shared" si="7"/>
        <v>916</v>
      </c>
      <c r="W481" s="1">
        <v>163.0</v>
      </c>
      <c r="X481" s="1">
        <v>753.0</v>
      </c>
    </row>
    <row r="482">
      <c r="B482" s="6" t="str">
        <f t="shared" ref="B482:C482" si="962">H482</f>
        <v>Ye-u</v>
      </c>
      <c r="C482" s="7" t="str">
        <f t="shared" si="962"/>
        <v>55-59</v>
      </c>
      <c r="D482" s="6">
        <f t="shared" ref="D482:F482" si="963">J482+P482+V482</f>
        <v>2293</v>
      </c>
      <c r="E482" s="6">
        <f t="shared" si="963"/>
        <v>1109</v>
      </c>
      <c r="F482" s="6">
        <f t="shared" si="963"/>
        <v>1184</v>
      </c>
      <c r="H482" s="8" t="s">
        <v>57</v>
      </c>
      <c r="I482" s="8" t="s">
        <v>19</v>
      </c>
      <c r="J482" s="10">
        <f t="shared" si="5"/>
        <v>87</v>
      </c>
      <c r="K482" s="11">
        <v>54.0</v>
      </c>
      <c r="L482" s="11">
        <v>33.0</v>
      </c>
      <c r="N482" s="8" t="s">
        <v>57</v>
      </c>
      <c r="O482" s="8" t="s">
        <v>19</v>
      </c>
      <c r="P482" s="10">
        <f t="shared" si="6"/>
        <v>1564</v>
      </c>
      <c r="Q482" s="11">
        <v>910.0</v>
      </c>
      <c r="R482" s="11">
        <v>654.0</v>
      </c>
      <c r="T482" s="1" t="s">
        <v>57</v>
      </c>
      <c r="U482" s="1" t="s">
        <v>19</v>
      </c>
      <c r="V482" s="10">
        <f t="shared" si="7"/>
        <v>642</v>
      </c>
      <c r="W482" s="1">
        <v>145.0</v>
      </c>
      <c r="X482" s="1">
        <v>497.0</v>
      </c>
    </row>
    <row r="483">
      <c r="B483" s="6" t="str">
        <f t="shared" ref="B483:C483" si="964">H483</f>
        <v>Ye-u</v>
      </c>
      <c r="C483" s="7" t="str">
        <f t="shared" si="964"/>
        <v>60+</v>
      </c>
      <c r="D483" s="6">
        <f t="shared" ref="D483:F483" si="965">J483+P483+V483</f>
        <v>8070</v>
      </c>
      <c r="E483" s="6">
        <f t="shared" si="965"/>
        <v>3512</v>
      </c>
      <c r="F483" s="6">
        <f t="shared" si="965"/>
        <v>4558</v>
      </c>
      <c r="H483" s="8" t="s">
        <v>57</v>
      </c>
      <c r="I483" s="8" t="s">
        <v>20</v>
      </c>
      <c r="J483" s="10">
        <f t="shared" si="5"/>
        <v>315</v>
      </c>
      <c r="K483" s="11">
        <v>169.0</v>
      </c>
      <c r="L483" s="11">
        <v>146.0</v>
      </c>
      <c r="N483" s="8" t="s">
        <v>57</v>
      </c>
      <c r="O483" s="8" t="s">
        <v>21</v>
      </c>
      <c r="P483" s="10">
        <f t="shared" si="6"/>
        <v>3409</v>
      </c>
      <c r="Q483" s="11">
        <v>2182.0</v>
      </c>
      <c r="R483" s="11">
        <v>1227.0</v>
      </c>
      <c r="T483" s="1" t="s">
        <v>57</v>
      </c>
      <c r="U483" s="1" t="s">
        <v>21</v>
      </c>
      <c r="V483" s="10">
        <f t="shared" si="7"/>
        <v>4346</v>
      </c>
      <c r="W483" s="1">
        <v>1161.0</v>
      </c>
      <c r="X483" s="1">
        <v>3185.0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</cols>
  <sheetData>
    <row r="1">
      <c r="B1" s="1" t="s">
        <v>0</v>
      </c>
      <c r="G1" s="1"/>
    </row>
    <row r="2">
      <c r="B2" s="2" t="s">
        <v>4</v>
      </c>
      <c r="C2" s="2" t="s">
        <v>5</v>
      </c>
      <c r="D2" s="3" t="s">
        <v>6</v>
      </c>
      <c r="E2" s="3" t="s">
        <v>7</v>
      </c>
      <c r="F2" s="3" t="s">
        <v>8</v>
      </c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T2" s="4"/>
      <c r="U2" s="4"/>
      <c r="V2" s="4"/>
      <c r="W2" s="4"/>
      <c r="X2" s="4"/>
    </row>
    <row r="3">
      <c r="B3" s="8" t="s">
        <v>9</v>
      </c>
      <c r="C3" s="9" t="s">
        <v>58</v>
      </c>
      <c r="D3" s="10">
        <f t="shared" ref="D3:D282" si="1">sum(E3:F3)</f>
        <v>62205</v>
      </c>
      <c r="E3" s="11">
        <v>31138.0</v>
      </c>
      <c r="F3" s="11">
        <v>31067.0</v>
      </c>
      <c r="G3" s="6"/>
      <c r="H3" s="8"/>
      <c r="I3" s="9"/>
      <c r="K3" s="11"/>
      <c r="L3" s="11"/>
      <c r="M3" s="5"/>
      <c r="N3" s="8"/>
      <c r="O3" s="9"/>
      <c r="Q3" s="11"/>
      <c r="R3" s="11"/>
      <c r="T3" s="8"/>
      <c r="U3" s="9"/>
      <c r="W3" s="11"/>
      <c r="X3" s="11"/>
    </row>
    <row r="4">
      <c r="B4" s="8" t="s">
        <v>9</v>
      </c>
      <c r="C4" s="13">
        <v>45787.0</v>
      </c>
      <c r="D4" s="10">
        <f t="shared" si="1"/>
        <v>62493</v>
      </c>
      <c r="E4" s="11">
        <v>32120.0</v>
      </c>
      <c r="F4" s="11">
        <v>30373.0</v>
      </c>
      <c r="G4" s="6"/>
      <c r="H4" s="8"/>
      <c r="I4" s="13"/>
      <c r="K4" s="11"/>
      <c r="L4" s="11"/>
      <c r="M4" s="5"/>
      <c r="N4" s="8"/>
      <c r="O4" s="13"/>
      <c r="Q4" s="11"/>
      <c r="R4" s="11"/>
      <c r="T4" s="8"/>
      <c r="U4" s="13"/>
      <c r="W4" s="11"/>
      <c r="X4" s="11"/>
    </row>
    <row r="5">
      <c r="B5" s="8" t="s">
        <v>9</v>
      </c>
      <c r="C5" s="13">
        <v>45945.0</v>
      </c>
      <c r="D5" s="10">
        <f t="shared" si="1"/>
        <v>53703</v>
      </c>
      <c r="E5" s="11">
        <v>28661.0</v>
      </c>
      <c r="F5" s="11">
        <v>25042.0</v>
      </c>
      <c r="G5" s="6"/>
      <c r="H5" s="8"/>
      <c r="I5" s="13"/>
      <c r="K5" s="11"/>
      <c r="L5" s="11"/>
      <c r="M5" s="5"/>
      <c r="N5" s="8"/>
      <c r="O5" s="13"/>
      <c r="Q5" s="11"/>
      <c r="R5" s="11"/>
      <c r="T5" s="8"/>
      <c r="U5" s="13"/>
      <c r="W5" s="11"/>
      <c r="X5" s="11"/>
    </row>
    <row r="6">
      <c r="B6" s="8" t="s">
        <v>9</v>
      </c>
      <c r="C6" s="9" t="s">
        <v>59</v>
      </c>
      <c r="D6" s="10">
        <f t="shared" si="1"/>
        <v>47124</v>
      </c>
      <c r="E6" s="11">
        <v>25091.0</v>
      </c>
      <c r="F6" s="11">
        <v>22033.0</v>
      </c>
      <c r="G6" s="6"/>
      <c r="H6" s="8"/>
      <c r="I6" s="9"/>
      <c r="K6" s="11"/>
      <c r="L6" s="11"/>
      <c r="M6" s="5"/>
      <c r="N6" s="8"/>
      <c r="O6" s="9"/>
      <c r="Q6" s="11"/>
      <c r="R6" s="11"/>
      <c r="T6" s="8"/>
      <c r="U6" s="8"/>
      <c r="W6" s="11"/>
      <c r="X6" s="11"/>
    </row>
    <row r="7">
      <c r="B7" s="8" t="s">
        <v>9</v>
      </c>
      <c r="C7" s="9" t="s">
        <v>60</v>
      </c>
      <c r="D7" s="10">
        <f t="shared" si="1"/>
        <v>155669</v>
      </c>
      <c r="E7" s="11">
        <v>90903.0</v>
      </c>
      <c r="F7" s="11">
        <v>64766.0</v>
      </c>
      <c r="G7" s="6"/>
      <c r="H7" s="8"/>
      <c r="I7" s="9"/>
      <c r="K7" s="11"/>
      <c r="L7" s="11"/>
      <c r="M7" s="5"/>
      <c r="N7" s="8"/>
      <c r="O7" s="9"/>
      <c r="Q7" s="11"/>
      <c r="R7" s="11"/>
      <c r="T7" s="8"/>
      <c r="U7" s="8"/>
      <c r="W7" s="11"/>
      <c r="X7" s="11"/>
    </row>
    <row r="8">
      <c r="B8" s="8" t="s">
        <v>9</v>
      </c>
      <c r="C8" s="9" t="s">
        <v>61</v>
      </c>
      <c r="D8" s="10">
        <f t="shared" si="1"/>
        <v>73690</v>
      </c>
      <c r="E8" s="11">
        <v>42926.0</v>
      </c>
      <c r="F8" s="11">
        <v>30764.0</v>
      </c>
      <c r="G8" s="6"/>
      <c r="H8" s="8"/>
      <c r="I8" s="9"/>
      <c r="K8" s="11"/>
      <c r="L8" s="11"/>
      <c r="M8" s="5"/>
      <c r="N8" s="8"/>
      <c r="O8" s="9"/>
      <c r="Q8" s="11"/>
      <c r="R8" s="11"/>
      <c r="T8" s="8"/>
      <c r="U8" s="8"/>
      <c r="W8" s="11"/>
      <c r="X8" s="11"/>
    </row>
    <row r="9">
      <c r="B9" s="8" t="s">
        <v>9</v>
      </c>
      <c r="C9" s="9" t="s">
        <v>21</v>
      </c>
      <c r="D9" s="10">
        <f t="shared" si="1"/>
        <v>20782</v>
      </c>
      <c r="E9" s="11">
        <v>11141.0</v>
      </c>
      <c r="F9" s="11">
        <v>9641.0</v>
      </c>
      <c r="G9" s="6"/>
      <c r="H9" s="8"/>
      <c r="I9" s="8"/>
      <c r="K9" s="11"/>
      <c r="L9" s="11"/>
      <c r="M9" s="5"/>
      <c r="N9" s="8"/>
      <c r="O9" s="8"/>
      <c r="Q9" s="11"/>
      <c r="R9" s="11"/>
      <c r="T9" s="8"/>
      <c r="U9" s="8"/>
      <c r="W9" s="11"/>
      <c r="X9" s="11"/>
    </row>
    <row r="10">
      <c r="B10" s="8" t="s">
        <v>37</v>
      </c>
      <c r="C10" s="9" t="s">
        <v>58</v>
      </c>
      <c r="D10" s="10">
        <f t="shared" si="1"/>
        <v>2449</v>
      </c>
      <c r="E10" s="11">
        <v>1284.0</v>
      </c>
      <c r="F10" s="11">
        <v>1165.0</v>
      </c>
      <c r="G10" s="6"/>
      <c r="H10" s="8"/>
      <c r="I10" s="8"/>
      <c r="K10" s="11"/>
      <c r="L10" s="11"/>
      <c r="M10" s="5"/>
      <c r="N10" s="8"/>
      <c r="O10" s="8"/>
      <c r="Q10" s="11"/>
      <c r="R10" s="11"/>
      <c r="T10" s="8"/>
      <c r="U10" s="8"/>
      <c r="W10" s="11"/>
      <c r="X10" s="11"/>
    </row>
    <row r="11">
      <c r="B11" s="8" t="s">
        <v>37</v>
      </c>
      <c r="C11" s="13">
        <v>45787.0</v>
      </c>
      <c r="D11" s="10">
        <f t="shared" si="1"/>
        <v>2473</v>
      </c>
      <c r="E11" s="11">
        <v>1250.0</v>
      </c>
      <c r="F11" s="11">
        <v>1223.0</v>
      </c>
      <c r="G11" s="6"/>
      <c r="H11" s="8"/>
      <c r="I11" s="8"/>
      <c r="K11" s="11"/>
      <c r="L11" s="11"/>
      <c r="M11" s="5"/>
      <c r="N11" s="8"/>
      <c r="O11" s="8"/>
      <c r="Q11" s="11"/>
      <c r="R11" s="11"/>
      <c r="T11" s="8"/>
      <c r="U11" s="8"/>
      <c r="W11" s="11"/>
      <c r="X11" s="11"/>
    </row>
    <row r="12">
      <c r="B12" s="8" t="s">
        <v>37</v>
      </c>
      <c r="C12" s="13">
        <v>45945.0</v>
      </c>
      <c r="D12" s="10">
        <f t="shared" si="1"/>
        <v>2177</v>
      </c>
      <c r="E12" s="11">
        <v>1132.0</v>
      </c>
      <c r="F12" s="11">
        <v>1045.0</v>
      </c>
      <c r="G12" s="6"/>
      <c r="H12" s="8"/>
      <c r="I12" s="8"/>
      <c r="K12" s="11"/>
      <c r="L12" s="11"/>
      <c r="M12" s="5"/>
      <c r="N12" s="8"/>
      <c r="O12" s="8"/>
      <c r="Q12" s="11"/>
      <c r="R12" s="11"/>
      <c r="T12" s="8"/>
      <c r="U12" s="8"/>
      <c r="W12" s="11"/>
      <c r="X12" s="11"/>
    </row>
    <row r="13">
      <c r="B13" s="8" t="s">
        <v>37</v>
      </c>
      <c r="C13" s="9" t="s">
        <v>59</v>
      </c>
      <c r="D13" s="10">
        <f t="shared" si="1"/>
        <v>1972</v>
      </c>
      <c r="E13" s="11">
        <v>938.0</v>
      </c>
      <c r="F13" s="11">
        <v>1034.0</v>
      </c>
      <c r="G13" s="6"/>
      <c r="H13" s="8"/>
      <c r="I13" s="8"/>
      <c r="K13" s="11"/>
      <c r="L13" s="11"/>
      <c r="M13" s="5"/>
      <c r="N13" s="8"/>
      <c r="O13" s="8"/>
      <c r="Q13" s="11"/>
      <c r="R13" s="11"/>
      <c r="T13" s="8"/>
      <c r="U13" s="8"/>
      <c r="W13" s="11"/>
      <c r="X13" s="11"/>
    </row>
    <row r="14">
      <c r="B14" s="8" t="s">
        <v>37</v>
      </c>
      <c r="C14" s="9" t="s">
        <v>60</v>
      </c>
      <c r="D14" s="10">
        <f t="shared" si="1"/>
        <v>7029</v>
      </c>
      <c r="E14" s="11">
        <v>3565.0</v>
      </c>
      <c r="F14" s="11">
        <v>3464.0</v>
      </c>
      <c r="G14" s="6"/>
      <c r="H14" s="8"/>
      <c r="I14" s="8"/>
      <c r="K14" s="11"/>
      <c r="L14" s="11"/>
      <c r="M14" s="5"/>
      <c r="N14" s="8"/>
      <c r="O14" s="8"/>
      <c r="Q14" s="11"/>
      <c r="R14" s="11"/>
      <c r="T14" s="8"/>
      <c r="U14" s="8"/>
      <c r="W14" s="11"/>
      <c r="X14" s="11"/>
    </row>
    <row r="15">
      <c r="B15" s="8" t="s">
        <v>37</v>
      </c>
      <c r="C15" s="9" t="s">
        <v>61</v>
      </c>
      <c r="D15" s="10">
        <f t="shared" si="1"/>
        <v>3226</v>
      </c>
      <c r="E15" s="11">
        <v>1674.0</v>
      </c>
      <c r="F15" s="11">
        <v>1552.0</v>
      </c>
      <c r="G15" s="6"/>
      <c r="H15" s="8"/>
      <c r="I15" s="8"/>
      <c r="K15" s="11"/>
      <c r="L15" s="11"/>
      <c r="M15" s="5"/>
      <c r="N15" s="8"/>
      <c r="O15" s="8"/>
      <c r="Q15" s="11"/>
      <c r="R15" s="11"/>
      <c r="T15" s="8"/>
      <c r="U15" s="8"/>
      <c r="W15" s="11"/>
      <c r="X15" s="11"/>
    </row>
    <row r="16">
      <c r="B16" s="8" t="s">
        <v>37</v>
      </c>
      <c r="C16" s="9" t="s">
        <v>21</v>
      </c>
      <c r="D16" s="10">
        <f t="shared" si="1"/>
        <v>1356</v>
      </c>
      <c r="E16" s="11">
        <v>714.0</v>
      </c>
      <c r="F16" s="11">
        <v>642.0</v>
      </c>
      <c r="G16" s="6"/>
      <c r="H16" s="8"/>
      <c r="I16" s="9"/>
      <c r="K16" s="11"/>
      <c r="L16" s="11"/>
      <c r="M16" s="5"/>
      <c r="N16" s="8"/>
      <c r="O16" s="9"/>
      <c r="Q16" s="11"/>
      <c r="R16" s="11"/>
      <c r="T16" s="8"/>
      <c r="U16" s="9"/>
      <c r="W16" s="11"/>
      <c r="X16" s="11"/>
    </row>
    <row r="17">
      <c r="B17" s="8" t="s">
        <v>28</v>
      </c>
      <c r="C17" s="9" t="s">
        <v>58</v>
      </c>
      <c r="D17" s="10">
        <f t="shared" si="1"/>
        <v>19791</v>
      </c>
      <c r="E17" s="11">
        <v>9751.0</v>
      </c>
      <c r="F17" s="11">
        <v>10040.0</v>
      </c>
      <c r="G17" s="6"/>
      <c r="H17" s="8"/>
      <c r="I17" s="13"/>
      <c r="K17" s="11"/>
      <c r="L17" s="11"/>
      <c r="M17" s="5"/>
      <c r="N17" s="8"/>
      <c r="O17" s="13"/>
      <c r="Q17" s="11"/>
      <c r="R17" s="11"/>
      <c r="T17" s="8"/>
      <c r="U17" s="13"/>
      <c r="W17" s="11"/>
      <c r="X17" s="11"/>
    </row>
    <row r="18">
      <c r="B18" s="8" t="s">
        <v>28</v>
      </c>
      <c r="C18" s="13">
        <v>45787.0</v>
      </c>
      <c r="D18" s="10">
        <f t="shared" si="1"/>
        <v>21515</v>
      </c>
      <c r="E18" s="11">
        <v>10834.0</v>
      </c>
      <c r="F18" s="11">
        <v>10681.0</v>
      </c>
      <c r="G18" s="6"/>
      <c r="H18" s="8"/>
      <c r="I18" s="13"/>
      <c r="K18" s="11"/>
      <c r="L18" s="11"/>
      <c r="M18" s="5"/>
      <c r="N18" s="8"/>
      <c r="O18" s="13"/>
      <c r="Q18" s="11"/>
      <c r="R18" s="11"/>
      <c r="T18" s="8"/>
      <c r="U18" s="13"/>
      <c r="W18" s="11"/>
      <c r="X18" s="11"/>
    </row>
    <row r="19">
      <c r="B19" s="8" t="s">
        <v>28</v>
      </c>
      <c r="C19" s="13">
        <v>45945.0</v>
      </c>
      <c r="D19" s="10">
        <f t="shared" si="1"/>
        <v>19831</v>
      </c>
      <c r="E19" s="11">
        <v>10185.0</v>
      </c>
      <c r="F19" s="11">
        <v>9646.0</v>
      </c>
      <c r="G19" s="6"/>
      <c r="H19" s="8"/>
      <c r="I19" s="9"/>
      <c r="K19" s="11"/>
      <c r="L19" s="11"/>
      <c r="M19" s="5"/>
      <c r="N19" s="8"/>
      <c r="O19" s="9"/>
      <c r="Q19" s="11"/>
      <c r="R19" s="11"/>
      <c r="T19" s="8"/>
      <c r="U19" s="8"/>
      <c r="W19" s="11"/>
      <c r="X19" s="11"/>
    </row>
    <row r="20">
      <c r="B20" s="8" t="s">
        <v>28</v>
      </c>
      <c r="C20" s="9" t="s">
        <v>59</v>
      </c>
      <c r="D20" s="10">
        <f t="shared" si="1"/>
        <v>17247</v>
      </c>
      <c r="E20" s="11">
        <v>7988.0</v>
      </c>
      <c r="F20" s="11">
        <v>9259.0</v>
      </c>
      <c r="G20" s="6"/>
      <c r="H20" s="8"/>
      <c r="I20" s="9"/>
      <c r="K20" s="11"/>
      <c r="L20" s="11"/>
      <c r="M20" s="5"/>
      <c r="N20" s="8"/>
      <c r="O20" s="9"/>
      <c r="Q20" s="11"/>
      <c r="R20" s="11"/>
      <c r="T20" s="8"/>
      <c r="U20" s="8"/>
      <c r="W20" s="11"/>
      <c r="X20" s="11"/>
    </row>
    <row r="21">
      <c r="B21" s="8" t="s">
        <v>28</v>
      </c>
      <c r="C21" s="9" t="s">
        <v>60</v>
      </c>
      <c r="D21" s="10">
        <f t="shared" si="1"/>
        <v>51823</v>
      </c>
      <c r="E21" s="11">
        <v>24397.0</v>
      </c>
      <c r="F21" s="11">
        <v>27426.0</v>
      </c>
      <c r="G21" s="6"/>
      <c r="H21" s="8"/>
      <c r="I21" s="9"/>
      <c r="K21" s="11"/>
      <c r="L21" s="11"/>
      <c r="M21" s="5"/>
      <c r="N21" s="8"/>
      <c r="O21" s="9"/>
      <c r="Q21" s="11"/>
      <c r="R21" s="11"/>
      <c r="T21" s="8"/>
      <c r="U21" s="9"/>
      <c r="X21" s="11"/>
    </row>
    <row r="22">
      <c r="B22" s="8" t="s">
        <v>28</v>
      </c>
      <c r="C22" s="9" t="s">
        <v>61</v>
      </c>
      <c r="D22" s="10">
        <f t="shared" si="1"/>
        <v>28646</v>
      </c>
      <c r="E22" s="11">
        <v>13460.0</v>
      </c>
      <c r="F22" s="11">
        <v>15186.0</v>
      </c>
      <c r="G22" s="6"/>
      <c r="H22" s="8"/>
      <c r="I22" s="8"/>
      <c r="K22" s="11"/>
      <c r="L22" s="11"/>
      <c r="M22" s="5"/>
      <c r="N22" s="8"/>
      <c r="O22" s="8"/>
      <c r="Q22" s="11"/>
      <c r="R22" s="11"/>
      <c r="T22" s="8"/>
      <c r="U22" s="9"/>
      <c r="X22" s="11"/>
    </row>
    <row r="23">
      <c r="B23" s="8" t="s">
        <v>28</v>
      </c>
      <c r="C23" s="9" t="s">
        <v>21</v>
      </c>
      <c r="D23" s="10">
        <f t="shared" si="1"/>
        <v>9974</v>
      </c>
      <c r="E23" s="11">
        <v>4460.0</v>
      </c>
      <c r="F23" s="11">
        <v>5514.0</v>
      </c>
      <c r="G23" s="6"/>
      <c r="H23" s="8"/>
      <c r="I23" s="8"/>
      <c r="K23" s="11"/>
      <c r="L23" s="11"/>
      <c r="M23" s="5"/>
      <c r="N23" s="8"/>
      <c r="O23" s="8"/>
      <c r="Q23" s="11"/>
      <c r="R23" s="11"/>
      <c r="T23" s="8"/>
      <c r="U23" s="9"/>
      <c r="X23" s="11"/>
    </row>
    <row r="24">
      <c r="B24" s="8" t="s">
        <v>46</v>
      </c>
      <c r="C24" s="9" t="s">
        <v>58</v>
      </c>
      <c r="D24" s="10">
        <f t="shared" si="1"/>
        <v>12534</v>
      </c>
      <c r="E24" s="11">
        <v>6285.0</v>
      </c>
      <c r="F24" s="11">
        <v>6249.0</v>
      </c>
      <c r="G24" s="6"/>
      <c r="H24" s="8"/>
      <c r="I24" s="8"/>
      <c r="K24" s="11"/>
      <c r="L24" s="11"/>
      <c r="M24" s="5"/>
      <c r="N24" s="8"/>
      <c r="O24" s="8"/>
      <c r="Q24" s="11"/>
      <c r="R24" s="11"/>
      <c r="T24" s="8"/>
      <c r="U24" s="9"/>
      <c r="X24" s="11"/>
    </row>
    <row r="25">
      <c r="B25" s="8" t="s">
        <v>46</v>
      </c>
      <c r="C25" s="13">
        <v>45787.0</v>
      </c>
      <c r="D25" s="10">
        <f t="shared" si="1"/>
        <v>12395</v>
      </c>
      <c r="E25" s="11">
        <v>6292.0</v>
      </c>
      <c r="F25" s="11">
        <v>6103.0</v>
      </c>
      <c r="G25" s="6"/>
      <c r="H25" s="8"/>
      <c r="I25" s="8"/>
      <c r="K25" s="11"/>
      <c r="L25" s="11"/>
      <c r="M25" s="5"/>
      <c r="N25" s="8"/>
      <c r="O25" s="8"/>
      <c r="Q25" s="11"/>
      <c r="R25" s="11"/>
      <c r="T25" s="8"/>
      <c r="U25" s="9"/>
      <c r="X25" s="11"/>
    </row>
    <row r="26">
      <c r="B26" s="8" t="s">
        <v>46</v>
      </c>
      <c r="C26" s="13">
        <v>45945.0</v>
      </c>
      <c r="D26" s="10">
        <f t="shared" si="1"/>
        <v>11407</v>
      </c>
      <c r="E26" s="11">
        <v>6078.0</v>
      </c>
      <c r="F26" s="11">
        <v>5329.0</v>
      </c>
      <c r="G26" s="6"/>
      <c r="H26" s="8"/>
      <c r="I26" s="8"/>
      <c r="K26" s="11"/>
      <c r="L26" s="11"/>
      <c r="M26" s="5"/>
      <c r="N26" s="8"/>
      <c r="O26" s="8"/>
      <c r="Q26" s="11"/>
      <c r="R26" s="11"/>
      <c r="T26" s="8"/>
      <c r="U26" s="9"/>
      <c r="X26" s="11"/>
    </row>
    <row r="27">
      <c r="B27" s="8" t="s">
        <v>46</v>
      </c>
      <c r="C27" s="9" t="s">
        <v>59</v>
      </c>
      <c r="D27" s="10">
        <f t="shared" si="1"/>
        <v>9618</v>
      </c>
      <c r="E27" s="11">
        <v>4579.0</v>
      </c>
      <c r="F27" s="11">
        <v>5039.0</v>
      </c>
      <c r="G27" s="6"/>
      <c r="H27" s="8"/>
      <c r="I27" s="8"/>
      <c r="K27" s="11"/>
      <c r="L27" s="11"/>
      <c r="M27" s="5"/>
      <c r="N27" s="8"/>
      <c r="O27" s="8"/>
      <c r="Q27" s="11"/>
      <c r="R27" s="11"/>
      <c r="T27" s="8"/>
      <c r="U27" s="9"/>
      <c r="X27" s="11"/>
    </row>
    <row r="28">
      <c r="B28" s="8" t="s">
        <v>46</v>
      </c>
      <c r="C28" s="9" t="s">
        <v>60</v>
      </c>
      <c r="D28" s="10">
        <f t="shared" si="1"/>
        <v>27490</v>
      </c>
      <c r="E28" s="11">
        <v>13942.0</v>
      </c>
      <c r="F28" s="11">
        <v>13548.0</v>
      </c>
      <c r="G28" s="6"/>
      <c r="H28" s="8"/>
      <c r="I28" s="8"/>
      <c r="K28" s="11"/>
      <c r="L28" s="11"/>
      <c r="M28" s="5"/>
      <c r="N28" s="8"/>
      <c r="O28" s="8"/>
      <c r="Q28" s="11"/>
      <c r="R28" s="11"/>
      <c r="T28" s="8"/>
      <c r="X28" s="11"/>
    </row>
    <row r="29">
      <c r="B29" s="8" t="s">
        <v>46</v>
      </c>
      <c r="C29" s="9" t="s">
        <v>61</v>
      </c>
      <c r="D29" s="10">
        <f t="shared" si="1"/>
        <v>12975</v>
      </c>
      <c r="E29" s="11">
        <v>6579.0</v>
      </c>
      <c r="F29" s="11">
        <v>6396.0</v>
      </c>
      <c r="G29" s="6"/>
      <c r="H29" s="8"/>
      <c r="I29" s="9"/>
      <c r="K29" s="11"/>
      <c r="L29" s="11"/>
      <c r="M29" s="5"/>
      <c r="N29" s="8"/>
      <c r="O29" s="9"/>
      <c r="Q29" s="11"/>
      <c r="R29" s="11"/>
      <c r="T29" s="8"/>
      <c r="U29" s="9"/>
      <c r="W29" s="11"/>
      <c r="X29" s="11"/>
    </row>
    <row r="30">
      <c r="B30" s="8" t="s">
        <v>46</v>
      </c>
      <c r="C30" s="9" t="s">
        <v>21</v>
      </c>
      <c r="D30" s="10">
        <f t="shared" si="1"/>
        <v>4508</v>
      </c>
      <c r="E30" s="11">
        <v>2220.0</v>
      </c>
      <c r="F30" s="11">
        <v>2288.0</v>
      </c>
      <c r="G30" s="6"/>
      <c r="H30" s="8"/>
      <c r="I30" s="13"/>
      <c r="K30" s="11"/>
      <c r="L30" s="11"/>
      <c r="M30" s="5"/>
      <c r="N30" s="8"/>
      <c r="O30" s="13"/>
      <c r="Q30" s="11"/>
      <c r="R30" s="11"/>
      <c r="T30" s="8"/>
      <c r="U30" s="13"/>
      <c r="W30" s="11"/>
      <c r="X30" s="11"/>
    </row>
    <row r="31">
      <c r="B31" s="8" t="s">
        <v>42</v>
      </c>
      <c r="C31" s="9" t="s">
        <v>58</v>
      </c>
      <c r="D31" s="10">
        <f t="shared" si="1"/>
        <v>15095</v>
      </c>
      <c r="E31" s="11">
        <v>7779.0</v>
      </c>
      <c r="F31" s="11">
        <v>7316.0</v>
      </c>
      <c r="G31" s="6"/>
      <c r="H31" s="8"/>
      <c r="I31" s="13"/>
      <c r="K31" s="11"/>
      <c r="L31" s="11"/>
      <c r="M31" s="5"/>
      <c r="N31" s="8"/>
      <c r="O31" s="13"/>
      <c r="Q31" s="11"/>
      <c r="R31" s="11"/>
      <c r="T31" s="8"/>
      <c r="U31" s="13"/>
      <c r="W31" s="11"/>
      <c r="X31" s="11"/>
    </row>
    <row r="32">
      <c r="B32" s="8" t="s">
        <v>42</v>
      </c>
      <c r="C32" s="13">
        <v>45787.0</v>
      </c>
      <c r="D32" s="10">
        <f t="shared" si="1"/>
        <v>15287</v>
      </c>
      <c r="E32" s="11">
        <v>8007.0</v>
      </c>
      <c r="F32" s="11">
        <v>7280.0</v>
      </c>
      <c r="G32" s="6"/>
      <c r="H32" s="8"/>
      <c r="I32" s="9"/>
      <c r="K32" s="11"/>
      <c r="L32" s="11"/>
      <c r="M32" s="5"/>
      <c r="N32" s="8"/>
      <c r="O32" s="9"/>
      <c r="Q32" s="11"/>
      <c r="R32" s="11"/>
      <c r="T32" s="8"/>
      <c r="U32" s="8"/>
      <c r="W32" s="11"/>
      <c r="X32" s="11"/>
    </row>
    <row r="33">
      <c r="B33" s="8" t="s">
        <v>42</v>
      </c>
      <c r="C33" s="13">
        <v>45945.0</v>
      </c>
      <c r="D33" s="10">
        <f t="shared" si="1"/>
        <v>17277</v>
      </c>
      <c r="E33" s="11">
        <v>10347.0</v>
      </c>
      <c r="F33" s="11">
        <v>6930.0</v>
      </c>
      <c r="G33" s="6"/>
      <c r="H33" s="8"/>
      <c r="I33" s="9"/>
      <c r="K33" s="11"/>
      <c r="L33" s="11"/>
      <c r="M33" s="5"/>
      <c r="N33" s="8"/>
      <c r="O33" s="9"/>
      <c r="Q33" s="11"/>
      <c r="R33" s="11"/>
      <c r="T33" s="8"/>
      <c r="U33" s="8"/>
      <c r="W33" s="11"/>
      <c r="X33" s="11"/>
    </row>
    <row r="34">
      <c r="B34" s="8" t="s">
        <v>42</v>
      </c>
      <c r="C34" s="9" t="s">
        <v>59</v>
      </c>
      <c r="D34" s="10">
        <f t="shared" si="1"/>
        <v>22539</v>
      </c>
      <c r="E34" s="11">
        <v>14894.0</v>
      </c>
      <c r="F34" s="11">
        <v>7645.0</v>
      </c>
      <c r="G34" s="6"/>
      <c r="H34" s="8"/>
      <c r="I34" s="9"/>
      <c r="K34" s="11"/>
      <c r="L34" s="11"/>
      <c r="M34" s="5"/>
      <c r="N34" s="8"/>
      <c r="O34" s="9"/>
      <c r="Q34" s="11"/>
      <c r="R34" s="11"/>
      <c r="T34" s="8"/>
      <c r="U34" s="9"/>
      <c r="X34" s="11"/>
    </row>
    <row r="35">
      <c r="B35" s="8" t="s">
        <v>42</v>
      </c>
      <c r="C35" s="9" t="s">
        <v>60</v>
      </c>
      <c r="D35" s="10">
        <f t="shared" si="1"/>
        <v>118882</v>
      </c>
      <c r="E35" s="11">
        <v>92683.0</v>
      </c>
      <c r="F35" s="11">
        <v>26199.0</v>
      </c>
      <c r="G35" s="6"/>
      <c r="H35" s="8"/>
      <c r="I35" s="8"/>
      <c r="K35" s="11"/>
      <c r="L35" s="11"/>
      <c r="M35" s="5"/>
      <c r="N35" s="8"/>
      <c r="O35" s="8"/>
      <c r="Q35" s="11"/>
      <c r="R35" s="11"/>
      <c r="T35" s="8"/>
      <c r="U35" s="9"/>
      <c r="X35" s="11"/>
    </row>
    <row r="36">
      <c r="B36" s="8" t="s">
        <v>42</v>
      </c>
      <c r="C36" s="9" t="s">
        <v>61</v>
      </c>
      <c r="D36" s="10">
        <f t="shared" si="1"/>
        <v>37482</v>
      </c>
      <c r="E36" s="11">
        <v>27132.0</v>
      </c>
      <c r="F36" s="11">
        <v>10350.0</v>
      </c>
      <c r="G36" s="6"/>
      <c r="H36" s="8"/>
      <c r="I36" s="8"/>
      <c r="K36" s="11"/>
      <c r="L36" s="11"/>
      <c r="M36" s="5"/>
      <c r="N36" s="8"/>
      <c r="O36" s="8"/>
      <c r="Q36" s="11"/>
      <c r="R36" s="11"/>
      <c r="T36" s="8"/>
      <c r="U36" s="9"/>
      <c r="X36" s="11"/>
    </row>
    <row r="37">
      <c r="B37" s="8" t="s">
        <v>42</v>
      </c>
      <c r="C37" s="9" t="s">
        <v>21</v>
      </c>
      <c r="D37" s="10">
        <f t="shared" si="1"/>
        <v>8313</v>
      </c>
      <c r="E37" s="11">
        <v>4703.0</v>
      </c>
      <c r="F37" s="11">
        <v>3610.0</v>
      </c>
      <c r="G37" s="6"/>
      <c r="H37" s="8"/>
      <c r="I37" s="8"/>
      <c r="K37" s="11"/>
      <c r="L37" s="11"/>
      <c r="M37" s="5"/>
      <c r="N37" s="8"/>
      <c r="O37" s="8"/>
      <c r="Q37" s="11"/>
      <c r="R37" s="11"/>
      <c r="T37" s="8"/>
      <c r="U37" s="9"/>
      <c r="X37" s="11"/>
    </row>
    <row r="38">
      <c r="B38" s="8" t="s">
        <v>25</v>
      </c>
      <c r="C38" s="9" t="s">
        <v>58</v>
      </c>
      <c r="D38" s="10">
        <f t="shared" si="1"/>
        <v>64136</v>
      </c>
      <c r="E38" s="11">
        <v>31583.0</v>
      </c>
      <c r="F38" s="11">
        <v>32553.0</v>
      </c>
      <c r="G38" s="6"/>
      <c r="H38" s="8"/>
      <c r="I38" s="8"/>
      <c r="K38" s="11"/>
      <c r="L38" s="11"/>
      <c r="M38" s="5"/>
      <c r="N38" s="8"/>
      <c r="O38" s="8"/>
      <c r="Q38" s="11"/>
      <c r="R38" s="11"/>
      <c r="T38" s="8"/>
      <c r="U38" s="9"/>
      <c r="X38" s="11"/>
    </row>
    <row r="39">
      <c r="B39" s="8" t="s">
        <v>25</v>
      </c>
      <c r="C39" s="13">
        <v>45787.0</v>
      </c>
      <c r="D39" s="10">
        <f t="shared" si="1"/>
        <v>59472</v>
      </c>
      <c r="E39" s="11">
        <v>29602.0</v>
      </c>
      <c r="F39" s="11">
        <v>29870.0</v>
      </c>
      <c r="G39" s="6"/>
      <c r="H39" s="8"/>
      <c r="I39" s="8"/>
      <c r="K39" s="11"/>
      <c r="L39" s="11"/>
      <c r="M39" s="5"/>
      <c r="N39" s="8"/>
      <c r="O39" s="8"/>
      <c r="Q39" s="11"/>
      <c r="R39" s="11"/>
      <c r="T39" s="8"/>
      <c r="U39" s="9"/>
      <c r="X39" s="11"/>
    </row>
    <row r="40">
      <c r="B40" s="8" t="s">
        <v>25</v>
      </c>
      <c r="C40" s="13">
        <v>45945.0</v>
      </c>
      <c r="D40" s="10">
        <f t="shared" si="1"/>
        <v>54079</v>
      </c>
      <c r="E40" s="11">
        <v>28658.0</v>
      </c>
      <c r="F40" s="11">
        <v>25421.0</v>
      </c>
      <c r="G40" s="6"/>
      <c r="H40" s="8"/>
      <c r="I40" s="8"/>
      <c r="K40" s="11"/>
      <c r="L40" s="11"/>
      <c r="M40" s="5"/>
      <c r="N40" s="8"/>
      <c r="O40" s="8"/>
      <c r="Q40" s="11"/>
      <c r="R40" s="11"/>
      <c r="T40" s="8"/>
      <c r="U40" s="9"/>
      <c r="X40" s="11"/>
    </row>
    <row r="41">
      <c r="B41" s="8" t="s">
        <v>25</v>
      </c>
      <c r="C41" s="9" t="s">
        <v>59</v>
      </c>
      <c r="D41" s="10">
        <f t="shared" si="1"/>
        <v>46391</v>
      </c>
      <c r="E41" s="11">
        <v>23969.0</v>
      </c>
      <c r="F41" s="11">
        <v>22422.0</v>
      </c>
      <c r="G41" s="6"/>
      <c r="H41" s="8"/>
      <c r="I41" s="8"/>
      <c r="K41" s="11"/>
      <c r="L41" s="11"/>
      <c r="M41" s="5"/>
      <c r="N41" s="8"/>
      <c r="O41" s="8"/>
      <c r="Q41" s="11"/>
      <c r="R41" s="11"/>
      <c r="T41" s="8"/>
      <c r="X41" s="11"/>
    </row>
    <row r="42">
      <c r="B42" s="8" t="s">
        <v>25</v>
      </c>
      <c r="C42" s="9" t="s">
        <v>60</v>
      </c>
      <c r="D42" s="10">
        <f t="shared" si="1"/>
        <v>168650</v>
      </c>
      <c r="E42" s="11">
        <v>99842.0</v>
      </c>
      <c r="F42" s="11">
        <v>68808.0</v>
      </c>
      <c r="G42" s="6"/>
      <c r="H42" s="8"/>
      <c r="I42" s="9"/>
      <c r="K42" s="11"/>
      <c r="L42" s="11"/>
      <c r="M42" s="5"/>
      <c r="N42" s="8"/>
      <c r="O42" s="9"/>
      <c r="Q42" s="11"/>
      <c r="R42" s="11"/>
      <c r="T42" s="8"/>
      <c r="U42" s="9"/>
      <c r="W42" s="11"/>
      <c r="X42" s="11"/>
    </row>
    <row r="43">
      <c r="B43" s="8" t="s">
        <v>25</v>
      </c>
      <c r="C43" s="9" t="s">
        <v>61</v>
      </c>
      <c r="D43" s="10">
        <f t="shared" si="1"/>
        <v>70854</v>
      </c>
      <c r="E43" s="11">
        <v>41785.0</v>
      </c>
      <c r="F43" s="11">
        <v>29069.0</v>
      </c>
      <c r="G43" s="6"/>
      <c r="H43" s="8"/>
      <c r="I43" s="13"/>
      <c r="K43" s="11"/>
      <c r="L43" s="11"/>
      <c r="M43" s="5"/>
      <c r="N43" s="8"/>
      <c r="O43" s="13"/>
      <c r="Q43" s="11"/>
      <c r="R43" s="11"/>
      <c r="T43" s="8"/>
      <c r="U43" s="13"/>
      <c r="W43" s="11"/>
      <c r="X43" s="11"/>
    </row>
    <row r="44">
      <c r="B44" s="8" t="s">
        <v>25</v>
      </c>
      <c r="C44" s="9" t="s">
        <v>21</v>
      </c>
      <c r="D44" s="10">
        <f t="shared" si="1"/>
        <v>21229</v>
      </c>
      <c r="E44" s="11">
        <v>11563.0</v>
      </c>
      <c r="F44" s="11">
        <v>9666.0</v>
      </c>
      <c r="G44" s="6"/>
      <c r="H44" s="8"/>
      <c r="I44" s="13"/>
      <c r="K44" s="11"/>
      <c r="L44" s="11"/>
      <c r="M44" s="5"/>
      <c r="N44" s="8"/>
      <c r="O44" s="13"/>
      <c r="Q44" s="11"/>
      <c r="R44" s="11"/>
      <c r="T44" s="8"/>
      <c r="U44" s="13"/>
      <c r="W44" s="11"/>
      <c r="X44" s="11"/>
    </row>
    <row r="45">
      <c r="B45" s="8" t="s">
        <v>39</v>
      </c>
      <c r="C45" s="9" t="s">
        <v>58</v>
      </c>
      <c r="D45" s="10">
        <f t="shared" si="1"/>
        <v>47486</v>
      </c>
      <c r="E45" s="11">
        <v>23753.0</v>
      </c>
      <c r="F45" s="11">
        <v>23733.0</v>
      </c>
      <c r="G45" s="6"/>
      <c r="H45" s="8"/>
      <c r="I45" s="9"/>
      <c r="K45" s="11"/>
      <c r="L45" s="11"/>
      <c r="M45" s="5"/>
      <c r="N45" s="8"/>
      <c r="O45" s="9"/>
      <c r="Q45" s="11"/>
      <c r="R45" s="11"/>
      <c r="T45" s="8"/>
      <c r="U45" s="9"/>
      <c r="W45" s="11"/>
      <c r="X45" s="11"/>
    </row>
    <row r="46">
      <c r="B46" s="8" t="s">
        <v>39</v>
      </c>
      <c r="C46" s="13">
        <v>45787.0</v>
      </c>
      <c r="D46" s="10">
        <f t="shared" si="1"/>
        <v>44152</v>
      </c>
      <c r="E46" s="11">
        <v>22245.0</v>
      </c>
      <c r="F46" s="11">
        <v>21907.0</v>
      </c>
      <c r="G46" s="6"/>
      <c r="H46" s="8"/>
      <c r="I46" s="9"/>
      <c r="K46" s="11"/>
      <c r="L46" s="11"/>
      <c r="M46" s="5"/>
      <c r="N46" s="8"/>
      <c r="O46" s="9"/>
      <c r="Q46" s="11"/>
      <c r="R46" s="11"/>
      <c r="T46" s="8"/>
      <c r="U46" s="9"/>
      <c r="W46" s="11"/>
      <c r="X46" s="11"/>
    </row>
    <row r="47">
      <c r="B47" s="8" t="s">
        <v>39</v>
      </c>
      <c r="C47" s="13">
        <v>45945.0</v>
      </c>
      <c r="D47" s="10">
        <f t="shared" si="1"/>
        <v>39266</v>
      </c>
      <c r="E47" s="11">
        <v>20894.0</v>
      </c>
      <c r="F47" s="11">
        <v>18372.0</v>
      </c>
      <c r="G47" s="6"/>
      <c r="H47" s="8"/>
      <c r="I47" s="9"/>
      <c r="K47" s="11"/>
      <c r="L47" s="11"/>
      <c r="M47" s="5"/>
      <c r="N47" s="8"/>
      <c r="O47" s="9"/>
      <c r="Q47" s="11"/>
      <c r="R47" s="11"/>
    </row>
    <row r="48">
      <c r="B48" s="8" t="s">
        <v>39</v>
      </c>
      <c r="C48" s="9" t="s">
        <v>59</v>
      </c>
      <c r="D48" s="10">
        <f t="shared" si="1"/>
        <v>32938</v>
      </c>
      <c r="E48" s="11">
        <v>16507.0</v>
      </c>
      <c r="F48" s="11">
        <v>16431.0</v>
      </c>
      <c r="G48" s="6"/>
      <c r="H48" s="8"/>
      <c r="I48" s="8"/>
      <c r="K48" s="11"/>
      <c r="L48" s="11"/>
      <c r="M48" s="5"/>
      <c r="N48" s="8"/>
      <c r="O48" s="8"/>
      <c r="Q48" s="11"/>
      <c r="R48" s="11"/>
    </row>
    <row r="49">
      <c r="B49" s="8" t="s">
        <v>39</v>
      </c>
      <c r="C49" s="9" t="s">
        <v>60</v>
      </c>
      <c r="D49" s="10">
        <f t="shared" si="1"/>
        <v>113811</v>
      </c>
      <c r="E49" s="11">
        <v>64834.0</v>
      </c>
      <c r="F49" s="11">
        <v>48977.0</v>
      </c>
      <c r="G49" s="6"/>
      <c r="H49" s="8"/>
      <c r="I49" s="8"/>
      <c r="K49" s="11"/>
      <c r="L49" s="11"/>
      <c r="M49" s="5"/>
      <c r="N49" s="8"/>
      <c r="O49" s="8"/>
      <c r="Q49" s="11"/>
      <c r="R49" s="11"/>
    </row>
    <row r="50">
      <c r="B50" s="8" t="s">
        <v>39</v>
      </c>
      <c r="C50" s="9" t="s">
        <v>61</v>
      </c>
      <c r="D50" s="10">
        <f t="shared" si="1"/>
        <v>46737</v>
      </c>
      <c r="E50" s="11">
        <v>26679.0</v>
      </c>
      <c r="F50" s="11">
        <v>20058.0</v>
      </c>
      <c r="G50" s="6"/>
      <c r="H50" s="8"/>
      <c r="I50" s="8"/>
      <c r="K50" s="11"/>
      <c r="L50" s="11"/>
      <c r="M50" s="5"/>
      <c r="N50" s="8"/>
      <c r="O50" s="8"/>
      <c r="Q50" s="11"/>
      <c r="R50" s="11"/>
    </row>
    <row r="51">
      <c r="B51" s="8" t="s">
        <v>39</v>
      </c>
      <c r="C51" s="9" t="s">
        <v>21</v>
      </c>
      <c r="D51" s="10">
        <f t="shared" si="1"/>
        <v>15182</v>
      </c>
      <c r="E51" s="11">
        <v>8261.0</v>
      </c>
      <c r="F51" s="11">
        <v>6921.0</v>
      </c>
      <c r="G51" s="6"/>
      <c r="H51" s="8"/>
      <c r="I51" s="8"/>
      <c r="K51" s="11"/>
      <c r="L51" s="11"/>
      <c r="M51" s="5"/>
      <c r="N51" s="8"/>
      <c r="O51" s="8"/>
      <c r="Q51" s="11"/>
      <c r="R51" s="11"/>
    </row>
    <row r="52">
      <c r="B52" s="8" t="s">
        <v>51</v>
      </c>
      <c r="C52" s="9" t="s">
        <v>58</v>
      </c>
      <c r="D52" s="10">
        <f t="shared" si="1"/>
        <v>59426</v>
      </c>
      <c r="E52" s="11">
        <v>29343.0</v>
      </c>
      <c r="F52" s="11">
        <v>30083.0</v>
      </c>
      <c r="G52" s="6"/>
      <c r="H52" s="8"/>
      <c r="I52" s="8"/>
      <c r="K52" s="11"/>
      <c r="L52" s="11"/>
      <c r="M52" s="5"/>
      <c r="N52" s="8"/>
      <c r="O52" s="8"/>
      <c r="Q52" s="11"/>
      <c r="R52" s="11"/>
    </row>
    <row r="53">
      <c r="B53" s="8" t="s">
        <v>51</v>
      </c>
      <c r="C53" s="13">
        <v>45787.0</v>
      </c>
      <c r="D53" s="10">
        <f t="shared" si="1"/>
        <v>50497</v>
      </c>
      <c r="E53" s="11">
        <v>25505.0</v>
      </c>
      <c r="F53" s="11">
        <v>24992.0</v>
      </c>
      <c r="G53" s="6"/>
      <c r="H53" s="8"/>
      <c r="I53" s="8"/>
      <c r="K53" s="11"/>
      <c r="L53" s="11"/>
      <c r="M53" s="5"/>
      <c r="N53" s="8"/>
      <c r="O53" s="8"/>
      <c r="Q53" s="11"/>
      <c r="R53" s="11"/>
    </row>
    <row r="54">
      <c r="B54" s="8" t="s">
        <v>51</v>
      </c>
      <c r="C54" s="13">
        <v>45945.0</v>
      </c>
      <c r="D54" s="10">
        <f t="shared" si="1"/>
        <v>47047</v>
      </c>
      <c r="E54" s="11">
        <v>24842.0</v>
      </c>
      <c r="F54" s="11">
        <v>22205.0</v>
      </c>
      <c r="G54" s="6"/>
      <c r="H54" s="8"/>
      <c r="I54" s="8"/>
      <c r="K54" s="11"/>
      <c r="L54" s="11"/>
      <c r="M54" s="5"/>
      <c r="N54" s="8"/>
      <c r="O54" s="8"/>
      <c r="Q54" s="11"/>
      <c r="R54" s="11"/>
    </row>
    <row r="55">
      <c r="B55" s="8" t="s">
        <v>51</v>
      </c>
      <c r="C55" s="9" t="s">
        <v>59</v>
      </c>
      <c r="D55" s="10">
        <f t="shared" si="1"/>
        <v>41000</v>
      </c>
      <c r="E55" s="11">
        <v>20075.0</v>
      </c>
      <c r="F55" s="11">
        <v>20925.0</v>
      </c>
      <c r="G55" s="6"/>
      <c r="H55" s="8"/>
      <c r="I55" s="9"/>
      <c r="K55" s="11"/>
      <c r="L55" s="11"/>
      <c r="M55" s="5"/>
      <c r="N55" s="8"/>
      <c r="O55" s="9"/>
      <c r="Q55" s="11"/>
      <c r="R55" s="11"/>
      <c r="T55" s="8"/>
      <c r="U55" s="9"/>
      <c r="W55" s="11"/>
      <c r="X55" s="11"/>
    </row>
    <row r="56">
      <c r="B56" s="8" t="s">
        <v>51</v>
      </c>
      <c r="C56" s="9" t="s">
        <v>60</v>
      </c>
      <c r="D56" s="10">
        <f t="shared" si="1"/>
        <v>68120</v>
      </c>
      <c r="E56" s="11">
        <v>6432.0</v>
      </c>
      <c r="F56" s="11">
        <v>61688.0</v>
      </c>
      <c r="G56" s="6"/>
      <c r="H56" s="8"/>
      <c r="I56" s="13"/>
      <c r="K56" s="11"/>
      <c r="L56" s="11"/>
      <c r="M56" s="5"/>
      <c r="N56" s="8"/>
      <c r="O56" s="13"/>
      <c r="Q56" s="11"/>
      <c r="R56" s="11"/>
      <c r="T56" s="8"/>
      <c r="U56" s="13"/>
      <c r="W56" s="11"/>
      <c r="X56" s="11"/>
    </row>
    <row r="57">
      <c r="B57" s="8" t="s">
        <v>51</v>
      </c>
      <c r="C57" s="9" t="s">
        <v>61</v>
      </c>
      <c r="D57" s="10">
        <f t="shared" si="1"/>
        <v>50565</v>
      </c>
      <c r="E57" s="11">
        <v>25695.0</v>
      </c>
      <c r="F57" s="11">
        <v>24870.0</v>
      </c>
      <c r="G57" s="6"/>
      <c r="H57" s="8"/>
      <c r="I57" s="13"/>
      <c r="K57" s="11"/>
      <c r="L57" s="11"/>
      <c r="M57" s="5"/>
      <c r="N57" s="8"/>
      <c r="O57" s="13"/>
      <c r="Q57" s="11"/>
      <c r="R57" s="11"/>
      <c r="T57" s="8"/>
      <c r="U57" s="13"/>
      <c r="W57" s="11"/>
      <c r="X57" s="11"/>
    </row>
    <row r="58">
      <c r="B58" s="8" t="s">
        <v>51</v>
      </c>
      <c r="C58" s="9" t="s">
        <v>21</v>
      </c>
      <c r="D58" s="10">
        <f t="shared" si="1"/>
        <v>19915</v>
      </c>
      <c r="E58" s="11">
        <v>10141.0</v>
      </c>
      <c r="F58" s="11">
        <v>9774.0</v>
      </c>
      <c r="G58" s="6"/>
      <c r="H58" s="8"/>
      <c r="I58" s="9"/>
      <c r="K58" s="11"/>
      <c r="L58" s="11"/>
      <c r="M58" s="5"/>
      <c r="N58" s="8"/>
      <c r="O58" s="9"/>
      <c r="Q58" s="11"/>
      <c r="R58" s="11"/>
      <c r="T58" s="8"/>
      <c r="U58" s="8"/>
      <c r="W58" s="11"/>
      <c r="X58" s="11"/>
    </row>
    <row r="59">
      <c r="B59" s="8" t="s">
        <v>40</v>
      </c>
      <c r="C59" s="9" t="s">
        <v>58</v>
      </c>
      <c r="D59" s="10">
        <f t="shared" si="1"/>
        <v>54316</v>
      </c>
      <c r="E59" s="11">
        <v>26573.0</v>
      </c>
      <c r="F59" s="11">
        <v>27743.0</v>
      </c>
      <c r="G59" s="6"/>
      <c r="H59" s="8"/>
      <c r="I59" s="9"/>
      <c r="K59" s="11"/>
      <c r="L59" s="11"/>
      <c r="M59" s="5"/>
      <c r="N59" s="8"/>
      <c r="O59" s="9"/>
      <c r="Q59" s="11"/>
      <c r="R59" s="11"/>
      <c r="T59" s="8"/>
      <c r="U59" s="8"/>
      <c r="W59" s="11"/>
      <c r="X59" s="11"/>
    </row>
    <row r="60">
      <c r="B60" s="8" t="s">
        <v>40</v>
      </c>
      <c r="C60" s="13">
        <v>45787.0</v>
      </c>
      <c r="D60" s="10">
        <f t="shared" si="1"/>
        <v>45558</v>
      </c>
      <c r="E60" s="11">
        <v>22803.0</v>
      </c>
      <c r="F60" s="11">
        <v>22755.0</v>
      </c>
      <c r="G60" s="6"/>
      <c r="H60" s="8"/>
      <c r="I60" s="9"/>
      <c r="K60" s="11"/>
      <c r="L60" s="11"/>
      <c r="M60" s="5"/>
      <c r="N60" s="8"/>
      <c r="O60" s="9"/>
      <c r="Q60" s="11"/>
      <c r="R60" s="11"/>
      <c r="T60" s="8"/>
      <c r="U60" s="9"/>
      <c r="X60" s="11"/>
    </row>
    <row r="61">
      <c r="B61" s="8" t="s">
        <v>40</v>
      </c>
      <c r="C61" s="13">
        <v>45945.0</v>
      </c>
      <c r="D61" s="10">
        <f t="shared" si="1"/>
        <v>44170</v>
      </c>
      <c r="E61" s="11">
        <v>22552.0</v>
      </c>
      <c r="F61" s="11">
        <v>21618.0</v>
      </c>
      <c r="G61" s="6"/>
      <c r="H61" s="8"/>
      <c r="I61" s="8"/>
      <c r="K61" s="11"/>
      <c r="L61" s="11"/>
      <c r="M61" s="5"/>
      <c r="N61" s="8"/>
      <c r="O61" s="8"/>
      <c r="Q61" s="11"/>
      <c r="R61" s="11"/>
      <c r="T61" s="8"/>
      <c r="U61" s="9"/>
      <c r="X61" s="11"/>
    </row>
    <row r="62">
      <c r="B62" s="8" t="s">
        <v>40</v>
      </c>
      <c r="C62" s="9" t="s">
        <v>59</v>
      </c>
      <c r="D62" s="10">
        <f t="shared" si="1"/>
        <v>37349</v>
      </c>
      <c r="E62" s="11">
        <v>17651.0</v>
      </c>
      <c r="F62" s="11">
        <v>19698.0</v>
      </c>
      <c r="G62" s="6"/>
      <c r="H62" s="8"/>
      <c r="I62" s="8"/>
      <c r="K62" s="11"/>
      <c r="L62" s="11"/>
      <c r="M62" s="5"/>
      <c r="N62" s="8"/>
      <c r="O62" s="8"/>
      <c r="Q62" s="11"/>
      <c r="R62" s="11"/>
      <c r="T62" s="8"/>
      <c r="U62" s="9"/>
      <c r="X62" s="11"/>
    </row>
    <row r="63">
      <c r="B63" s="8" t="s">
        <v>40</v>
      </c>
      <c r="C63" s="9" t="s">
        <v>60</v>
      </c>
      <c r="D63" s="10">
        <f t="shared" si="1"/>
        <v>110965</v>
      </c>
      <c r="E63" s="11">
        <v>53058.0</v>
      </c>
      <c r="F63" s="11">
        <v>57907.0</v>
      </c>
      <c r="G63" s="6"/>
      <c r="H63" s="8"/>
      <c r="I63" s="8"/>
      <c r="K63" s="11"/>
      <c r="L63" s="11"/>
      <c r="M63" s="5"/>
      <c r="N63" s="8"/>
      <c r="O63" s="8"/>
      <c r="Q63" s="11"/>
      <c r="R63" s="11"/>
      <c r="T63" s="8"/>
      <c r="U63" s="9"/>
      <c r="X63" s="11"/>
    </row>
    <row r="64">
      <c r="B64" s="8" t="s">
        <v>40</v>
      </c>
      <c r="C64" s="9" t="s">
        <v>61</v>
      </c>
      <c r="D64" s="10">
        <f t="shared" si="1"/>
        <v>49267</v>
      </c>
      <c r="E64" s="11">
        <v>24096.0</v>
      </c>
      <c r="F64" s="11">
        <v>25171.0</v>
      </c>
      <c r="G64" s="6"/>
      <c r="H64" s="8"/>
      <c r="I64" s="8"/>
      <c r="K64" s="11"/>
      <c r="L64" s="11"/>
      <c r="M64" s="5"/>
      <c r="N64" s="8"/>
      <c r="O64" s="8"/>
      <c r="Q64" s="11"/>
      <c r="R64" s="11"/>
      <c r="T64" s="8"/>
      <c r="U64" s="9"/>
      <c r="X64" s="11"/>
    </row>
    <row r="65">
      <c r="B65" s="8" t="s">
        <v>40</v>
      </c>
      <c r="C65" s="9" t="s">
        <v>21</v>
      </c>
      <c r="D65" s="10">
        <f t="shared" si="1"/>
        <v>23665</v>
      </c>
      <c r="E65" s="11">
        <v>11215.0</v>
      </c>
      <c r="F65" s="11">
        <v>12450.0</v>
      </c>
      <c r="G65" s="6"/>
      <c r="H65" s="8"/>
      <c r="I65" s="8"/>
      <c r="K65" s="11"/>
      <c r="L65" s="11"/>
      <c r="M65" s="5"/>
      <c r="N65" s="8"/>
      <c r="O65" s="8"/>
      <c r="Q65" s="11"/>
      <c r="R65" s="11"/>
      <c r="T65" s="8"/>
      <c r="U65" s="9"/>
      <c r="X65" s="11"/>
    </row>
    <row r="66">
      <c r="B66" s="8" t="s">
        <v>23</v>
      </c>
      <c r="C66" s="9" t="s">
        <v>58</v>
      </c>
      <c r="D66" s="10">
        <f t="shared" si="1"/>
        <v>57247</v>
      </c>
      <c r="E66" s="11">
        <v>28124.0</v>
      </c>
      <c r="F66" s="11">
        <v>29123.0</v>
      </c>
      <c r="G66" s="6"/>
      <c r="H66" s="8"/>
      <c r="I66" s="8"/>
      <c r="K66" s="11"/>
      <c r="L66" s="11"/>
      <c r="M66" s="5"/>
      <c r="N66" s="8"/>
      <c r="O66" s="8"/>
      <c r="Q66" s="11"/>
      <c r="R66" s="11"/>
      <c r="T66" s="8"/>
      <c r="U66" s="9"/>
      <c r="X66" s="11"/>
    </row>
    <row r="67">
      <c r="B67" s="8" t="s">
        <v>23</v>
      </c>
      <c r="C67" s="13">
        <v>45787.0</v>
      </c>
      <c r="D67" s="10">
        <f t="shared" si="1"/>
        <v>52594</v>
      </c>
      <c r="E67" s="11">
        <v>26291.0</v>
      </c>
      <c r="F67" s="11">
        <v>26303.0</v>
      </c>
      <c r="G67" s="6"/>
      <c r="H67" s="8"/>
      <c r="I67" s="8"/>
      <c r="K67" s="11"/>
      <c r="L67" s="11"/>
      <c r="M67" s="5"/>
      <c r="N67" s="8"/>
      <c r="O67" s="8"/>
      <c r="Q67" s="11"/>
      <c r="R67" s="11"/>
      <c r="T67" s="8"/>
      <c r="X67" s="11"/>
    </row>
    <row r="68">
      <c r="B68" s="8" t="s">
        <v>23</v>
      </c>
      <c r="C68" s="13">
        <v>45945.0</v>
      </c>
      <c r="D68" s="10">
        <f t="shared" si="1"/>
        <v>46742</v>
      </c>
      <c r="E68" s="11">
        <v>24485.0</v>
      </c>
      <c r="F68" s="11">
        <v>22257.0</v>
      </c>
      <c r="G68" s="6"/>
      <c r="H68" s="8"/>
      <c r="I68" s="9"/>
      <c r="K68" s="11"/>
      <c r="L68" s="11"/>
      <c r="M68" s="5"/>
      <c r="N68" s="8"/>
      <c r="O68" s="9"/>
      <c r="Q68" s="11"/>
      <c r="R68" s="11"/>
      <c r="T68" s="8"/>
      <c r="U68" s="9"/>
      <c r="W68" s="11"/>
      <c r="X68" s="11"/>
    </row>
    <row r="69">
      <c r="B69" s="8" t="s">
        <v>23</v>
      </c>
      <c r="C69" s="9" t="s">
        <v>59</v>
      </c>
      <c r="D69" s="10">
        <f t="shared" si="1"/>
        <v>37329</v>
      </c>
      <c r="E69" s="11">
        <v>17983.0</v>
      </c>
      <c r="F69" s="11">
        <v>19346.0</v>
      </c>
      <c r="G69" s="6"/>
      <c r="H69" s="8"/>
      <c r="I69" s="13"/>
      <c r="K69" s="11"/>
      <c r="L69" s="11"/>
      <c r="M69" s="5"/>
      <c r="N69" s="8"/>
      <c r="O69" s="13"/>
      <c r="Q69" s="11"/>
      <c r="R69" s="11"/>
      <c r="T69" s="8"/>
      <c r="U69" s="13"/>
      <c r="W69" s="11"/>
      <c r="X69" s="11"/>
    </row>
    <row r="70">
      <c r="B70" s="8" t="s">
        <v>23</v>
      </c>
      <c r="C70" s="9" t="s">
        <v>60</v>
      </c>
      <c r="D70" s="10">
        <f t="shared" si="1"/>
        <v>126499</v>
      </c>
      <c r="E70" s="11">
        <v>69271.0</v>
      </c>
      <c r="F70" s="11">
        <v>57228.0</v>
      </c>
      <c r="G70" s="6"/>
      <c r="H70" s="8"/>
      <c r="I70" s="13"/>
      <c r="K70" s="11"/>
      <c r="L70" s="11"/>
      <c r="M70" s="5"/>
      <c r="N70" s="8"/>
      <c r="O70" s="13"/>
      <c r="Q70" s="11"/>
      <c r="R70" s="11"/>
      <c r="T70" s="8"/>
      <c r="U70" s="13"/>
      <c r="W70" s="11"/>
      <c r="X70" s="11"/>
    </row>
    <row r="71">
      <c r="B71" s="8" t="s">
        <v>23</v>
      </c>
      <c r="C71" s="9" t="s">
        <v>61</v>
      </c>
      <c r="D71" s="10">
        <f t="shared" si="1"/>
        <v>52386</v>
      </c>
      <c r="E71" s="11">
        <v>28168.0</v>
      </c>
      <c r="F71" s="11">
        <v>24218.0</v>
      </c>
      <c r="G71" s="6"/>
      <c r="H71" s="8"/>
      <c r="I71" s="9"/>
      <c r="K71" s="11"/>
      <c r="L71" s="11"/>
      <c r="M71" s="5"/>
      <c r="N71" s="8"/>
      <c r="O71" s="9"/>
      <c r="Q71" s="11"/>
      <c r="R71" s="11"/>
      <c r="T71" s="8"/>
      <c r="U71" s="8"/>
      <c r="W71" s="11"/>
      <c r="X71" s="11"/>
    </row>
    <row r="72">
      <c r="B72" s="8" t="s">
        <v>23</v>
      </c>
      <c r="C72" s="9" t="s">
        <v>21</v>
      </c>
      <c r="D72" s="10">
        <f t="shared" si="1"/>
        <v>18630</v>
      </c>
      <c r="E72" s="11">
        <v>9655.0</v>
      </c>
      <c r="F72" s="11">
        <v>8975.0</v>
      </c>
      <c r="G72" s="6"/>
      <c r="H72" s="8"/>
      <c r="I72" s="9"/>
      <c r="K72" s="11"/>
      <c r="L72" s="11"/>
      <c r="M72" s="5"/>
      <c r="N72" s="8"/>
      <c r="O72" s="9"/>
      <c r="Q72" s="11"/>
      <c r="R72" s="11"/>
      <c r="T72" s="8"/>
      <c r="U72" s="8"/>
      <c r="W72" s="11"/>
      <c r="X72" s="11"/>
    </row>
    <row r="73">
      <c r="B73" s="8" t="s">
        <v>62</v>
      </c>
      <c r="C73" s="8" t="s">
        <v>63</v>
      </c>
      <c r="D73" s="10">
        <f t="shared" si="1"/>
        <v>44802</v>
      </c>
      <c r="E73" s="11">
        <v>22025.0</v>
      </c>
      <c r="F73" s="11">
        <v>22777.0</v>
      </c>
      <c r="G73" s="6"/>
      <c r="H73" s="8"/>
      <c r="I73" s="9"/>
      <c r="K73" s="11"/>
      <c r="L73" s="11"/>
      <c r="M73" s="5"/>
      <c r="N73" s="8"/>
      <c r="O73" s="9"/>
      <c r="Q73" s="11"/>
      <c r="R73" s="11"/>
      <c r="T73" s="8"/>
      <c r="U73" s="9"/>
      <c r="X73" s="11"/>
    </row>
    <row r="74">
      <c r="B74" s="8" t="s">
        <v>62</v>
      </c>
      <c r="C74" s="8" t="s">
        <v>64</v>
      </c>
      <c r="D74" s="10">
        <f t="shared" si="1"/>
        <v>39958</v>
      </c>
      <c r="E74" s="11">
        <v>20285.0</v>
      </c>
      <c r="F74" s="11">
        <v>19673.0</v>
      </c>
      <c r="G74" s="6"/>
      <c r="H74" s="8"/>
      <c r="I74" s="8"/>
      <c r="K74" s="11"/>
      <c r="L74" s="11"/>
      <c r="M74" s="5"/>
      <c r="N74" s="8"/>
      <c r="O74" s="8"/>
      <c r="Q74" s="11"/>
      <c r="R74" s="11"/>
      <c r="T74" s="8"/>
      <c r="U74" s="9"/>
      <c r="X74" s="11"/>
    </row>
    <row r="75">
      <c r="B75" s="8" t="s">
        <v>62</v>
      </c>
      <c r="C75" s="8" t="s">
        <v>65</v>
      </c>
      <c r="D75" s="10">
        <f t="shared" si="1"/>
        <v>35379</v>
      </c>
      <c r="E75" s="11">
        <v>18302.0</v>
      </c>
      <c r="F75" s="11">
        <v>17077.0</v>
      </c>
      <c r="G75" s="6"/>
      <c r="H75" s="8"/>
      <c r="I75" s="8"/>
      <c r="K75" s="11"/>
      <c r="L75" s="11"/>
      <c r="M75" s="5"/>
      <c r="N75" s="8"/>
      <c r="O75" s="8"/>
      <c r="Q75" s="11"/>
      <c r="R75" s="11"/>
      <c r="T75" s="8"/>
      <c r="U75" s="9"/>
      <c r="X75" s="11"/>
    </row>
    <row r="76">
      <c r="B76" s="8" t="s">
        <v>62</v>
      </c>
      <c r="C76" s="8" t="s">
        <v>66</v>
      </c>
      <c r="D76" s="10">
        <f t="shared" si="1"/>
        <v>29349</v>
      </c>
      <c r="E76" s="11">
        <v>14640.0</v>
      </c>
      <c r="F76" s="11">
        <v>14709.0</v>
      </c>
      <c r="G76" s="6"/>
      <c r="H76" s="8"/>
      <c r="I76" s="8"/>
      <c r="K76" s="11"/>
      <c r="L76" s="11"/>
      <c r="M76" s="5"/>
      <c r="N76" s="8"/>
      <c r="O76" s="8"/>
      <c r="Q76" s="11"/>
      <c r="R76" s="11"/>
      <c r="T76" s="8"/>
      <c r="U76" s="9"/>
      <c r="X76" s="11"/>
    </row>
    <row r="77">
      <c r="B77" s="8" t="s">
        <v>62</v>
      </c>
      <c r="C77" s="8" t="s">
        <v>67</v>
      </c>
      <c r="D77" s="10">
        <f t="shared" si="1"/>
        <v>98248</v>
      </c>
      <c r="E77" s="11">
        <v>53537.0</v>
      </c>
      <c r="F77" s="11">
        <v>44711.0</v>
      </c>
      <c r="G77" s="6"/>
      <c r="H77" s="8"/>
      <c r="I77" s="8"/>
      <c r="K77" s="11"/>
      <c r="L77" s="11"/>
      <c r="M77" s="5"/>
      <c r="N77" s="8"/>
      <c r="O77" s="8"/>
      <c r="Q77" s="11"/>
      <c r="R77" s="11"/>
      <c r="T77" s="8"/>
      <c r="U77" s="9"/>
      <c r="X77" s="11"/>
    </row>
    <row r="78">
      <c r="B78" s="8" t="s">
        <v>62</v>
      </c>
      <c r="C78" s="8" t="s">
        <v>68</v>
      </c>
      <c r="D78" s="10">
        <f t="shared" si="1"/>
        <v>41044</v>
      </c>
      <c r="E78" s="11">
        <v>22482.0</v>
      </c>
      <c r="F78" s="11">
        <v>18562.0</v>
      </c>
      <c r="G78" s="6"/>
      <c r="H78" s="8"/>
      <c r="I78" s="8"/>
      <c r="K78" s="11"/>
      <c r="L78" s="11"/>
      <c r="M78" s="5"/>
      <c r="N78" s="8"/>
      <c r="O78" s="8"/>
      <c r="Q78" s="11"/>
      <c r="R78" s="11"/>
      <c r="T78" s="8"/>
      <c r="U78" s="9"/>
      <c r="X78" s="11"/>
    </row>
    <row r="79">
      <c r="B79" s="8" t="s">
        <v>62</v>
      </c>
      <c r="C79" s="8" t="s">
        <v>21</v>
      </c>
      <c r="D79" s="10">
        <f t="shared" si="1"/>
        <v>14494</v>
      </c>
      <c r="E79" s="11">
        <v>7706.0</v>
      </c>
      <c r="F79" s="11">
        <v>6788.0</v>
      </c>
      <c r="G79" s="6"/>
      <c r="H79" s="8"/>
      <c r="I79" s="8"/>
      <c r="K79" s="11"/>
      <c r="L79" s="11"/>
      <c r="M79" s="5"/>
      <c r="N79" s="8"/>
      <c r="O79" s="8"/>
      <c r="Q79" s="11"/>
      <c r="R79" s="11"/>
      <c r="T79" s="8"/>
      <c r="U79" s="9"/>
      <c r="X79" s="11"/>
    </row>
    <row r="80">
      <c r="B80" s="8" t="s">
        <v>53</v>
      </c>
      <c r="C80" s="8" t="s">
        <v>63</v>
      </c>
      <c r="D80" s="10">
        <f t="shared" si="1"/>
        <v>68552</v>
      </c>
      <c r="E80" s="11">
        <v>33924.0</v>
      </c>
      <c r="F80" s="11">
        <v>34628.0</v>
      </c>
      <c r="G80" s="6"/>
      <c r="H80" s="8"/>
      <c r="I80" s="8"/>
      <c r="K80" s="11"/>
      <c r="L80" s="11"/>
      <c r="M80" s="5"/>
      <c r="N80" s="8"/>
      <c r="O80" s="8"/>
      <c r="Q80" s="11"/>
      <c r="R80" s="11"/>
      <c r="T80" s="8"/>
      <c r="X80" s="11"/>
    </row>
    <row r="81">
      <c r="B81" s="8" t="s">
        <v>53</v>
      </c>
      <c r="C81" s="8" t="s">
        <v>64</v>
      </c>
      <c r="D81" s="10">
        <f t="shared" si="1"/>
        <v>61379</v>
      </c>
      <c r="E81" s="11">
        <v>30732.0</v>
      </c>
      <c r="F81" s="11">
        <v>30647.0</v>
      </c>
      <c r="G81" s="6"/>
      <c r="H81" s="8"/>
      <c r="I81" s="9"/>
      <c r="K81" s="11"/>
      <c r="L81" s="11"/>
      <c r="M81" s="5"/>
      <c r="N81" s="8"/>
      <c r="O81" s="9"/>
      <c r="Q81" s="11"/>
      <c r="R81" s="11"/>
      <c r="T81" s="8"/>
      <c r="U81" s="9"/>
      <c r="W81" s="11"/>
      <c r="X81" s="11"/>
    </row>
    <row r="82">
      <c r="B82" s="8" t="s">
        <v>53</v>
      </c>
      <c r="C82" s="8" t="s">
        <v>65</v>
      </c>
      <c r="D82" s="10">
        <f t="shared" si="1"/>
        <v>52802</v>
      </c>
      <c r="E82" s="11">
        <v>27784.0</v>
      </c>
      <c r="F82" s="11">
        <v>25018.0</v>
      </c>
      <c r="G82" s="6"/>
      <c r="H82" s="8"/>
      <c r="I82" s="13"/>
      <c r="K82" s="11"/>
      <c r="L82" s="11"/>
      <c r="M82" s="5"/>
      <c r="N82" s="8"/>
      <c r="O82" s="13"/>
      <c r="Q82" s="11"/>
      <c r="R82" s="11"/>
      <c r="T82" s="8"/>
      <c r="U82" s="13"/>
      <c r="W82" s="11"/>
      <c r="X82" s="11"/>
    </row>
    <row r="83">
      <c r="B83" s="8" t="s">
        <v>53</v>
      </c>
      <c r="C83" s="8" t="s">
        <v>66</v>
      </c>
      <c r="D83" s="10">
        <f t="shared" si="1"/>
        <v>47379</v>
      </c>
      <c r="E83" s="11">
        <v>24073.0</v>
      </c>
      <c r="F83" s="11">
        <v>23306.0</v>
      </c>
      <c r="G83" s="6"/>
      <c r="H83" s="8"/>
      <c r="I83" s="13"/>
      <c r="K83" s="11"/>
      <c r="L83" s="11"/>
      <c r="M83" s="5"/>
      <c r="N83" s="8"/>
      <c r="O83" s="13"/>
      <c r="Q83" s="11"/>
      <c r="R83" s="11"/>
      <c r="T83" s="8"/>
      <c r="U83" s="13"/>
      <c r="W83" s="11"/>
      <c r="X83" s="11"/>
    </row>
    <row r="84">
      <c r="B84" s="8" t="s">
        <v>53</v>
      </c>
      <c r="C84" s="8" t="s">
        <v>67</v>
      </c>
      <c r="D84" s="10">
        <f t="shared" si="1"/>
        <v>163591</v>
      </c>
      <c r="E84" s="11">
        <v>94518.0</v>
      </c>
      <c r="F84" s="11">
        <v>69073.0</v>
      </c>
      <c r="G84" s="6"/>
      <c r="H84" s="8"/>
      <c r="I84" s="9"/>
      <c r="K84" s="11"/>
      <c r="L84" s="11"/>
      <c r="M84" s="5"/>
      <c r="N84" s="8"/>
      <c r="O84" s="9"/>
      <c r="Q84" s="11"/>
      <c r="R84" s="11"/>
      <c r="T84" s="8"/>
      <c r="U84" s="9"/>
      <c r="X84" s="11"/>
    </row>
    <row r="85">
      <c r="B85" s="8" t="s">
        <v>53</v>
      </c>
      <c r="C85" s="8" t="s">
        <v>68</v>
      </c>
      <c r="D85" s="10">
        <f t="shared" si="1"/>
        <v>67941</v>
      </c>
      <c r="E85" s="11">
        <v>38349.0</v>
      </c>
      <c r="F85" s="11">
        <v>29592.0</v>
      </c>
      <c r="G85" s="6"/>
      <c r="H85" s="8"/>
      <c r="I85" s="9"/>
      <c r="K85" s="11"/>
      <c r="L85" s="11"/>
      <c r="M85" s="5"/>
      <c r="N85" s="8"/>
      <c r="O85" s="9"/>
      <c r="Q85" s="11"/>
      <c r="R85" s="11"/>
      <c r="T85" s="8"/>
      <c r="U85" s="9"/>
      <c r="W85" s="11"/>
      <c r="X85" s="11"/>
    </row>
    <row r="86">
      <c r="B86" s="8" t="s">
        <v>53</v>
      </c>
      <c r="C86" s="8" t="s">
        <v>21</v>
      </c>
      <c r="D86" s="10">
        <f t="shared" si="1"/>
        <v>22766</v>
      </c>
      <c r="E86" s="11">
        <v>12026.0</v>
      </c>
      <c r="F86" s="11">
        <v>10740.0</v>
      </c>
      <c r="G86" s="6"/>
      <c r="H86" s="8"/>
      <c r="I86" s="9"/>
      <c r="K86" s="11"/>
      <c r="L86" s="11"/>
      <c r="M86" s="5"/>
      <c r="N86" s="8"/>
      <c r="O86" s="9"/>
      <c r="Q86" s="11"/>
      <c r="R86" s="11"/>
    </row>
    <row r="87">
      <c r="B87" s="8" t="s">
        <v>26</v>
      </c>
      <c r="C87" s="8" t="s">
        <v>63</v>
      </c>
      <c r="D87" s="10">
        <f t="shared" si="1"/>
        <v>71130</v>
      </c>
      <c r="E87" s="11">
        <v>35037.0</v>
      </c>
      <c r="F87" s="11">
        <v>36093.0</v>
      </c>
      <c r="G87" s="6"/>
      <c r="H87" s="8"/>
      <c r="I87" s="8"/>
      <c r="K87" s="11"/>
      <c r="L87" s="11"/>
      <c r="M87" s="5"/>
      <c r="N87" s="8"/>
      <c r="O87" s="8"/>
      <c r="Q87" s="11"/>
      <c r="R87" s="11"/>
    </row>
    <row r="88">
      <c r="B88" s="8" t="s">
        <v>26</v>
      </c>
      <c r="C88" s="8" t="s">
        <v>64</v>
      </c>
      <c r="D88" s="10">
        <f t="shared" si="1"/>
        <v>65122</v>
      </c>
      <c r="E88" s="11">
        <v>32623.0</v>
      </c>
      <c r="F88" s="11">
        <v>32499.0</v>
      </c>
      <c r="G88" s="6"/>
      <c r="H88" s="8"/>
      <c r="I88" s="8"/>
      <c r="K88" s="11"/>
      <c r="L88" s="11"/>
      <c r="M88" s="5"/>
      <c r="N88" s="8"/>
      <c r="O88" s="8"/>
      <c r="Q88" s="11"/>
      <c r="R88" s="11"/>
    </row>
    <row r="89">
      <c r="B89" s="8" t="s">
        <v>26</v>
      </c>
      <c r="C89" s="8" t="s">
        <v>65</v>
      </c>
      <c r="D89" s="10">
        <f t="shared" si="1"/>
        <v>58405</v>
      </c>
      <c r="E89" s="11">
        <v>30452.0</v>
      </c>
      <c r="F89" s="11">
        <v>27953.0</v>
      </c>
      <c r="G89" s="6"/>
      <c r="H89" s="8"/>
      <c r="I89" s="8"/>
      <c r="K89" s="11"/>
      <c r="L89" s="11"/>
      <c r="M89" s="5"/>
      <c r="N89" s="8"/>
      <c r="O89" s="8"/>
      <c r="Q89" s="11"/>
      <c r="R89" s="11"/>
    </row>
    <row r="90">
      <c r="B90" s="8" t="s">
        <v>26</v>
      </c>
      <c r="C90" s="8" t="s">
        <v>66</v>
      </c>
      <c r="D90" s="10">
        <f t="shared" si="1"/>
        <v>47257</v>
      </c>
      <c r="E90" s="11">
        <v>22373.0</v>
      </c>
      <c r="F90" s="11">
        <v>24884.0</v>
      </c>
      <c r="G90" s="6"/>
      <c r="H90" s="8"/>
      <c r="I90" s="8"/>
      <c r="K90" s="11"/>
      <c r="L90" s="11"/>
      <c r="M90" s="5"/>
      <c r="N90" s="8"/>
      <c r="O90" s="8"/>
      <c r="Q90" s="11"/>
      <c r="R90" s="11"/>
    </row>
    <row r="91">
      <c r="B91" s="8" t="s">
        <v>26</v>
      </c>
      <c r="C91" s="8" t="s">
        <v>67</v>
      </c>
      <c r="D91" s="10">
        <f t="shared" si="1"/>
        <v>149836</v>
      </c>
      <c r="E91" s="11">
        <v>74350.0</v>
      </c>
      <c r="F91" s="11">
        <v>75486.0</v>
      </c>
      <c r="G91" s="6"/>
      <c r="H91" s="8"/>
      <c r="I91" s="8"/>
      <c r="K91" s="11"/>
      <c r="L91" s="11"/>
      <c r="M91" s="5"/>
      <c r="N91" s="8"/>
      <c r="O91" s="8"/>
      <c r="Q91" s="11"/>
      <c r="R91" s="11"/>
    </row>
    <row r="92">
      <c r="B92" s="8" t="s">
        <v>26</v>
      </c>
      <c r="C92" s="8" t="s">
        <v>68</v>
      </c>
      <c r="D92" s="10">
        <f t="shared" si="1"/>
        <v>65095</v>
      </c>
      <c r="E92" s="11">
        <v>32712.0</v>
      </c>
      <c r="F92" s="11">
        <v>32383.0</v>
      </c>
      <c r="G92" s="6"/>
      <c r="H92" s="8"/>
      <c r="I92" s="8"/>
      <c r="K92" s="11"/>
      <c r="L92" s="11"/>
      <c r="M92" s="5"/>
      <c r="N92" s="8"/>
      <c r="O92" s="8"/>
      <c r="Q92" s="11"/>
      <c r="R92" s="11"/>
    </row>
    <row r="93">
      <c r="B93" s="8" t="s">
        <v>26</v>
      </c>
      <c r="C93" s="8" t="s">
        <v>21</v>
      </c>
      <c r="D93" s="10">
        <f t="shared" si="1"/>
        <v>27707</v>
      </c>
      <c r="E93" s="11">
        <v>14004.0</v>
      </c>
      <c r="F93" s="11">
        <v>13703.0</v>
      </c>
      <c r="G93" s="6"/>
      <c r="H93" s="8"/>
      <c r="I93" s="8"/>
      <c r="K93" s="11"/>
      <c r="L93" s="11"/>
      <c r="M93" s="5"/>
      <c r="N93" s="8"/>
      <c r="O93" s="8"/>
      <c r="Q93" s="11"/>
      <c r="R93" s="11"/>
    </row>
    <row r="94">
      <c r="B94" s="8" t="s">
        <v>54</v>
      </c>
      <c r="C94" s="8" t="s">
        <v>63</v>
      </c>
      <c r="D94" s="10">
        <f t="shared" si="1"/>
        <v>40241</v>
      </c>
      <c r="E94" s="11">
        <v>19982.0</v>
      </c>
      <c r="F94" s="11">
        <v>20259.0</v>
      </c>
      <c r="G94" s="6"/>
      <c r="H94" s="8"/>
      <c r="I94" s="9"/>
      <c r="K94" s="11"/>
      <c r="L94" s="11"/>
      <c r="M94" s="5"/>
      <c r="N94" s="8"/>
      <c r="O94" s="9"/>
      <c r="Q94" s="11"/>
      <c r="R94" s="11"/>
      <c r="T94" s="8"/>
      <c r="U94" s="9"/>
      <c r="W94" s="11"/>
      <c r="X94" s="11"/>
    </row>
    <row r="95">
      <c r="B95" s="8" t="s">
        <v>54</v>
      </c>
      <c r="C95" s="8" t="s">
        <v>64</v>
      </c>
      <c r="D95" s="10">
        <f t="shared" si="1"/>
        <v>36184</v>
      </c>
      <c r="E95" s="11">
        <v>18257.0</v>
      </c>
      <c r="F95" s="11">
        <v>17927.0</v>
      </c>
      <c r="G95" s="6"/>
      <c r="H95" s="8"/>
      <c r="I95" s="13"/>
      <c r="K95" s="11"/>
      <c r="L95" s="11"/>
      <c r="M95" s="5"/>
      <c r="N95" s="8"/>
      <c r="O95" s="13"/>
      <c r="Q95" s="11"/>
      <c r="R95" s="11"/>
      <c r="T95" s="8"/>
      <c r="U95" s="13"/>
      <c r="W95" s="11"/>
      <c r="X95" s="11"/>
    </row>
    <row r="96">
      <c r="B96" s="8" t="s">
        <v>54</v>
      </c>
      <c r="C96" s="8" t="s">
        <v>65</v>
      </c>
      <c r="D96" s="10">
        <f t="shared" si="1"/>
        <v>31238</v>
      </c>
      <c r="E96" s="11">
        <v>16793.0</v>
      </c>
      <c r="F96" s="11">
        <v>14445.0</v>
      </c>
      <c r="G96" s="6"/>
      <c r="H96" s="8"/>
      <c r="I96" s="13"/>
      <c r="K96" s="11"/>
      <c r="L96" s="11"/>
      <c r="M96" s="5"/>
      <c r="N96" s="8"/>
      <c r="O96" s="13"/>
      <c r="Q96" s="11"/>
      <c r="R96" s="11"/>
      <c r="T96" s="8"/>
      <c r="U96" s="13"/>
      <c r="W96" s="11"/>
      <c r="X96" s="11"/>
    </row>
    <row r="97">
      <c r="B97" s="8" t="s">
        <v>54</v>
      </c>
      <c r="C97" s="8" t="s">
        <v>66</v>
      </c>
      <c r="D97" s="10">
        <f t="shared" si="1"/>
        <v>26105</v>
      </c>
      <c r="E97" s="11">
        <v>12468.0</v>
      </c>
      <c r="F97" s="11">
        <v>13637.0</v>
      </c>
      <c r="G97" s="6"/>
      <c r="H97" s="8"/>
      <c r="I97" s="9"/>
      <c r="K97" s="11"/>
      <c r="L97" s="11"/>
      <c r="M97" s="5"/>
      <c r="N97" s="8"/>
      <c r="O97" s="9"/>
      <c r="Q97" s="11"/>
      <c r="R97" s="11"/>
      <c r="T97" s="8"/>
      <c r="U97" s="8"/>
      <c r="W97" s="11"/>
      <c r="X97" s="11"/>
    </row>
    <row r="98">
      <c r="B98" s="8" t="s">
        <v>54</v>
      </c>
      <c r="C98" s="8" t="s">
        <v>67</v>
      </c>
      <c r="D98" s="10">
        <f t="shared" si="1"/>
        <v>90508</v>
      </c>
      <c r="E98" s="11">
        <v>47004.0</v>
      </c>
      <c r="F98" s="11">
        <v>43504.0</v>
      </c>
      <c r="G98" s="6"/>
      <c r="H98" s="8"/>
      <c r="I98" s="9"/>
      <c r="K98" s="11"/>
      <c r="L98" s="11"/>
      <c r="M98" s="5"/>
      <c r="N98" s="8"/>
      <c r="O98" s="9"/>
      <c r="Q98" s="11"/>
      <c r="R98" s="11"/>
      <c r="T98" s="8"/>
      <c r="U98" s="8"/>
      <c r="W98" s="11"/>
      <c r="X98" s="11"/>
    </row>
    <row r="99">
      <c r="B99" s="8" t="s">
        <v>54</v>
      </c>
      <c r="C99" s="8" t="s">
        <v>68</v>
      </c>
      <c r="D99" s="10">
        <f t="shared" si="1"/>
        <v>41544</v>
      </c>
      <c r="E99" s="11">
        <v>22339.0</v>
      </c>
      <c r="F99" s="11">
        <v>19205.0</v>
      </c>
      <c r="G99" s="6"/>
      <c r="H99" s="8"/>
      <c r="I99" s="9"/>
      <c r="K99" s="11"/>
      <c r="L99" s="11"/>
      <c r="M99" s="5"/>
      <c r="N99" s="8"/>
      <c r="O99" s="9"/>
      <c r="Q99" s="11"/>
      <c r="R99" s="11"/>
      <c r="T99" s="8"/>
      <c r="U99" s="8"/>
      <c r="W99" s="11"/>
      <c r="X99" s="11"/>
    </row>
    <row r="100">
      <c r="B100" s="8" t="s">
        <v>54</v>
      </c>
      <c r="C100" s="8" t="s">
        <v>21</v>
      </c>
      <c r="D100" s="10">
        <f t="shared" si="1"/>
        <v>13395</v>
      </c>
      <c r="E100" s="11">
        <v>6842.0</v>
      </c>
      <c r="F100" s="11">
        <v>6553.0</v>
      </c>
      <c r="G100" s="6"/>
      <c r="H100" s="8"/>
      <c r="I100" s="8"/>
      <c r="K100" s="11"/>
      <c r="L100" s="11"/>
      <c r="M100" s="5"/>
      <c r="N100" s="8"/>
      <c r="O100" s="8"/>
      <c r="Q100" s="11"/>
      <c r="R100" s="11"/>
      <c r="T100" s="8"/>
      <c r="U100" s="8"/>
      <c r="W100" s="11"/>
      <c r="X100" s="11"/>
    </row>
    <row r="101">
      <c r="B101" s="8" t="s">
        <v>45</v>
      </c>
      <c r="C101" s="8" t="s">
        <v>63</v>
      </c>
      <c r="D101" s="10">
        <f t="shared" si="1"/>
        <v>6027</v>
      </c>
      <c r="E101" s="11">
        <v>2964.0</v>
      </c>
      <c r="F101" s="11">
        <v>3063.0</v>
      </c>
      <c r="G101" s="6"/>
      <c r="H101" s="8"/>
      <c r="I101" s="8"/>
      <c r="K101" s="11"/>
      <c r="L101" s="11"/>
      <c r="M101" s="5"/>
      <c r="N101" s="8"/>
      <c r="O101" s="8"/>
      <c r="Q101" s="11"/>
      <c r="R101" s="11"/>
      <c r="T101" s="8"/>
      <c r="U101" s="8"/>
      <c r="W101" s="11"/>
      <c r="X101" s="11"/>
    </row>
    <row r="102">
      <c r="B102" s="8" t="s">
        <v>45</v>
      </c>
      <c r="C102" s="8" t="s">
        <v>64</v>
      </c>
      <c r="D102" s="10">
        <f t="shared" si="1"/>
        <v>4503</v>
      </c>
      <c r="E102" s="11">
        <v>2313.0</v>
      </c>
      <c r="F102" s="11">
        <v>2190.0</v>
      </c>
      <c r="G102" s="6"/>
      <c r="H102" s="8"/>
      <c r="I102" s="8"/>
      <c r="K102" s="11"/>
      <c r="L102" s="11"/>
      <c r="M102" s="5"/>
      <c r="N102" s="8"/>
      <c r="O102" s="8"/>
      <c r="Q102" s="11"/>
      <c r="R102" s="11"/>
      <c r="T102" s="8"/>
      <c r="U102" s="8"/>
      <c r="W102" s="11"/>
      <c r="X102" s="11"/>
    </row>
    <row r="103">
      <c r="B103" s="8" t="s">
        <v>45</v>
      </c>
      <c r="C103" s="8" t="s">
        <v>65</v>
      </c>
      <c r="D103" s="10">
        <f t="shared" si="1"/>
        <v>3257</v>
      </c>
      <c r="E103" s="11">
        <v>1741.0</v>
      </c>
      <c r="F103" s="11">
        <v>1516.0</v>
      </c>
      <c r="G103" s="6"/>
      <c r="H103" s="8"/>
      <c r="I103" s="8"/>
      <c r="K103" s="11"/>
      <c r="L103" s="11"/>
      <c r="M103" s="5"/>
      <c r="N103" s="8"/>
      <c r="O103" s="8"/>
      <c r="Q103" s="11"/>
      <c r="R103" s="11"/>
      <c r="T103" s="8"/>
      <c r="U103" s="8"/>
      <c r="W103" s="11"/>
      <c r="X103" s="11"/>
    </row>
    <row r="104">
      <c r="B104" s="8" t="s">
        <v>45</v>
      </c>
      <c r="C104" s="8" t="s">
        <v>66</v>
      </c>
      <c r="D104" s="10">
        <f t="shared" si="1"/>
        <v>3220</v>
      </c>
      <c r="E104" s="11">
        <v>1441.0</v>
      </c>
      <c r="F104" s="11">
        <v>1779.0</v>
      </c>
      <c r="G104" s="6"/>
      <c r="H104" s="8"/>
      <c r="I104" s="8"/>
      <c r="K104" s="11"/>
      <c r="L104" s="11"/>
      <c r="M104" s="5"/>
      <c r="N104" s="8"/>
      <c r="O104" s="8"/>
      <c r="Q104" s="11"/>
      <c r="R104" s="11"/>
      <c r="T104" s="8"/>
      <c r="U104" s="8"/>
      <c r="W104" s="11"/>
      <c r="X104" s="11"/>
    </row>
    <row r="105">
      <c r="B105" s="8" t="s">
        <v>45</v>
      </c>
      <c r="C105" s="8" t="s">
        <v>67</v>
      </c>
      <c r="D105" s="10">
        <f t="shared" si="1"/>
        <v>13812</v>
      </c>
      <c r="E105" s="11">
        <v>7105.0</v>
      </c>
      <c r="F105" s="11">
        <v>6707.0</v>
      </c>
      <c r="G105" s="6"/>
      <c r="H105" s="8"/>
      <c r="I105" s="8"/>
      <c r="K105" s="11"/>
      <c r="L105" s="11"/>
      <c r="M105" s="5"/>
      <c r="N105" s="8"/>
      <c r="O105" s="8"/>
      <c r="Q105" s="11"/>
      <c r="R105" s="11"/>
      <c r="T105" s="8"/>
      <c r="U105" s="8"/>
      <c r="W105" s="11"/>
      <c r="X105" s="11"/>
    </row>
    <row r="106">
      <c r="B106" s="8" t="s">
        <v>45</v>
      </c>
      <c r="C106" s="8" t="s">
        <v>68</v>
      </c>
      <c r="D106" s="10">
        <f t="shared" si="1"/>
        <v>5593</v>
      </c>
      <c r="E106" s="11">
        <v>3161.0</v>
      </c>
      <c r="F106" s="11">
        <v>2432.0</v>
      </c>
      <c r="G106" s="6"/>
      <c r="H106" s="8"/>
      <c r="I106" s="8"/>
      <c r="K106" s="11"/>
      <c r="L106" s="11"/>
      <c r="M106" s="5"/>
      <c r="N106" s="8"/>
      <c r="O106" s="8"/>
      <c r="Q106" s="11"/>
      <c r="R106" s="11"/>
      <c r="T106" s="8"/>
      <c r="U106" s="8"/>
      <c r="W106" s="11"/>
      <c r="X106" s="11"/>
    </row>
    <row r="107">
      <c r="B107" s="8" t="s">
        <v>45</v>
      </c>
      <c r="C107" s="8" t="s">
        <v>21</v>
      </c>
      <c r="D107" s="10">
        <f t="shared" si="1"/>
        <v>1425</v>
      </c>
      <c r="E107" s="11">
        <v>739.0</v>
      </c>
      <c r="F107" s="11">
        <v>686.0</v>
      </c>
      <c r="G107" s="6"/>
      <c r="H107" s="8"/>
      <c r="I107" s="9"/>
      <c r="K107" s="11"/>
      <c r="L107" s="11"/>
      <c r="M107" s="5"/>
      <c r="N107" s="8"/>
      <c r="O107" s="9"/>
      <c r="Q107" s="11"/>
      <c r="R107" s="11"/>
      <c r="T107" s="8"/>
      <c r="U107" s="9"/>
      <c r="W107" s="11"/>
      <c r="X107" s="11"/>
    </row>
    <row r="108">
      <c r="B108" s="8" t="s">
        <v>69</v>
      </c>
      <c r="C108" s="8" t="s">
        <v>63</v>
      </c>
      <c r="D108" s="10">
        <f t="shared" si="1"/>
        <v>54770</v>
      </c>
      <c r="E108" s="11">
        <v>27352.0</v>
      </c>
      <c r="F108" s="11">
        <v>27418.0</v>
      </c>
      <c r="G108" s="6"/>
      <c r="H108" s="8"/>
      <c r="I108" s="13"/>
      <c r="K108" s="11"/>
      <c r="L108" s="11"/>
      <c r="M108" s="5"/>
      <c r="N108" s="8"/>
      <c r="O108" s="13"/>
      <c r="Q108" s="11"/>
      <c r="R108" s="11"/>
      <c r="T108" s="8"/>
      <c r="U108" s="13"/>
      <c r="W108" s="11"/>
      <c r="X108" s="11"/>
    </row>
    <row r="109">
      <c r="B109" s="8" t="s">
        <v>69</v>
      </c>
      <c r="C109" s="8" t="s">
        <v>64</v>
      </c>
      <c r="D109" s="10">
        <f t="shared" si="1"/>
        <v>48768</v>
      </c>
      <c r="E109" s="11">
        <v>24824.0</v>
      </c>
      <c r="F109" s="11">
        <v>23944.0</v>
      </c>
      <c r="G109" s="6"/>
      <c r="H109" s="8"/>
      <c r="I109" s="13"/>
      <c r="K109" s="11"/>
      <c r="L109" s="11"/>
      <c r="M109" s="5"/>
      <c r="N109" s="8"/>
      <c r="O109" s="13"/>
      <c r="Q109" s="11"/>
      <c r="R109" s="11"/>
      <c r="T109" s="8"/>
      <c r="U109" s="13"/>
      <c r="W109" s="11"/>
      <c r="X109" s="11"/>
    </row>
    <row r="110">
      <c r="B110" s="8" t="s">
        <v>69</v>
      </c>
      <c r="C110" s="8" t="s">
        <v>65</v>
      </c>
      <c r="D110" s="10">
        <f t="shared" si="1"/>
        <v>40793</v>
      </c>
      <c r="E110" s="11">
        <v>21726.0</v>
      </c>
      <c r="F110" s="11">
        <v>19067.0</v>
      </c>
      <c r="G110" s="6"/>
      <c r="H110" s="8"/>
      <c r="I110" s="9"/>
      <c r="K110" s="11"/>
      <c r="L110" s="11"/>
      <c r="M110" s="5"/>
      <c r="N110" s="8"/>
      <c r="O110" s="9"/>
      <c r="Q110" s="11"/>
      <c r="R110" s="11"/>
      <c r="T110" s="8"/>
      <c r="U110" s="9"/>
      <c r="W110" s="11"/>
      <c r="X110" s="11"/>
    </row>
    <row r="111">
      <c r="B111" s="8" t="s">
        <v>69</v>
      </c>
      <c r="C111" s="8" t="s">
        <v>66</v>
      </c>
      <c r="D111" s="10">
        <f t="shared" si="1"/>
        <v>33561</v>
      </c>
      <c r="E111" s="11">
        <v>16378.0</v>
      </c>
      <c r="F111" s="11">
        <v>17183.0</v>
      </c>
      <c r="G111" s="6"/>
      <c r="H111" s="8"/>
      <c r="I111" s="9"/>
      <c r="K111" s="11"/>
      <c r="L111" s="11"/>
      <c r="M111" s="5"/>
      <c r="N111" s="8"/>
      <c r="O111" s="9"/>
      <c r="Q111" s="11"/>
      <c r="R111" s="11"/>
      <c r="T111" s="8"/>
      <c r="U111" s="9"/>
      <c r="W111" s="11"/>
      <c r="X111" s="11"/>
    </row>
    <row r="112">
      <c r="B112" s="8" t="s">
        <v>69</v>
      </c>
      <c r="C112" s="8" t="s">
        <v>67</v>
      </c>
      <c r="D112" s="10">
        <f t="shared" si="1"/>
        <v>106960</v>
      </c>
      <c r="E112" s="11">
        <v>57313.0</v>
      </c>
      <c r="F112" s="11">
        <v>49647.0</v>
      </c>
      <c r="G112" s="6"/>
      <c r="H112" s="8"/>
      <c r="I112" s="9"/>
      <c r="K112" s="11"/>
      <c r="L112" s="11"/>
      <c r="M112" s="5"/>
      <c r="N112" s="8"/>
      <c r="O112" s="9"/>
      <c r="Q112" s="11"/>
      <c r="R112" s="11"/>
    </row>
    <row r="113">
      <c r="B113" s="8" t="s">
        <v>69</v>
      </c>
      <c r="C113" s="8" t="s">
        <v>68</v>
      </c>
      <c r="D113" s="10">
        <f t="shared" si="1"/>
        <v>43778</v>
      </c>
      <c r="E113" s="11">
        <v>24108.0</v>
      </c>
      <c r="F113" s="11">
        <v>19670.0</v>
      </c>
      <c r="G113" s="6"/>
      <c r="H113" s="8"/>
      <c r="I113" s="8"/>
      <c r="K113" s="11"/>
      <c r="L113" s="11"/>
      <c r="M113" s="5"/>
      <c r="N113" s="8"/>
      <c r="O113" s="8"/>
      <c r="Q113" s="11"/>
      <c r="R113" s="11"/>
    </row>
    <row r="114">
      <c r="B114" s="8" t="s">
        <v>69</v>
      </c>
      <c r="C114" s="8" t="s">
        <v>21</v>
      </c>
      <c r="D114" s="10">
        <f t="shared" si="1"/>
        <v>14820</v>
      </c>
      <c r="E114" s="11">
        <v>8447.0</v>
      </c>
      <c r="F114" s="11">
        <v>6373.0</v>
      </c>
      <c r="G114" s="6"/>
      <c r="H114" s="8"/>
      <c r="I114" s="8"/>
      <c r="K114" s="11"/>
      <c r="L114" s="11"/>
      <c r="M114" s="5"/>
      <c r="N114" s="8"/>
      <c r="O114" s="8"/>
      <c r="Q114" s="11"/>
      <c r="R114" s="11"/>
    </row>
    <row r="115">
      <c r="B115" s="8" t="s">
        <v>22</v>
      </c>
      <c r="C115" s="8" t="s">
        <v>63</v>
      </c>
      <c r="D115" s="10">
        <f t="shared" si="1"/>
        <v>43833</v>
      </c>
      <c r="E115" s="11">
        <v>21616.0</v>
      </c>
      <c r="F115" s="11">
        <v>22217.0</v>
      </c>
      <c r="G115" s="6"/>
      <c r="H115" s="8"/>
      <c r="I115" s="8"/>
      <c r="K115" s="11"/>
      <c r="L115" s="11"/>
      <c r="M115" s="5"/>
      <c r="N115" s="8"/>
      <c r="O115" s="8"/>
      <c r="Q115" s="11"/>
      <c r="R115" s="11"/>
    </row>
    <row r="116">
      <c r="B116" s="8" t="s">
        <v>22</v>
      </c>
      <c r="C116" s="8" t="s">
        <v>64</v>
      </c>
      <c r="D116" s="10">
        <f t="shared" si="1"/>
        <v>39923</v>
      </c>
      <c r="E116" s="11">
        <v>20366.0</v>
      </c>
      <c r="F116" s="11">
        <v>19557.0</v>
      </c>
      <c r="G116" s="6"/>
      <c r="H116" s="8"/>
      <c r="I116" s="8"/>
      <c r="K116" s="11"/>
      <c r="L116" s="11"/>
      <c r="M116" s="5"/>
      <c r="N116" s="8"/>
      <c r="O116" s="8"/>
      <c r="Q116" s="11"/>
      <c r="R116" s="11"/>
    </row>
    <row r="117">
      <c r="B117" s="8" t="s">
        <v>22</v>
      </c>
      <c r="C117" s="8" t="s">
        <v>65</v>
      </c>
      <c r="D117" s="10">
        <f t="shared" si="1"/>
        <v>34877</v>
      </c>
      <c r="E117" s="11">
        <v>18398.0</v>
      </c>
      <c r="F117" s="11">
        <v>16479.0</v>
      </c>
      <c r="G117" s="6"/>
      <c r="H117" s="8"/>
      <c r="I117" s="8"/>
      <c r="K117" s="11"/>
      <c r="L117" s="11"/>
      <c r="M117" s="5"/>
      <c r="N117" s="8"/>
      <c r="O117" s="8"/>
      <c r="Q117" s="11"/>
      <c r="R117" s="11"/>
    </row>
    <row r="118">
      <c r="B118" s="8" t="s">
        <v>22</v>
      </c>
      <c r="C118" s="8" t="s">
        <v>66</v>
      </c>
      <c r="D118" s="10">
        <f t="shared" si="1"/>
        <v>29710</v>
      </c>
      <c r="E118" s="11">
        <v>15009.0</v>
      </c>
      <c r="F118" s="11">
        <v>14701.0</v>
      </c>
      <c r="G118" s="6"/>
      <c r="H118" s="8"/>
      <c r="I118" s="8"/>
      <c r="K118" s="11"/>
      <c r="L118" s="11"/>
      <c r="M118" s="5"/>
      <c r="N118" s="8"/>
      <c r="O118" s="8"/>
      <c r="Q118" s="11"/>
      <c r="R118" s="11"/>
    </row>
    <row r="119">
      <c r="B119" s="8" t="s">
        <v>22</v>
      </c>
      <c r="C119" s="8" t="s">
        <v>67</v>
      </c>
      <c r="D119" s="10">
        <f t="shared" si="1"/>
        <v>97781</v>
      </c>
      <c r="E119" s="11">
        <v>57144.0</v>
      </c>
      <c r="F119" s="11">
        <v>40637.0</v>
      </c>
      <c r="G119" s="6"/>
      <c r="H119" s="8"/>
      <c r="I119" s="8"/>
      <c r="K119" s="11"/>
      <c r="L119" s="11"/>
      <c r="M119" s="5"/>
      <c r="N119" s="8"/>
      <c r="O119" s="8"/>
      <c r="Q119" s="11"/>
      <c r="R119" s="11"/>
    </row>
    <row r="120">
      <c r="B120" s="8" t="s">
        <v>22</v>
      </c>
      <c r="C120" s="8" t="s">
        <v>68</v>
      </c>
      <c r="D120" s="10">
        <f t="shared" si="1"/>
        <v>39979</v>
      </c>
      <c r="E120" s="11">
        <v>23171.0</v>
      </c>
      <c r="F120" s="11">
        <v>16808.0</v>
      </c>
      <c r="G120" s="6"/>
      <c r="H120" s="8"/>
      <c r="I120" s="9"/>
      <c r="K120" s="11"/>
      <c r="L120" s="11"/>
      <c r="M120" s="5"/>
      <c r="N120" s="8"/>
      <c r="O120" s="9"/>
      <c r="Q120" s="11"/>
      <c r="R120" s="11"/>
      <c r="T120" s="8"/>
      <c r="U120" s="9"/>
      <c r="W120" s="11"/>
      <c r="X120" s="11"/>
    </row>
    <row r="121">
      <c r="B121" s="8" t="s">
        <v>22</v>
      </c>
      <c r="C121" s="8" t="s">
        <v>21</v>
      </c>
      <c r="D121" s="10">
        <f t="shared" si="1"/>
        <v>14070</v>
      </c>
      <c r="E121" s="11">
        <v>8226.0</v>
      </c>
      <c r="F121" s="11">
        <v>5844.0</v>
      </c>
      <c r="G121" s="6"/>
      <c r="H121" s="8"/>
      <c r="I121" s="13"/>
      <c r="K121" s="11"/>
      <c r="L121" s="11"/>
      <c r="M121" s="5"/>
      <c r="N121" s="8"/>
      <c r="O121" s="13"/>
      <c r="Q121" s="11"/>
      <c r="R121" s="11"/>
      <c r="T121" s="8"/>
      <c r="U121" s="13"/>
      <c r="W121" s="11"/>
      <c r="X121" s="11"/>
    </row>
    <row r="122">
      <c r="B122" s="8" t="s">
        <v>50</v>
      </c>
      <c r="C122" s="8" t="s">
        <v>63</v>
      </c>
      <c r="D122" s="10">
        <f t="shared" si="1"/>
        <v>15892</v>
      </c>
      <c r="E122" s="11">
        <v>8088.0</v>
      </c>
      <c r="F122" s="11">
        <v>7804.0</v>
      </c>
      <c r="G122" s="6"/>
      <c r="H122" s="8"/>
      <c r="I122" s="13"/>
      <c r="K122" s="11"/>
      <c r="L122" s="11"/>
      <c r="M122" s="5"/>
      <c r="N122" s="8"/>
      <c r="O122" s="13"/>
      <c r="Q122" s="11"/>
      <c r="R122" s="11"/>
      <c r="T122" s="8"/>
      <c r="U122" s="13"/>
      <c r="W122" s="11"/>
      <c r="X122" s="11"/>
    </row>
    <row r="123">
      <c r="B123" s="8" t="s">
        <v>50</v>
      </c>
      <c r="C123" s="8" t="s">
        <v>64</v>
      </c>
      <c r="D123" s="10">
        <f t="shared" si="1"/>
        <v>15005</v>
      </c>
      <c r="E123" s="11">
        <v>7679.0</v>
      </c>
      <c r="F123" s="11">
        <v>7326.0</v>
      </c>
      <c r="G123" s="6"/>
      <c r="H123" s="8"/>
      <c r="I123" s="9"/>
      <c r="K123" s="11"/>
      <c r="L123" s="11"/>
      <c r="M123" s="5"/>
      <c r="N123" s="8"/>
      <c r="O123" s="9"/>
      <c r="Q123" s="11"/>
      <c r="R123" s="11"/>
      <c r="T123" s="8"/>
      <c r="U123" s="9"/>
      <c r="W123" s="11"/>
      <c r="X123" s="11"/>
    </row>
    <row r="124">
      <c r="B124" s="8" t="s">
        <v>50</v>
      </c>
      <c r="C124" s="8" t="s">
        <v>65</v>
      </c>
      <c r="D124" s="10">
        <f t="shared" si="1"/>
        <v>13683</v>
      </c>
      <c r="E124" s="11">
        <v>7226.0</v>
      </c>
      <c r="F124" s="11">
        <v>6457.0</v>
      </c>
      <c r="G124" s="6"/>
      <c r="H124" s="8"/>
      <c r="I124" s="9"/>
      <c r="K124" s="11"/>
      <c r="L124" s="11"/>
      <c r="M124" s="5"/>
      <c r="N124" s="8"/>
      <c r="O124" s="9"/>
      <c r="Q124" s="11"/>
      <c r="R124" s="11"/>
      <c r="T124" s="8"/>
      <c r="U124" s="9"/>
      <c r="W124" s="11"/>
      <c r="X124" s="11"/>
    </row>
    <row r="125">
      <c r="B125" s="8" t="s">
        <v>50</v>
      </c>
      <c r="C125" s="8" t="s">
        <v>66</v>
      </c>
      <c r="D125" s="10">
        <f t="shared" si="1"/>
        <v>10831</v>
      </c>
      <c r="E125" s="11">
        <v>5128.0</v>
      </c>
      <c r="F125" s="11">
        <v>5703.0</v>
      </c>
      <c r="G125" s="6"/>
      <c r="H125" s="8"/>
      <c r="I125" s="9"/>
      <c r="K125" s="11"/>
      <c r="L125" s="11"/>
      <c r="M125" s="5"/>
      <c r="N125" s="8"/>
      <c r="O125" s="9"/>
      <c r="Q125" s="11"/>
      <c r="R125" s="11"/>
    </row>
    <row r="126">
      <c r="B126" s="8" t="s">
        <v>50</v>
      </c>
      <c r="C126" s="8" t="s">
        <v>67</v>
      </c>
      <c r="D126" s="10">
        <f t="shared" si="1"/>
        <v>31616</v>
      </c>
      <c r="E126" s="11">
        <v>15217.0</v>
      </c>
      <c r="F126" s="11">
        <v>16399.0</v>
      </c>
      <c r="G126" s="6"/>
      <c r="H126" s="8"/>
      <c r="I126" s="8"/>
      <c r="K126" s="11"/>
      <c r="L126" s="11"/>
      <c r="M126" s="5"/>
      <c r="N126" s="8"/>
      <c r="O126" s="8"/>
      <c r="Q126" s="11"/>
      <c r="R126" s="11"/>
    </row>
    <row r="127">
      <c r="B127" s="8" t="s">
        <v>50</v>
      </c>
      <c r="C127" s="8" t="s">
        <v>68</v>
      </c>
      <c r="D127" s="10">
        <f t="shared" si="1"/>
        <v>16423</v>
      </c>
      <c r="E127" s="11">
        <v>7974.0</v>
      </c>
      <c r="F127" s="11">
        <v>8449.0</v>
      </c>
      <c r="G127" s="6"/>
      <c r="H127" s="8"/>
      <c r="I127" s="8"/>
      <c r="K127" s="11"/>
      <c r="L127" s="11"/>
      <c r="M127" s="5"/>
      <c r="N127" s="8"/>
      <c r="O127" s="8"/>
      <c r="Q127" s="11"/>
      <c r="R127" s="11"/>
    </row>
    <row r="128">
      <c r="B128" s="8" t="s">
        <v>50</v>
      </c>
      <c r="C128" s="8" t="s">
        <v>21</v>
      </c>
      <c r="D128" s="10">
        <f t="shared" si="1"/>
        <v>6529</v>
      </c>
      <c r="E128" s="11">
        <v>3262.0</v>
      </c>
      <c r="F128" s="11">
        <v>3267.0</v>
      </c>
      <c r="G128" s="6"/>
      <c r="H128" s="8"/>
      <c r="I128" s="8"/>
      <c r="K128" s="11"/>
      <c r="L128" s="11"/>
      <c r="M128" s="5"/>
      <c r="N128" s="8"/>
      <c r="O128" s="8"/>
      <c r="Q128" s="11"/>
      <c r="R128" s="11"/>
    </row>
    <row r="129">
      <c r="B129" s="8" t="s">
        <v>34</v>
      </c>
      <c r="C129" s="8" t="s">
        <v>63</v>
      </c>
      <c r="D129" s="10">
        <f t="shared" si="1"/>
        <v>12797</v>
      </c>
      <c r="E129" s="11">
        <v>6399.0</v>
      </c>
      <c r="F129" s="11">
        <v>6398.0</v>
      </c>
      <c r="G129" s="6"/>
      <c r="H129" s="8"/>
      <c r="I129" s="8"/>
      <c r="K129" s="11"/>
      <c r="L129" s="11"/>
      <c r="M129" s="5"/>
      <c r="N129" s="8"/>
      <c r="O129" s="8"/>
      <c r="Q129" s="11"/>
      <c r="R129" s="11"/>
    </row>
    <row r="130">
      <c r="B130" s="8" t="s">
        <v>34</v>
      </c>
      <c r="C130" s="8" t="s">
        <v>64</v>
      </c>
      <c r="D130" s="10">
        <f t="shared" si="1"/>
        <v>12835</v>
      </c>
      <c r="E130" s="11">
        <v>6539.0</v>
      </c>
      <c r="F130" s="11">
        <v>6296.0</v>
      </c>
      <c r="G130" s="6"/>
      <c r="H130" s="8"/>
      <c r="I130" s="8"/>
      <c r="K130" s="11"/>
      <c r="L130" s="11"/>
      <c r="M130" s="5"/>
      <c r="N130" s="8"/>
      <c r="O130" s="8"/>
      <c r="Q130" s="11"/>
      <c r="R130" s="11"/>
    </row>
    <row r="131">
      <c r="B131" s="8" t="s">
        <v>34</v>
      </c>
      <c r="C131" s="8" t="s">
        <v>65</v>
      </c>
      <c r="D131" s="10">
        <f t="shared" si="1"/>
        <v>10286</v>
      </c>
      <c r="E131" s="11">
        <v>5413.0</v>
      </c>
      <c r="F131" s="11">
        <v>4873.0</v>
      </c>
      <c r="G131" s="6"/>
      <c r="H131" s="8"/>
      <c r="I131" s="8"/>
      <c r="K131" s="11"/>
      <c r="L131" s="11"/>
      <c r="M131" s="5"/>
      <c r="N131" s="8"/>
      <c r="O131" s="8"/>
      <c r="Q131" s="11"/>
      <c r="R131" s="11"/>
    </row>
    <row r="132">
      <c r="B132" s="8" t="s">
        <v>34</v>
      </c>
      <c r="C132" s="8" t="s">
        <v>66</v>
      </c>
      <c r="D132" s="10">
        <f t="shared" si="1"/>
        <v>7855</v>
      </c>
      <c r="E132" s="11">
        <v>3714.0</v>
      </c>
      <c r="F132" s="11">
        <v>4141.0</v>
      </c>
      <c r="G132" s="6"/>
      <c r="H132" s="8"/>
      <c r="I132" s="8"/>
      <c r="K132" s="11"/>
      <c r="L132" s="11"/>
      <c r="M132" s="5"/>
      <c r="N132" s="8"/>
      <c r="O132" s="8"/>
      <c r="Q132" s="11"/>
      <c r="R132" s="11"/>
    </row>
    <row r="133">
      <c r="B133" s="8" t="s">
        <v>34</v>
      </c>
      <c r="C133" s="8" t="s">
        <v>67</v>
      </c>
      <c r="D133" s="10">
        <f t="shared" si="1"/>
        <v>28290</v>
      </c>
      <c r="E133" s="11">
        <v>15036.0</v>
      </c>
      <c r="F133" s="11">
        <v>13254.0</v>
      </c>
      <c r="G133" s="6"/>
      <c r="H133" s="8"/>
      <c r="I133" s="9"/>
      <c r="K133" s="11"/>
      <c r="L133" s="11"/>
      <c r="M133" s="5"/>
      <c r="N133" s="8"/>
      <c r="O133" s="9"/>
      <c r="Q133" s="11"/>
      <c r="R133" s="11"/>
      <c r="T133" s="8"/>
      <c r="U133" s="9"/>
      <c r="W133" s="11"/>
      <c r="X133" s="11"/>
    </row>
    <row r="134">
      <c r="B134" s="8" t="s">
        <v>34</v>
      </c>
      <c r="C134" s="8" t="s">
        <v>68</v>
      </c>
      <c r="D134" s="10">
        <f t="shared" si="1"/>
        <v>12560</v>
      </c>
      <c r="E134" s="11">
        <v>6900.0</v>
      </c>
      <c r="F134" s="11">
        <v>5660.0</v>
      </c>
      <c r="G134" s="6"/>
      <c r="H134" s="8"/>
      <c r="I134" s="13"/>
      <c r="K134" s="11"/>
      <c r="L134" s="11"/>
      <c r="M134" s="5"/>
      <c r="N134" s="8"/>
      <c r="O134" s="13"/>
      <c r="Q134" s="11"/>
      <c r="R134" s="11"/>
      <c r="T134" s="8"/>
      <c r="U134" s="13"/>
      <c r="W134" s="11"/>
      <c r="X134" s="11"/>
    </row>
    <row r="135">
      <c r="B135" s="8" t="s">
        <v>34</v>
      </c>
      <c r="C135" s="8" t="s">
        <v>21</v>
      </c>
      <c r="D135" s="10">
        <f t="shared" si="1"/>
        <v>4121</v>
      </c>
      <c r="E135" s="11">
        <v>2279.0</v>
      </c>
      <c r="F135" s="11">
        <v>1842.0</v>
      </c>
      <c r="G135" s="6"/>
      <c r="H135" s="8"/>
      <c r="I135" s="13"/>
      <c r="K135" s="11"/>
      <c r="L135" s="11"/>
      <c r="M135" s="5"/>
      <c r="N135" s="8"/>
      <c r="O135" s="13"/>
      <c r="Q135" s="11"/>
      <c r="R135" s="11"/>
      <c r="T135" s="8"/>
      <c r="U135" s="13"/>
      <c r="W135" s="11"/>
      <c r="X135" s="11"/>
    </row>
    <row r="136">
      <c r="B136" s="8" t="s">
        <v>70</v>
      </c>
      <c r="C136" s="8" t="s">
        <v>63</v>
      </c>
      <c r="D136" s="10">
        <f t="shared" si="1"/>
        <v>35746</v>
      </c>
      <c r="E136" s="1">
        <v>17649.0</v>
      </c>
      <c r="F136" s="11">
        <v>18097.0</v>
      </c>
      <c r="G136" s="6"/>
      <c r="H136" s="8"/>
      <c r="I136" s="9"/>
      <c r="K136" s="11"/>
      <c r="L136" s="11"/>
      <c r="M136" s="5"/>
      <c r="N136" s="8"/>
      <c r="O136" s="9"/>
      <c r="Q136" s="11"/>
      <c r="R136" s="11"/>
      <c r="T136" s="8"/>
      <c r="U136" s="9"/>
      <c r="W136" s="11"/>
      <c r="X136" s="11"/>
    </row>
    <row r="137">
      <c r="B137" s="8" t="s">
        <v>70</v>
      </c>
      <c r="C137" s="8" t="s">
        <v>64</v>
      </c>
      <c r="D137" s="10">
        <f t="shared" si="1"/>
        <v>28610</v>
      </c>
      <c r="E137" s="1">
        <v>14288.0</v>
      </c>
      <c r="F137" s="11">
        <v>14322.0</v>
      </c>
      <c r="G137" s="6"/>
      <c r="H137" s="8"/>
      <c r="I137" s="9"/>
      <c r="K137" s="11"/>
      <c r="L137" s="11"/>
      <c r="M137" s="5"/>
      <c r="N137" s="8"/>
      <c r="O137" s="9"/>
      <c r="Q137" s="11"/>
      <c r="R137" s="11"/>
      <c r="T137" s="8"/>
      <c r="U137" s="9"/>
      <c r="W137" s="11"/>
      <c r="X137" s="11"/>
    </row>
    <row r="138">
      <c r="B138" s="8" t="s">
        <v>70</v>
      </c>
      <c r="C138" s="8" t="s">
        <v>65</v>
      </c>
      <c r="D138" s="10">
        <f t="shared" si="1"/>
        <v>25984</v>
      </c>
      <c r="E138" s="1">
        <v>13228.0</v>
      </c>
      <c r="F138" s="11">
        <v>12756.0</v>
      </c>
      <c r="G138" s="6"/>
      <c r="H138" s="8"/>
      <c r="I138" s="9"/>
      <c r="K138" s="11"/>
      <c r="L138" s="11"/>
      <c r="M138" s="5"/>
      <c r="N138" s="8"/>
      <c r="O138" s="9"/>
      <c r="Q138" s="11"/>
      <c r="R138" s="11"/>
    </row>
    <row r="139">
      <c r="B139" s="8" t="s">
        <v>70</v>
      </c>
      <c r="C139" s="8" t="s">
        <v>66</v>
      </c>
      <c r="D139" s="10">
        <f t="shared" si="1"/>
        <v>23292</v>
      </c>
      <c r="E139" s="1">
        <v>11112.0</v>
      </c>
      <c r="F139" s="11">
        <v>12180.0</v>
      </c>
      <c r="G139" s="6"/>
      <c r="H139" s="8"/>
      <c r="I139" s="8"/>
      <c r="K139" s="11"/>
      <c r="L139" s="11"/>
      <c r="M139" s="5"/>
      <c r="N139" s="8"/>
      <c r="O139" s="8"/>
      <c r="Q139" s="11"/>
      <c r="R139" s="11"/>
    </row>
    <row r="140">
      <c r="B140" s="8" t="s">
        <v>70</v>
      </c>
      <c r="C140" s="8" t="s">
        <v>67</v>
      </c>
      <c r="D140" s="10">
        <f t="shared" si="1"/>
        <v>75105</v>
      </c>
      <c r="E140" s="1">
        <v>37719.0</v>
      </c>
      <c r="F140" s="11">
        <v>37386.0</v>
      </c>
      <c r="G140" s="6"/>
      <c r="H140" s="8"/>
      <c r="I140" s="8"/>
      <c r="K140" s="11"/>
      <c r="L140" s="11"/>
      <c r="M140" s="5"/>
      <c r="N140" s="8"/>
      <c r="O140" s="8"/>
      <c r="Q140" s="11"/>
      <c r="R140" s="11"/>
    </row>
    <row r="141">
      <c r="B141" s="8" t="s">
        <v>70</v>
      </c>
      <c r="C141" s="8" t="s">
        <v>68</v>
      </c>
      <c r="D141" s="10">
        <f t="shared" si="1"/>
        <v>34700</v>
      </c>
      <c r="E141" s="1">
        <v>17040.0</v>
      </c>
      <c r="F141" s="11">
        <v>17660.0</v>
      </c>
      <c r="G141" s="6"/>
      <c r="H141" s="8"/>
      <c r="I141" s="8"/>
      <c r="K141" s="11"/>
      <c r="L141" s="11"/>
      <c r="M141" s="5"/>
      <c r="N141" s="8"/>
      <c r="O141" s="8"/>
      <c r="Q141" s="11"/>
      <c r="R141" s="11"/>
    </row>
    <row r="142">
      <c r="B142" s="8" t="s">
        <v>70</v>
      </c>
      <c r="C142" s="8" t="s">
        <v>21</v>
      </c>
      <c r="D142" s="10">
        <f t="shared" si="1"/>
        <v>16275</v>
      </c>
      <c r="E142" s="1">
        <v>7912.0</v>
      </c>
      <c r="F142" s="11">
        <v>8363.0</v>
      </c>
      <c r="G142" s="6"/>
      <c r="H142" s="8"/>
      <c r="I142" s="8"/>
      <c r="K142" s="11"/>
      <c r="L142" s="11"/>
      <c r="M142" s="5"/>
      <c r="N142" s="8"/>
      <c r="O142" s="8"/>
      <c r="Q142" s="11"/>
      <c r="R142" s="11"/>
    </row>
    <row r="143">
      <c r="B143" s="8" t="s">
        <v>71</v>
      </c>
      <c r="C143" s="8" t="s">
        <v>63</v>
      </c>
      <c r="D143" s="10">
        <f t="shared" si="1"/>
        <v>52947</v>
      </c>
      <c r="E143" s="11">
        <v>25906.0</v>
      </c>
      <c r="F143" s="11">
        <v>27041.0</v>
      </c>
      <c r="G143" s="6"/>
      <c r="H143" s="8"/>
      <c r="I143" s="8"/>
      <c r="K143" s="11"/>
      <c r="L143" s="11"/>
      <c r="M143" s="5"/>
      <c r="N143" s="8"/>
      <c r="O143" s="8"/>
      <c r="Q143" s="11"/>
      <c r="R143" s="11"/>
    </row>
    <row r="144">
      <c r="B144" s="8" t="s">
        <v>71</v>
      </c>
      <c r="C144" s="8" t="s">
        <v>64</v>
      </c>
      <c r="D144" s="10">
        <f t="shared" si="1"/>
        <v>45867</v>
      </c>
      <c r="E144" s="11">
        <v>22628.0</v>
      </c>
      <c r="F144" s="11">
        <v>23239.0</v>
      </c>
      <c r="G144" s="6"/>
      <c r="H144" s="8"/>
      <c r="I144" s="8"/>
      <c r="K144" s="11"/>
      <c r="L144" s="11"/>
      <c r="M144" s="5"/>
      <c r="N144" s="8"/>
      <c r="O144" s="8"/>
      <c r="Q144" s="11"/>
      <c r="R144" s="11"/>
    </row>
    <row r="145">
      <c r="B145" s="8" t="s">
        <v>71</v>
      </c>
      <c r="C145" s="8" t="s">
        <v>65</v>
      </c>
      <c r="D145" s="10">
        <f t="shared" si="1"/>
        <v>38959</v>
      </c>
      <c r="E145" s="11">
        <v>19637.0</v>
      </c>
      <c r="F145" s="11">
        <v>19322.0</v>
      </c>
      <c r="G145" s="6"/>
      <c r="H145" s="8"/>
      <c r="I145" s="8"/>
      <c r="K145" s="11"/>
      <c r="L145" s="11"/>
      <c r="M145" s="5"/>
      <c r="N145" s="8"/>
      <c r="O145" s="8"/>
      <c r="Q145" s="11"/>
      <c r="R145" s="11"/>
    </row>
    <row r="146">
      <c r="B146" s="8" t="s">
        <v>71</v>
      </c>
      <c r="C146" s="8" t="s">
        <v>66</v>
      </c>
      <c r="D146" s="10">
        <f t="shared" si="1"/>
        <v>31329</v>
      </c>
      <c r="E146" s="11">
        <v>14546.0</v>
      </c>
      <c r="F146" s="11">
        <v>16783.0</v>
      </c>
      <c r="G146" s="6"/>
      <c r="H146" s="8"/>
      <c r="I146" s="9"/>
      <c r="K146" s="11"/>
      <c r="L146" s="11"/>
      <c r="M146" s="5"/>
      <c r="N146" s="8"/>
      <c r="O146" s="9"/>
      <c r="Q146" s="11"/>
      <c r="R146" s="11"/>
      <c r="T146" s="8"/>
      <c r="U146" s="9"/>
      <c r="W146" s="11"/>
      <c r="X146" s="11"/>
    </row>
    <row r="147">
      <c r="B147" s="8" t="s">
        <v>71</v>
      </c>
      <c r="C147" s="8" t="s">
        <v>67</v>
      </c>
      <c r="D147" s="10">
        <f t="shared" si="1"/>
        <v>101796</v>
      </c>
      <c r="E147" s="11">
        <v>47710.0</v>
      </c>
      <c r="F147" s="11">
        <v>54086.0</v>
      </c>
      <c r="G147" s="6"/>
      <c r="H147" s="8"/>
      <c r="I147" s="13"/>
      <c r="K147" s="11"/>
      <c r="L147" s="11"/>
      <c r="M147" s="5"/>
      <c r="N147" s="8"/>
      <c r="O147" s="13"/>
      <c r="Q147" s="11"/>
      <c r="R147" s="11"/>
      <c r="T147" s="8"/>
      <c r="U147" s="13"/>
      <c r="W147" s="11"/>
      <c r="X147" s="11"/>
    </row>
    <row r="148">
      <c r="B148" s="8" t="s">
        <v>71</v>
      </c>
      <c r="C148" s="8" t="s">
        <v>68</v>
      </c>
      <c r="D148" s="10">
        <f t="shared" si="1"/>
        <v>57859</v>
      </c>
      <c r="E148" s="11">
        <v>26477.0</v>
      </c>
      <c r="F148" s="11">
        <v>31382.0</v>
      </c>
      <c r="G148" s="6"/>
      <c r="H148" s="8"/>
      <c r="I148" s="13"/>
      <c r="K148" s="11"/>
      <c r="L148" s="11"/>
      <c r="M148" s="5"/>
      <c r="N148" s="8"/>
      <c r="O148" s="13"/>
      <c r="Q148" s="11"/>
      <c r="R148" s="11"/>
      <c r="T148" s="8"/>
      <c r="U148" s="13"/>
      <c r="W148" s="11"/>
      <c r="X148" s="11"/>
    </row>
    <row r="149">
      <c r="B149" s="8" t="s">
        <v>71</v>
      </c>
      <c r="C149" s="8" t="s">
        <v>21</v>
      </c>
      <c r="D149" s="10">
        <f t="shared" si="1"/>
        <v>27732</v>
      </c>
      <c r="E149" s="11">
        <v>10931.0</v>
      </c>
      <c r="F149" s="11">
        <v>16801.0</v>
      </c>
      <c r="G149" s="6"/>
      <c r="H149" s="8"/>
      <c r="I149" s="9"/>
      <c r="K149" s="11"/>
      <c r="L149" s="11"/>
      <c r="M149" s="5"/>
      <c r="N149" s="8"/>
      <c r="O149" s="9"/>
      <c r="Q149" s="11"/>
      <c r="R149" s="11"/>
      <c r="T149" s="8"/>
      <c r="U149" s="9"/>
      <c r="W149" s="11"/>
      <c r="X149" s="11"/>
    </row>
    <row r="150">
      <c r="B150" s="8" t="s">
        <v>35</v>
      </c>
      <c r="C150" s="8" t="s">
        <v>63</v>
      </c>
      <c r="D150" s="10">
        <f t="shared" si="1"/>
        <v>32233</v>
      </c>
      <c r="E150" s="11">
        <v>15689.0</v>
      </c>
      <c r="F150" s="11">
        <v>16544.0</v>
      </c>
      <c r="G150" s="6"/>
      <c r="H150" s="8"/>
      <c r="I150" s="9"/>
      <c r="K150" s="11"/>
      <c r="L150" s="11"/>
      <c r="M150" s="5"/>
      <c r="N150" s="8"/>
      <c r="O150" s="9"/>
      <c r="Q150" s="11"/>
      <c r="R150" s="11"/>
      <c r="T150" s="8"/>
      <c r="U150" s="9"/>
      <c r="W150" s="11"/>
      <c r="X150" s="11"/>
    </row>
    <row r="151">
      <c r="B151" s="8" t="s">
        <v>35</v>
      </c>
      <c r="C151" s="8" t="s">
        <v>64</v>
      </c>
      <c r="D151" s="10">
        <f t="shared" si="1"/>
        <v>28023</v>
      </c>
      <c r="E151" s="11">
        <v>13777.0</v>
      </c>
      <c r="F151" s="11">
        <v>14246.0</v>
      </c>
      <c r="G151" s="6"/>
      <c r="H151" s="8"/>
      <c r="I151" s="9"/>
      <c r="K151" s="11"/>
      <c r="L151" s="11"/>
      <c r="M151" s="5"/>
      <c r="N151" s="8"/>
      <c r="O151" s="9"/>
      <c r="Q151" s="11"/>
      <c r="R151" s="11"/>
    </row>
    <row r="152">
      <c r="B152" s="8" t="s">
        <v>35</v>
      </c>
      <c r="C152" s="8" t="s">
        <v>65</v>
      </c>
      <c r="D152" s="10">
        <f t="shared" si="1"/>
        <v>25324</v>
      </c>
      <c r="E152" s="11">
        <v>12806.0</v>
      </c>
      <c r="F152" s="11">
        <v>12518.0</v>
      </c>
      <c r="G152" s="6"/>
      <c r="H152" s="8"/>
      <c r="I152" s="8"/>
      <c r="K152" s="11"/>
      <c r="L152" s="11"/>
      <c r="M152" s="5"/>
      <c r="N152" s="8"/>
      <c r="O152" s="8"/>
      <c r="Q152" s="11"/>
      <c r="R152" s="11"/>
    </row>
    <row r="153">
      <c r="B153" s="8" t="s">
        <v>35</v>
      </c>
      <c r="C153" s="8" t="s">
        <v>66</v>
      </c>
      <c r="D153" s="10">
        <f t="shared" si="1"/>
        <v>21183</v>
      </c>
      <c r="E153" s="11">
        <v>10050.0</v>
      </c>
      <c r="F153" s="11">
        <v>11133.0</v>
      </c>
      <c r="G153" s="6"/>
      <c r="H153" s="8"/>
      <c r="I153" s="8"/>
      <c r="K153" s="11"/>
      <c r="L153" s="11"/>
      <c r="M153" s="5"/>
      <c r="N153" s="8"/>
      <c r="O153" s="8"/>
      <c r="Q153" s="11"/>
      <c r="R153" s="11"/>
    </row>
    <row r="154">
      <c r="B154" s="8" t="s">
        <v>35</v>
      </c>
      <c r="C154" s="8" t="s">
        <v>67</v>
      </c>
      <c r="D154" s="10">
        <f t="shared" si="1"/>
        <v>69180</v>
      </c>
      <c r="E154" s="11">
        <v>33153.0</v>
      </c>
      <c r="F154" s="11">
        <v>36027.0</v>
      </c>
      <c r="G154" s="6"/>
      <c r="H154" s="8"/>
      <c r="I154" s="8"/>
      <c r="K154" s="11"/>
      <c r="L154" s="11"/>
      <c r="M154" s="5"/>
      <c r="N154" s="8"/>
      <c r="O154" s="8"/>
      <c r="Q154" s="11"/>
      <c r="R154" s="11"/>
    </row>
    <row r="155">
      <c r="B155" s="8" t="s">
        <v>35</v>
      </c>
      <c r="C155" s="8" t="s">
        <v>68</v>
      </c>
      <c r="D155" s="10">
        <f t="shared" si="1"/>
        <v>38310</v>
      </c>
      <c r="E155" s="11">
        <v>18406.0</v>
      </c>
      <c r="F155" s="11">
        <v>19904.0</v>
      </c>
      <c r="G155" s="6"/>
      <c r="H155" s="8"/>
      <c r="I155" s="8"/>
      <c r="K155" s="11"/>
      <c r="L155" s="11"/>
      <c r="M155" s="5"/>
      <c r="N155" s="8"/>
      <c r="O155" s="8"/>
      <c r="Q155" s="11"/>
      <c r="R155" s="11"/>
    </row>
    <row r="156">
      <c r="B156" s="8" t="s">
        <v>35</v>
      </c>
      <c r="C156" s="8" t="s">
        <v>21</v>
      </c>
      <c r="D156" s="10">
        <f t="shared" si="1"/>
        <v>19124</v>
      </c>
      <c r="E156" s="11">
        <v>7869.0</v>
      </c>
      <c r="F156" s="11">
        <v>11255.0</v>
      </c>
      <c r="G156" s="6"/>
      <c r="H156" s="8"/>
      <c r="I156" s="8"/>
      <c r="K156" s="11"/>
      <c r="L156" s="11"/>
      <c r="M156" s="5"/>
      <c r="N156" s="8"/>
      <c r="O156" s="8"/>
      <c r="Q156" s="11"/>
      <c r="R156" s="11"/>
    </row>
    <row r="157">
      <c r="B157" s="8" t="s">
        <v>31</v>
      </c>
      <c r="C157" s="8" t="s">
        <v>63</v>
      </c>
      <c r="D157" s="10">
        <f t="shared" si="1"/>
        <v>38352</v>
      </c>
      <c r="E157" s="11">
        <v>18905.0</v>
      </c>
      <c r="F157" s="11">
        <v>19447.0</v>
      </c>
      <c r="G157" s="6"/>
      <c r="H157" s="8"/>
      <c r="I157" s="8"/>
      <c r="K157" s="11"/>
      <c r="L157" s="11"/>
      <c r="M157" s="5"/>
      <c r="N157" s="8"/>
      <c r="O157" s="8"/>
      <c r="Q157" s="11"/>
      <c r="R157" s="11"/>
    </row>
    <row r="158">
      <c r="B158" s="8" t="s">
        <v>31</v>
      </c>
      <c r="C158" s="8" t="s">
        <v>64</v>
      </c>
      <c r="D158" s="10">
        <f t="shared" si="1"/>
        <v>31544</v>
      </c>
      <c r="E158" s="11">
        <v>15750.0</v>
      </c>
      <c r="F158" s="11">
        <v>15794.0</v>
      </c>
      <c r="G158" s="6"/>
      <c r="H158" s="8"/>
      <c r="I158" s="8"/>
      <c r="K158" s="11"/>
      <c r="L158" s="11"/>
      <c r="M158" s="5"/>
      <c r="N158" s="8"/>
      <c r="O158" s="8"/>
      <c r="Q158" s="11"/>
      <c r="R158" s="11"/>
    </row>
    <row r="159">
      <c r="B159" s="8" t="s">
        <v>31</v>
      </c>
      <c r="C159" s="8" t="s">
        <v>65</v>
      </c>
      <c r="D159" s="10">
        <f t="shared" si="1"/>
        <v>26215</v>
      </c>
      <c r="E159" s="11">
        <v>13340.0</v>
      </c>
      <c r="F159" s="11">
        <v>12875.0</v>
      </c>
      <c r="G159" s="6"/>
      <c r="H159" s="8"/>
      <c r="I159" s="9"/>
      <c r="K159" s="11"/>
      <c r="L159" s="11"/>
      <c r="M159" s="5"/>
      <c r="N159" s="8"/>
      <c r="O159" s="9"/>
      <c r="Q159" s="11"/>
      <c r="R159" s="11"/>
      <c r="T159" s="8"/>
      <c r="U159" s="9"/>
      <c r="W159" s="11"/>
      <c r="X159" s="11"/>
    </row>
    <row r="160">
      <c r="B160" s="8" t="s">
        <v>31</v>
      </c>
      <c r="C160" s="8" t="s">
        <v>66</v>
      </c>
      <c r="D160" s="10">
        <f t="shared" si="1"/>
        <v>22418</v>
      </c>
      <c r="E160" s="11">
        <v>10393.0</v>
      </c>
      <c r="F160" s="11">
        <v>12025.0</v>
      </c>
      <c r="G160" s="6"/>
      <c r="H160" s="8"/>
      <c r="I160" s="13"/>
      <c r="K160" s="11"/>
      <c r="L160" s="11"/>
      <c r="M160" s="5"/>
      <c r="N160" s="8"/>
      <c r="O160" s="13"/>
      <c r="Q160" s="11"/>
      <c r="R160" s="11"/>
      <c r="T160" s="8"/>
      <c r="U160" s="13"/>
      <c r="W160" s="11"/>
      <c r="X160" s="11"/>
    </row>
    <row r="161">
      <c r="B161" s="8" t="s">
        <v>31</v>
      </c>
      <c r="C161" s="8" t="s">
        <v>67</v>
      </c>
      <c r="D161" s="10">
        <f t="shared" si="1"/>
        <v>73461</v>
      </c>
      <c r="E161" s="11">
        <v>35069.0</v>
      </c>
      <c r="F161" s="11">
        <v>38392.0</v>
      </c>
      <c r="G161" s="6"/>
      <c r="H161" s="8"/>
      <c r="I161" s="13"/>
      <c r="K161" s="11"/>
      <c r="L161" s="11"/>
      <c r="M161" s="5"/>
      <c r="N161" s="8"/>
      <c r="O161" s="13"/>
      <c r="Q161" s="11"/>
      <c r="R161" s="11"/>
      <c r="T161" s="8"/>
      <c r="U161" s="13"/>
      <c r="W161" s="11"/>
    </row>
    <row r="162">
      <c r="B162" s="8" t="s">
        <v>31</v>
      </c>
      <c r="C162" s="8" t="s">
        <v>68</v>
      </c>
      <c r="D162" s="10">
        <f t="shared" si="1"/>
        <v>37700</v>
      </c>
      <c r="E162" s="11">
        <v>18436.0</v>
      </c>
      <c r="F162" s="11">
        <v>19264.0</v>
      </c>
      <c r="G162" s="6"/>
      <c r="H162" s="8"/>
      <c r="I162" s="9"/>
      <c r="K162" s="11"/>
      <c r="L162" s="11"/>
      <c r="M162" s="5"/>
      <c r="N162" s="8"/>
      <c r="O162" s="9"/>
      <c r="Q162" s="11"/>
      <c r="R162" s="11"/>
      <c r="T162" s="8"/>
      <c r="U162" s="9"/>
      <c r="W162" s="11"/>
      <c r="X162" s="11"/>
    </row>
    <row r="163">
      <c r="B163" s="8" t="s">
        <v>31</v>
      </c>
      <c r="C163" s="8" t="s">
        <v>21</v>
      </c>
      <c r="D163" s="10">
        <f t="shared" si="1"/>
        <v>17018</v>
      </c>
      <c r="E163" s="11">
        <v>7249.0</v>
      </c>
      <c r="F163" s="11">
        <v>9769.0</v>
      </c>
      <c r="G163" s="6"/>
      <c r="H163" s="8"/>
      <c r="I163" s="9"/>
      <c r="K163" s="11"/>
      <c r="L163" s="11"/>
      <c r="M163" s="5"/>
      <c r="N163" s="8"/>
      <c r="O163" s="9"/>
      <c r="Q163" s="11"/>
      <c r="R163" s="11"/>
      <c r="T163" s="8"/>
      <c r="U163" s="9"/>
      <c r="W163" s="11"/>
      <c r="X163" s="11"/>
    </row>
    <row r="164">
      <c r="B164" s="8" t="s">
        <v>72</v>
      </c>
      <c r="C164" s="8" t="s">
        <v>63</v>
      </c>
      <c r="D164" s="10">
        <f t="shared" si="1"/>
        <v>44924</v>
      </c>
      <c r="E164" s="11">
        <v>22309.0</v>
      </c>
      <c r="F164" s="11">
        <v>22615.0</v>
      </c>
      <c r="G164" s="6"/>
      <c r="H164" s="8"/>
      <c r="I164" s="9"/>
      <c r="K164" s="11"/>
      <c r="L164" s="11"/>
      <c r="M164" s="5"/>
      <c r="N164" s="8"/>
      <c r="O164" s="9"/>
      <c r="Q164" s="11"/>
      <c r="R164" s="11"/>
    </row>
    <row r="165">
      <c r="B165" s="8" t="s">
        <v>72</v>
      </c>
      <c r="C165" s="8" t="s">
        <v>64</v>
      </c>
      <c r="D165" s="10">
        <f t="shared" si="1"/>
        <v>39347</v>
      </c>
      <c r="E165" s="11">
        <v>19366.0</v>
      </c>
      <c r="F165" s="11">
        <v>19981.0</v>
      </c>
      <c r="G165" s="6"/>
      <c r="H165" s="8"/>
      <c r="I165" s="8"/>
      <c r="K165" s="11"/>
      <c r="L165" s="11"/>
      <c r="M165" s="5"/>
      <c r="N165" s="8"/>
      <c r="O165" s="8"/>
      <c r="Q165" s="11"/>
      <c r="R165" s="11"/>
    </row>
    <row r="166">
      <c r="B166" s="8" t="s">
        <v>72</v>
      </c>
      <c r="C166" s="8" t="s">
        <v>65</v>
      </c>
      <c r="D166" s="10">
        <f t="shared" si="1"/>
        <v>35269</v>
      </c>
      <c r="E166" s="11">
        <v>18185.0</v>
      </c>
      <c r="F166" s="11">
        <v>17084.0</v>
      </c>
      <c r="G166" s="6"/>
      <c r="H166" s="8"/>
      <c r="I166" s="8"/>
      <c r="K166" s="11"/>
      <c r="L166" s="11"/>
      <c r="M166" s="5"/>
      <c r="N166" s="8"/>
      <c r="O166" s="8"/>
      <c r="Q166" s="11"/>
      <c r="R166" s="11"/>
    </row>
    <row r="167">
      <c r="B167" s="8" t="s">
        <v>72</v>
      </c>
      <c r="C167" s="8" t="s">
        <v>66</v>
      </c>
      <c r="D167" s="10">
        <f t="shared" si="1"/>
        <v>31331</v>
      </c>
      <c r="E167" s="11">
        <v>15632.0</v>
      </c>
      <c r="F167" s="11">
        <v>15699.0</v>
      </c>
      <c r="G167" s="6"/>
      <c r="H167" s="8"/>
      <c r="I167" s="8"/>
      <c r="K167" s="11"/>
      <c r="L167" s="11"/>
      <c r="M167" s="5"/>
      <c r="N167" s="8"/>
      <c r="O167" s="8"/>
      <c r="Q167" s="11"/>
      <c r="R167" s="11"/>
    </row>
    <row r="168">
      <c r="B168" s="8" t="s">
        <v>72</v>
      </c>
      <c r="C168" s="8" t="s">
        <v>67</v>
      </c>
      <c r="D168" s="10">
        <f t="shared" si="1"/>
        <v>120890</v>
      </c>
      <c r="E168" s="11">
        <v>64052.0</v>
      </c>
      <c r="F168" s="11">
        <v>56838.0</v>
      </c>
      <c r="G168" s="6"/>
      <c r="H168" s="8"/>
      <c r="I168" s="8"/>
      <c r="K168" s="11"/>
      <c r="L168" s="11"/>
      <c r="M168" s="5"/>
      <c r="N168" s="8"/>
      <c r="O168" s="8"/>
      <c r="Q168" s="11"/>
      <c r="R168" s="11"/>
    </row>
    <row r="169">
      <c r="B169" s="8" t="s">
        <v>72</v>
      </c>
      <c r="C169" s="8" t="s">
        <v>68</v>
      </c>
      <c r="D169" s="10">
        <f t="shared" si="1"/>
        <v>67728</v>
      </c>
      <c r="E169" s="11">
        <v>32675.0</v>
      </c>
      <c r="F169" s="11">
        <v>35053.0</v>
      </c>
      <c r="G169" s="6"/>
      <c r="H169" s="8"/>
      <c r="I169" s="8"/>
      <c r="K169" s="11"/>
      <c r="L169" s="11"/>
      <c r="M169" s="5"/>
      <c r="N169" s="8"/>
      <c r="O169" s="8"/>
      <c r="Q169" s="11"/>
      <c r="R169" s="11"/>
    </row>
    <row r="170">
      <c r="B170" s="8" t="s">
        <v>72</v>
      </c>
      <c r="C170" s="8" t="s">
        <v>21</v>
      </c>
      <c r="D170" s="10">
        <f t="shared" si="1"/>
        <v>27018</v>
      </c>
      <c r="E170" s="11">
        <v>11155.0</v>
      </c>
      <c r="F170" s="11">
        <v>15863.0</v>
      </c>
      <c r="G170" s="6"/>
      <c r="H170" s="8"/>
      <c r="I170" s="8"/>
      <c r="K170" s="11"/>
      <c r="L170" s="11"/>
      <c r="M170" s="5"/>
      <c r="N170" s="8"/>
      <c r="O170" s="8"/>
      <c r="Q170" s="11"/>
      <c r="R170" s="11"/>
    </row>
    <row r="171">
      <c r="B171" s="8" t="s">
        <v>73</v>
      </c>
      <c r="C171" s="8" t="s">
        <v>63</v>
      </c>
      <c r="D171" s="10">
        <f t="shared" si="1"/>
        <v>19954</v>
      </c>
      <c r="E171" s="11">
        <v>9883.0</v>
      </c>
      <c r="F171" s="11">
        <v>10071.0</v>
      </c>
      <c r="G171" s="6"/>
      <c r="H171" s="8"/>
      <c r="I171" s="8"/>
      <c r="K171" s="11"/>
      <c r="L171" s="11"/>
      <c r="M171" s="5"/>
      <c r="N171" s="8"/>
      <c r="O171" s="8"/>
      <c r="Q171" s="11"/>
      <c r="R171" s="11"/>
    </row>
    <row r="172">
      <c r="B172" s="8" t="s">
        <v>73</v>
      </c>
      <c r="C172" s="8" t="s">
        <v>64</v>
      </c>
      <c r="D172" s="10">
        <f t="shared" si="1"/>
        <v>18199</v>
      </c>
      <c r="E172" s="11">
        <v>8974.0</v>
      </c>
      <c r="F172" s="11">
        <v>9225.0</v>
      </c>
      <c r="G172" s="6"/>
      <c r="H172" s="8"/>
      <c r="I172" s="9"/>
      <c r="K172" s="11"/>
      <c r="L172" s="11"/>
      <c r="M172" s="5"/>
      <c r="N172" s="8"/>
      <c r="O172" s="9"/>
      <c r="Q172" s="11"/>
      <c r="R172" s="11"/>
      <c r="T172" s="8"/>
      <c r="U172" s="9"/>
      <c r="W172" s="11"/>
      <c r="X172" s="11"/>
    </row>
    <row r="173">
      <c r="B173" s="8" t="s">
        <v>73</v>
      </c>
      <c r="C173" s="8" t="s">
        <v>65</v>
      </c>
      <c r="D173" s="10">
        <f t="shared" si="1"/>
        <v>17873</v>
      </c>
      <c r="E173" s="11">
        <v>9349.0</v>
      </c>
      <c r="F173" s="11">
        <v>8524.0</v>
      </c>
      <c r="G173" s="6"/>
      <c r="H173" s="8"/>
      <c r="I173" s="13"/>
      <c r="K173" s="11"/>
      <c r="L173" s="11"/>
      <c r="M173" s="5"/>
      <c r="N173" s="8"/>
      <c r="O173" s="13"/>
      <c r="Q173" s="11"/>
      <c r="R173" s="11"/>
      <c r="T173" s="8"/>
      <c r="U173" s="13"/>
      <c r="W173" s="11"/>
      <c r="X173" s="11"/>
    </row>
    <row r="174">
      <c r="B174" s="8" t="s">
        <v>73</v>
      </c>
      <c r="C174" s="8" t="s">
        <v>66</v>
      </c>
      <c r="D174" s="10">
        <f t="shared" si="1"/>
        <v>16803</v>
      </c>
      <c r="E174" s="11">
        <v>8808.0</v>
      </c>
      <c r="F174" s="11">
        <v>7995.0</v>
      </c>
      <c r="G174" s="6"/>
      <c r="H174" s="8"/>
      <c r="I174" s="13"/>
      <c r="K174" s="11"/>
      <c r="L174" s="11"/>
      <c r="M174" s="5"/>
      <c r="N174" s="8"/>
      <c r="O174" s="13"/>
      <c r="Q174" s="11"/>
      <c r="R174" s="11"/>
      <c r="T174" s="8"/>
      <c r="U174" s="13"/>
      <c r="W174" s="11"/>
      <c r="X174" s="11"/>
    </row>
    <row r="175">
      <c r="B175" s="8" t="s">
        <v>73</v>
      </c>
      <c r="C175" s="8" t="s">
        <v>67</v>
      </c>
      <c r="D175" s="10">
        <f t="shared" si="1"/>
        <v>64586</v>
      </c>
      <c r="E175" s="11">
        <v>35897.0</v>
      </c>
      <c r="F175" s="11">
        <v>28689.0</v>
      </c>
      <c r="G175" s="6"/>
      <c r="H175" s="8"/>
      <c r="I175" s="9"/>
      <c r="K175" s="11"/>
      <c r="L175" s="11"/>
      <c r="M175" s="5"/>
      <c r="N175" s="8"/>
      <c r="O175" s="9"/>
      <c r="Q175" s="11"/>
      <c r="R175" s="11"/>
      <c r="T175" s="8"/>
      <c r="U175" s="8"/>
      <c r="W175" s="11"/>
      <c r="X175" s="11"/>
    </row>
    <row r="176">
      <c r="B176" s="8" t="s">
        <v>73</v>
      </c>
      <c r="C176" s="8" t="s">
        <v>68</v>
      </c>
      <c r="D176" s="10">
        <f t="shared" si="1"/>
        <v>32796</v>
      </c>
      <c r="E176" s="11">
        <v>15439.0</v>
      </c>
      <c r="F176" s="11">
        <v>17357.0</v>
      </c>
      <c r="G176" s="6"/>
      <c r="H176" s="8"/>
      <c r="I176" s="9"/>
      <c r="K176" s="11"/>
      <c r="L176" s="11"/>
      <c r="M176" s="5"/>
      <c r="N176" s="8"/>
      <c r="O176" s="9"/>
      <c r="R176" s="11"/>
      <c r="T176" s="8"/>
      <c r="U176" s="8"/>
      <c r="W176" s="11"/>
      <c r="X176" s="11"/>
    </row>
    <row r="177">
      <c r="B177" s="8" t="s">
        <v>73</v>
      </c>
      <c r="C177" s="8" t="s">
        <v>21</v>
      </c>
      <c r="D177" s="10">
        <f t="shared" si="1"/>
        <v>13605</v>
      </c>
      <c r="E177" s="11">
        <v>5233.0</v>
      </c>
      <c r="F177" s="11">
        <v>8372.0</v>
      </c>
      <c r="G177" s="6"/>
      <c r="H177" s="8"/>
      <c r="I177" s="9"/>
      <c r="K177" s="11"/>
      <c r="L177" s="11"/>
      <c r="M177" s="5"/>
      <c r="N177" s="8"/>
      <c r="O177" s="9"/>
      <c r="Q177" s="11"/>
      <c r="R177" s="11"/>
      <c r="T177" s="8"/>
      <c r="U177" s="9"/>
      <c r="X177" s="11"/>
    </row>
    <row r="178">
      <c r="B178" s="8" t="s">
        <v>24</v>
      </c>
      <c r="C178" s="8" t="s">
        <v>63</v>
      </c>
      <c r="D178" s="10">
        <f t="shared" si="1"/>
        <v>8994</v>
      </c>
      <c r="E178" s="11">
        <v>4459.0</v>
      </c>
      <c r="F178" s="11">
        <v>4535.0</v>
      </c>
      <c r="G178" s="6"/>
      <c r="H178" s="8"/>
      <c r="I178" s="8"/>
      <c r="K178" s="11"/>
      <c r="L178" s="11"/>
      <c r="M178" s="5"/>
      <c r="N178" s="8"/>
      <c r="O178" s="8"/>
      <c r="Q178" s="11"/>
      <c r="R178" s="11"/>
      <c r="T178" s="8"/>
      <c r="U178" s="9"/>
      <c r="X178" s="11"/>
    </row>
    <row r="179">
      <c r="B179" s="8" t="s">
        <v>24</v>
      </c>
      <c r="C179" s="8" t="s">
        <v>64</v>
      </c>
      <c r="D179" s="10">
        <f t="shared" si="1"/>
        <v>8450</v>
      </c>
      <c r="E179" s="11">
        <v>4197.0</v>
      </c>
      <c r="F179" s="11">
        <v>4253.0</v>
      </c>
      <c r="G179" s="6"/>
      <c r="H179" s="8"/>
      <c r="I179" s="8"/>
      <c r="K179" s="11"/>
      <c r="L179" s="11"/>
      <c r="M179" s="5"/>
      <c r="N179" s="8"/>
      <c r="O179" s="8"/>
      <c r="Q179" s="11"/>
      <c r="R179" s="11"/>
      <c r="T179" s="8"/>
      <c r="U179" s="9"/>
      <c r="X179" s="11"/>
    </row>
    <row r="180">
      <c r="B180" s="8" t="s">
        <v>24</v>
      </c>
      <c r="C180" s="8" t="s">
        <v>65</v>
      </c>
      <c r="D180" s="10">
        <f t="shared" si="1"/>
        <v>6760</v>
      </c>
      <c r="E180" s="11">
        <v>3466.0</v>
      </c>
      <c r="F180" s="11">
        <v>3294.0</v>
      </c>
      <c r="G180" s="6"/>
      <c r="H180" s="8"/>
      <c r="I180" s="8"/>
      <c r="K180" s="11"/>
      <c r="L180" s="11"/>
      <c r="M180" s="5"/>
      <c r="N180" s="8"/>
      <c r="O180" s="8"/>
      <c r="Q180" s="11"/>
      <c r="R180" s="11"/>
      <c r="T180" s="8"/>
      <c r="U180" s="9"/>
      <c r="X180" s="11"/>
    </row>
    <row r="181">
      <c r="B181" s="8" t="s">
        <v>24</v>
      </c>
      <c r="C181" s="8" t="s">
        <v>66</v>
      </c>
      <c r="D181" s="10">
        <f t="shared" si="1"/>
        <v>7477</v>
      </c>
      <c r="E181" s="11">
        <v>3833.0</v>
      </c>
      <c r="F181" s="11">
        <v>3644.0</v>
      </c>
      <c r="G181" s="6"/>
      <c r="H181" s="8"/>
      <c r="I181" s="8"/>
      <c r="K181" s="11"/>
      <c r="L181" s="11"/>
      <c r="M181" s="5"/>
      <c r="N181" s="8"/>
      <c r="O181" s="8"/>
      <c r="Q181" s="11"/>
      <c r="R181" s="11"/>
      <c r="T181" s="8"/>
      <c r="U181" s="9"/>
      <c r="X181" s="11"/>
    </row>
    <row r="182">
      <c r="B182" s="8" t="s">
        <v>24</v>
      </c>
      <c r="C182" s="8" t="s">
        <v>67</v>
      </c>
      <c r="D182" s="10">
        <f t="shared" si="1"/>
        <v>28044</v>
      </c>
      <c r="E182" s="11">
        <v>15544.0</v>
      </c>
      <c r="F182" s="11">
        <v>12500.0</v>
      </c>
      <c r="G182" s="6"/>
      <c r="H182" s="8"/>
      <c r="I182" s="8"/>
      <c r="K182" s="11"/>
      <c r="L182" s="11"/>
      <c r="M182" s="5"/>
      <c r="N182" s="8"/>
      <c r="O182" s="8"/>
      <c r="Q182" s="11"/>
      <c r="R182" s="11"/>
      <c r="T182" s="8"/>
      <c r="U182" s="9"/>
      <c r="X182" s="11"/>
    </row>
    <row r="183">
      <c r="B183" s="8" t="s">
        <v>24</v>
      </c>
      <c r="C183" s="8" t="s">
        <v>68</v>
      </c>
      <c r="D183" s="10">
        <f t="shared" si="1"/>
        <v>13603</v>
      </c>
      <c r="E183" s="11">
        <v>7286.0</v>
      </c>
      <c r="F183" s="11">
        <v>6317.0</v>
      </c>
      <c r="G183" s="6"/>
      <c r="H183" s="8"/>
      <c r="I183" s="8"/>
      <c r="K183" s="11"/>
      <c r="L183" s="11"/>
      <c r="M183" s="5"/>
      <c r="N183" s="8"/>
      <c r="O183" s="8"/>
      <c r="Q183" s="11"/>
      <c r="R183" s="11"/>
      <c r="T183" s="8"/>
      <c r="U183" s="9"/>
      <c r="X183" s="11"/>
    </row>
    <row r="184">
      <c r="B184" s="8" t="s">
        <v>24</v>
      </c>
      <c r="C184" s="8" t="s">
        <v>21</v>
      </c>
      <c r="D184" s="10">
        <f t="shared" si="1"/>
        <v>4687</v>
      </c>
      <c r="E184" s="11">
        <v>1961.0</v>
      </c>
      <c r="F184" s="11">
        <v>2726.0</v>
      </c>
      <c r="G184" s="6"/>
      <c r="H184" s="8"/>
      <c r="I184" s="8"/>
      <c r="K184" s="11"/>
      <c r="L184" s="11"/>
      <c r="M184" s="5"/>
      <c r="N184" s="8"/>
      <c r="O184" s="8"/>
      <c r="Q184" s="11"/>
      <c r="R184" s="11"/>
      <c r="T184" s="8"/>
      <c r="X184" s="11"/>
    </row>
    <row r="185">
      <c r="B185" s="8" t="s">
        <v>74</v>
      </c>
      <c r="C185" s="8" t="s">
        <v>63</v>
      </c>
      <c r="D185" s="10">
        <f t="shared" si="1"/>
        <v>5267</v>
      </c>
      <c r="E185" s="11">
        <v>2586.0</v>
      </c>
      <c r="F185" s="11">
        <v>2681.0</v>
      </c>
      <c r="G185" s="6"/>
      <c r="H185" s="8"/>
      <c r="I185" s="9"/>
      <c r="K185" s="11"/>
      <c r="L185" s="11"/>
      <c r="M185" s="5"/>
      <c r="N185" s="8"/>
      <c r="O185" s="9"/>
      <c r="Q185" s="11"/>
      <c r="R185" s="11"/>
      <c r="T185" s="8"/>
      <c r="U185" s="9"/>
      <c r="W185" s="11"/>
      <c r="X185" s="11"/>
    </row>
    <row r="186">
      <c r="B186" s="8" t="s">
        <v>74</v>
      </c>
      <c r="C186" s="8" t="s">
        <v>64</v>
      </c>
      <c r="D186" s="10">
        <f t="shared" si="1"/>
        <v>4508</v>
      </c>
      <c r="E186" s="11">
        <v>2314.0</v>
      </c>
      <c r="F186" s="11">
        <v>2194.0</v>
      </c>
      <c r="G186" s="6"/>
      <c r="H186" s="8"/>
      <c r="I186" s="13"/>
      <c r="K186" s="11"/>
      <c r="L186" s="11"/>
      <c r="M186" s="5"/>
      <c r="N186" s="8"/>
      <c r="O186" s="13"/>
      <c r="Q186" s="11"/>
      <c r="R186" s="11"/>
      <c r="T186" s="8"/>
      <c r="U186" s="13"/>
      <c r="W186" s="11"/>
      <c r="X186" s="11"/>
    </row>
    <row r="187">
      <c r="B187" s="8" t="s">
        <v>74</v>
      </c>
      <c r="C187" s="8" t="s">
        <v>65</v>
      </c>
      <c r="D187" s="10">
        <f t="shared" si="1"/>
        <v>3728</v>
      </c>
      <c r="E187" s="11">
        <v>1912.0</v>
      </c>
      <c r="F187" s="11">
        <v>1816.0</v>
      </c>
      <c r="G187" s="6"/>
      <c r="H187" s="8"/>
      <c r="I187" s="13"/>
      <c r="K187" s="11"/>
      <c r="L187" s="11"/>
      <c r="M187" s="5"/>
      <c r="N187" s="8"/>
      <c r="O187" s="13"/>
      <c r="Q187" s="11"/>
      <c r="R187" s="11"/>
      <c r="T187" s="8"/>
      <c r="U187" s="13"/>
      <c r="W187" s="11"/>
      <c r="X187" s="11"/>
    </row>
    <row r="188">
      <c r="B188" s="8" t="s">
        <v>74</v>
      </c>
      <c r="C188" s="8" t="s">
        <v>66</v>
      </c>
      <c r="D188" s="10">
        <f t="shared" si="1"/>
        <v>4073</v>
      </c>
      <c r="E188" s="11">
        <v>2239.0</v>
      </c>
      <c r="F188" s="11">
        <v>1834.0</v>
      </c>
      <c r="G188" s="6"/>
      <c r="H188" s="8"/>
      <c r="I188" s="9"/>
      <c r="K188" s="11"/>
      <c r="L188" s="11"/>
      <c r="M188" s="5"/>
      <c r="N188" s="8"/>
      <c r="O188" s="9"/>
      <c r="Q188" s="11"/>
      <c r="R188" s="11"/>
      <c r="T188" s="8"/>
      <c r="U188" s="9"/>
      <c r="W188" s="11"/>
      <c r="X188" s="11"/>
    </row>
    <row r="189">
      <c r="B189" s="8" t="s">
        <v>74</v>
      </c>
      <c r="C189" s="8" t="s">
        <v>67</v>
      </c>
      <c r="D189" s="10">
        <f t="shared" si="1"/>
        <v>19401</v>
      </c>
      <c r="E189" s="11">
        <v>12368.0</v>
      </c>
      <c r="F189" s="11">
        <v>7033.0</v>
      </c>
      <c r="G189" s="14"/>
      <c r="H189" s="8"/>
      <c r="I189" s="9"/>
      <c r="K189" s="11"/>
      <c r="L189" s="11"/>
      <c r="M189" s="5"/>
      <c r="N189" s="8"/>
      <c r="O189" s="9"/>
      <c r="Q189" s="11"/>
      <c r="R189" s="11"/>
      <c r="T189" s="8"/>
      <c r="U189" s="9"/>
      <c r="W189" s="11"/>
      <c r="X189" s="11"/>
    </row>
    <row r="190">
      <c r="B190" s="8" t="s">
        <v>74</v>
      </c>
      <c r="C190" s="8" t="s">
        <v>68</v>
      </c>
      <c r="D190" s="10">
        <f t="shared" si="1"/>
        <v>7300</v>
      </c>
      <c r="E190" s="11">
        <v>4370.0</v>
      </c>
      <c r="F190" s="11">
        <v>2930.0</v>
      </c>
      <c r="G190" s="14"/>
      <c r="H190" s="8"/>
      <c r="I190" s="9"/>
      <c r="K190" s="11"/>
      <c r="L190" s="11"/>
      <c r="M190" s="5"/>
      <c r="N190" s="8"/>
      <c r="O190" s="9"/>
      <c r="Q190" s="11"/>
      <c r="R190" s="11"/>
    </row>
    <row r="191">
      <c r="B191" s="8" t="s">
        <v>74</v>
      </c>
      <c r="C191" s="8" t="s">
        <v>21</v>
      </c>
      <c r="D191" s="10">
        <f t="shared" si="1"/>
        <v>1837</v>
      </c>
      <c r="E191" s="11">
        <v>766.0</v>
      </c>
      <c r="F191" s="11">
        <v>1071.0</v>
      </c>
      <c r="G191" s="14"/>
      <c r="H191" s="8"/>
      <c r="I191" s="8"/>
      <c r="K191" s="11"/>
      <c r="L191" s="11"/>
      <c r="M191" s="5"/>
      <c r="N191" s="8"/>
      <c r="O191" s="8"/>
      <c r="Q191" s="11"/>
      <c r="R191" s="11"/>
    </row>
    <row r="192">
      <c r="B192" s="8" t="s">
        <v>27</v>
      </c>
      <c r="C192" s="8" t="s">
        <v>63</v>
      </c>
      <c r="D192" s="10">
        <f t="shared" si="1"/>
        <v>26180</v>
      </c>
      <c r="E192" s="11">
        <v>12772.0</v>
      </c>
      <c r="F192" s="11">
        <v>13408.0</v>
      </c>
      <c r="G192" s="14"/>
      <c r="H192" s="8"/>
      <c r="I192" s="8"/>
      <c r="K192" s="11"/>
      <c r="L192" s="11"/>
      <c r="M192" s="5"/>
      <c r="N192" s="8"/>
      <c r="O192" s="8"/>
      <c r="Q192" s="11"/>
      <c r="R192" s="11"/>
    </row>
    <row r="193">
      <c r="B193" s="8" t="s">
        <v>27</v>
      </c>
      <c r="C193" s="8" t="s">
        <v>64</v>
      </c>
      <c r="D193" s="10">
        <f t="shared" si="1"/>
        <v>21067</v>
      </c>
      <c r="E193" s="11">
        <v>10129.0</v>
      </c>
      <c r="F193" s="11">
        <v>10938.0</v>
      </c>
      <c r="G193" s="14"/>
      <c r="H193" s="8"/>
      <c r="I193" s="8"/>
      <c r="K193" s="11"/>
      <c r="L193" s="11"/>
      <c r="M193" s="5"/>
      <c r="N193" s="8"/>
      <c r="O193" s="8"/>
      <c r="Q193" s="11"/>
      <c r="R193" s="11"/>
    </row>
    <row r="194">
      <c r="B194" s="8" t="s">
        <v>27</v>
      </c>
      <c r="C194" s="8" t="s">
        <v>65</v>
      </c>
      <c r="D194" s="10">
        <f t="shared" si="1"/>
        <v>17518</v>
      </c>
      <c r="E194" s="11">
        <v>8937.0</v>
      </c>
      <c r="F194" s="11">
        <v>8581.0</v>
      </c>
      <c r="G194" s="14"/>
      <c r="H194" s="8"/>
      <c r="I194" s="8"/>
      <c r="K194" s="11"/>
      <c r="L194" s="11"/>
      <c r="M194" s="5"/>
      <c r="N194" s="8"/>
      <c r="O194" s="8"/>
      <c r="Q194" s="11"/>
      <c r="R194" s="11"/>
    </row>
    <row r="195">
      <c r="B195" s="8" t="s">
        <v>27</v>
      </c>
      <c r="C195" s="8" t="s">
        <v>66</v>
      </c>
      <c r="D195" s="10">
        <f t="shared" si="1"/>
        <v>15750</v>
      </c>
      <c r="E195" s="11">
        <v>7239.0</v>
      </c>
      <c r="F195" s="11">
        <v>8511.0</v>
      </c>
      <c r="G195" s="14"/>
      <c r="H195" s="8"/>
      <c r="I195" s="8"/>
      <c r="K195" s="11"/>
      <c r="L195" s="11"/>
      <c r="M195" s="5"/>
      <c r="N195" s="8"/>
      <c r="O195" s="8"/>
      <c r="Q195" s="11"/>
      <c r="R195" s="11"/>
    </row>
    <row r="196">
      <c r="B196" s="8" t="s">
        <v>27</v>
      </c>
      <c r="C196" s="8" t="s">
        <v>67</v>
      </c>
      <c r="D196" s="10">
        <f t="shared" si="1"/>
        <v>55521</v>
      </c>
      <c r="E196" s="11">
        <v>27600.0</v>
      </c>
      <c r="F196" s="11">
        <v>27921.0</v>
      </c>
      <c r="G196" s="14"/>
      <c r="H196" s="8"/>
      <c r="I196" s="8"/>
      <c r="K196" s="11"/>
      <c r="L196" s="11"/>
      <c r="M196" s="5"/>
      <c r="N196" s="8"/>
      <c r="O196" s="8"/>
      <c r="Q196" s="11"/>
      <c r="R196" s="11"/>
    </row>
    <row r="197">
      <c r="B197" s="8" t="s">
        <v>27</v>
      </c>
      <c r="C197" s="8" t="s">
        <v>68</v>
      </c>
      <c r="D197" s="10">
        <f t="shared" si="1"/>
        <v>30916</v>
      </c>
      <c r="E197" s="11">
        <v>15696.0</v>
      </c>
      <c r="F197" s="11">
        <v>15220.0</v>
      </c>
      <c r="G197" s="14"/>
      <c r="H197" s="8"/>
      <c r="I197" s="8"/>
      <c r="K197" s="11"/>
      <c r="L197" s="11"/>
      <c r="M197" s="5"/>
      <c r="N197" s="8"/>
      <c r="O197" s="8"/>
      <c r="Q197" s="11"/>
      <c r="R197" s="11"/>
    </row>
    <row r="198">
      <c r="B198" s="8" t="s">
        <v>27</v>
      </c>
      <c r="C198" s="8" t="s">
        <v>21</v>
      </c>
      <c r="D198" s="10">
        <f t="shared" si="1"/>
        <v>9205</v>
      </c>
      <c r="E198" s="11">
        <v>4055.0</v>
      </c>
      <c r="F198" s="11">
        <v>5150.0</v>
      </c>
      <c r="G198" s="14"/>
      <c r="H198" s="8"/>
      <c r="I198" s="9"/>
      <c r="K198" s="11"/>
      <c r="L198" s="11"/>
      <c r="M198" s="5"/>
      <c r="N198" s="8"/>
      <c r="O198" s="9"/>
      <c r="Q198" s="11"/>
      <c r="R198" s="11"/>
      <c r="T198" s="8"/>
      <c r="U198" s="9"/>
      <c r="W198" s="11"/>
      <c r="X198" s="11"/>
    </row>
    <row r="199">
      <c r="B199" s="8" t="s">
        <v>43</v>
      </c>
      <c r="C199" s="8" t="s">
        <v>63</v>
      </c>
      <c r="D199" s="10">
        <f t="shared" si="1"/>
        <v>10528</v>
      </c>
      <c r="E199" s="11">
        <v>5097.0</v>
      </c>
      <c r="F199" s="11">
        <v>5431.0</v>
      </c>
      <c r="G199" s="14"/>
      <c r="H199" s="8"/>
      <c r="I199" s="13"/>
      <c r="K199" s="11"/>
      <c r="L199" s="11"/>
      <c r="M199" s="5"/>
      <c r="N199" s="8"/>
      <c r="O199" s="13"/>
      <c r="Q199" s="11"/>
      <c r="R199" s="11"/>
      <c r="T199" s="8"/>
      <c r="U199" s="13"/>
      <c r="W199" s="11"/>
      <c r="X199" s="11"/>
    </row>
    <row r="200">
      <c r="B200" s="8" t="s">
        <v>43</v>
      </c>
      <c r="C200" s="8" t="s">
        <v>64</v>
      </c>
      <c r="D200" s="10">
        <f t="shared" si="1"/>
        <v>9526</v>
      </c>
      <c r="E200" s="11">
        <v>4762.0</v>
      </c>
      <c r="F200" s="11">
        <v>4764.0</v>
      </c>
      <c r="G200" s="14"/>
      <c r="H200" s="8"/>
      <c r="I200" s="13"/>
      <c r="K200" s="11"/>
      <c r="L200" s="11"/>
      <c r="M200" s="5"/>
      <c r="N200" s="8"/>
      <c r="O200" s="13"/>
      <c r="Q200" s="11"/>
      <c r="R200" s="11"/>
      <c r="T200" s="8"/>
      <c r="U200" s="13"/>
      <c r="W200" s="11"/>
      <c r="X200" s="11"/>
    </row>
    <row r="201">
      <c r="B201" s="8" t="s">
        <v>43</v>
      </c>
      <c r="C201" s="8" t="s">
        <v>65</v>
      </c>
      <c r="D201" s="10">
        <f t="shared" si="1"/>
        <v>7052</v>
      </c>
      <c r="E201" s="11">
        <v>3650.0</v>
      </c>
      <c r="F201" s="11">
        <v>3402.0</v>
      </c>
      <c r="G201" s="14"/>
      <c r="H201" s="8"/>
      <c r="I201" s="9"/>
      <c r="K201" s="11"/>
      <c r="L201" s="11"/>
      <c r="M201" s="5"/>
      <c r="N201" s="8"/>
      <c r="O201" s="9"/>
      <c r="Q201" s="11"/>
      <c r="R201" s="11"/>
      <c r="T201" s="8"/>
      <c r="U201" s="9"/>
      <c r="W201" s="11"/>
      <c r="X201" s="11"/>
    </row>
    <row r="202">
      <c r="B202" s="8" t="s">
        <v>43</v>
      </c>
      <c r="C202" s="8" t="s">
        <v>66</v>
      </c>
      <c r="D202" s="10">
        <f t="shared" si="1"/>
        <v>7664</v>
      </c>
      <c r="E202" s="11">
        <v>4031.0</v>
      </c>
      <c r="F202" s="11">
        <v>3633.0</v>
      </c>
      <c r="G202" s="6"/>
      <c r="H202" s="8"/>
      <c r="I202" s="9"/>
      <c r="K202" s="11"/>
      <c r="L202" s="11"/>
      <c r="M202" s="5"/>
      <c r="N202" s="8"/>
      <c r="O202" s="9"/>
      <c r="Q202" s="11"/>
      <c r="R202" s="11"/>
      <c r="T202" s="8"/>
      <c r="U202" s="9"/>
      <c r="W202" s="11"/>
      <c r="X202" s="11"/>
    </row>
    <row r="203">
      <c r="B203" s="8" t="s">
        <v>43</v>
      </c>
      <c r="C203" s="8" t="s">
        <v>67</v>
      </c>
      <c r="D203" s="10">
        <f t="shared" si="1"/>
        <v>23511</v>
      </c>
      <c r="E203" s="11">
        <v>10399.0</v>
      </c>
      <c r="F203" s="11">
        <v>13112.0</v>
      </c>
      <c r="G203" s="6"/>
      <c r="H203" s="8"/>
      <c r="I203" s="9"/>
      <c r="K203" s="11"/>
      <c r="L203" s="11"/>
      <c r="M203" s="5"/>
      <c r="N203" s="8"/>
      <c r="O203" s="9"/>
      <c r="Q203" s="11"/>
      <c r="R203" s="11"/>
    </row>
    <row r="204">
      <c r="B204" s="8" t="s">
        <v>43</v>
      </c>
      <c r="C204" s="8" t="s">
        <v>68</v>
      </c>
      <c r="D204" s="10">
        <f t="shared" si="1"/>
        <v>14984</v>
      </c>
      <c r="E204" s="11">
        <v>8705.0</v>
      </c>
      <c r="F204" s="11">
        <v>6279.0</v>
      </c>
      <c r="G204" s="6"/>
      <c r="H204" s="8"/>
      <c r="I204" s="8"/>
      <c r="K204" s="11"/>
      <c r="L204" s="11"/>
      <c r="M204" s="5"/>
      <c r="N204" s="8"/>
      <c r="O204" s="8"/>
      <c r="Q204" s="11"/>
      <c r="R204" s="11"/>
    </row>
    <row r="205">
      <c r="B205" s="8" t="s">
        <v>43</v>
      </c>
      <c r="C205" s="8" t="s">
        <v>21</v>
      </c>
      <c r="D205" s="10">
        <f t="shared" si="1"/>
        <v>5449</v>
      </c>
      <c r="E205" s="11">
        <v>2570.0</v>
      </c>
      <c r="F205" s="11">
        <v>2879.0</v>
      </c>
      <c r="G205" s="6"/>
      <c r="H205" s="8"/>
      <c r="I205" s="8"/>
      <c r="K205" s="11"/>
      <c r="L205" s="11"/>
      <c r="M205" s="5"/>
      <c r="N205" s="8"/>
      <c r="O205" s="8"/>
      <c r="Q205" s="11"/>
      <c r="R205" s="11"/>
    </row>
    <row r="206">
      <c r="B206" s="8" t="s">
        <v>48</v>
      </c>
      <c r="C206" s="8" t="s">
        <v>63</v>
      </c>
      <c r="D206" s="10">
        <f t="shared" si="1"/>
        <v>38739</v>
      </c>
      <c r="E206" s="11">
        <v>18506.0</v>
      </c>
      <c r="F206" s="11">
        <v>20233.0</v>
      </c>
      <c r="G206" s="6"/>
      <c r="H206" s="8"/>
      <c r="I206" s="8"/>
      <c r="K206" s="11"/>
      <c r="L206" s="11"/>
      <c r="M206" s="5"/>
      <c r="N206" s="8"/>
      <c r="O206" s="8"/>
      <c r="Q206" s="11"/>
      <c r="R206" s="11"/>
    </row>
    <row r="207">
      <c r="B207" s="8" t="s">
        <v>48</v>
      </c>
      <c r="C207" s="8" t="s">
        <v>64</v>
      </c>
      <c r="D207" s="10">
        <f t="shared" si="1"/>
        <v>35413</v>
      </c>
      <c r="E207" s="11">
        <v>17338.0</v>
      </c>
      <c r="F207" s="11">
        <v>18075.0</v>
      </c>
      <c r="G207" s="6"/>
      <c r="H207" s="8"/>
      <c r="I207" s="8"/>
      <c r="K207" s="11"/>
      <c r="L207" s="11"/>
      <c r="M207" s="5"/>
      <c r="N207" s="8"/>
      <c r="O207" s="8"/>
      <c r="Q207" s="11"/>
      <c r="R207" s="11"/>
    </row>
    <row r="208">
      <c r="B208" s="8" t="s">
        <v>48</v>
      </c>
      <c r="C208" s="8" t="s">
        <v>65</v>
      </c>
      <c r="D208" s="10">
        <f t="shared" si="1"/>
        <v>30132</v>
      </c>
      <c r="E208" s="11">
        <v>14921.0</v>
      </c>
      <c r="F208" s="11">
        <v>15211.0</v>
      </c>
      <c r="G208" s="6"/>
      <c r="H208" s="8"/>
      <c r="I208" s="8"/>
      <c r="K208" s="11"/>
      <c r="L208" s="11"/>
      <c r="M208" s="5"/>
      <c r="N208" s="8"/>
      <c r="O208" s="8"/>
      <c r="Q208" s="11"/>
      <c r="R208" s="11"/>
    </row>
    <row r="209">
      <c r="B209" s="8" t="s">
        <v>48</v>
      </c>
      <c r="C209" s="8" t="s">
        <v>66</v>
      </c>
      <c r="D209" s="10">
        <f t="shared" si="1"/>
        <v>21821</v>
      </c>
      <c r="E209" s="11">
        <v>9618.0</v>
      </c>
      <c r="F209" s="11">
        <v>12203.0</v>
      </c>
      <c r="G209" s="6"/>
      <c r="H209" s="8"/>
      <c r="I209" s="8"/>
      <c r="K209" s="11"/>
      <c r="L209" s="11"/>
      <c r="M209" s="5"/>
      <c r="N209" s="8"/>
      <c r="O209" s="8"/>
      <c r="Q209" s="11"/>
      <c r="R209" s="11"/>
    </row>
    <row r="210">
      <c r="B210" s="8" t="s">
        <v>48</v>
      </c>
      <c r="C210" s="8" t="s">
        <v>67</v>
      </c>
      <c r="D210" s="10">
        <f t="shared" si="1"/>
        <v>85713</v>
      </c>
      <c r="E210" s="11">
        <v>39138.0</v>
      </c>
      <c r="F210" s="11">
        <v>46575.0</v>
      </c>
      <c r="G210" s="6"/>
      <c r="H210" s="8"/>
      <c r="I210" s="8"/>
      <c r="K210" s="11"/>
      <c r="L210" s="11"/>
      <c r="M210" s="5"/>
      <c r="N210" s="8"/>
      <c r="O210" s="8"/>
      <c r="Q210" s="11"/>
      <c r="R210" s="11"/>
    </row>
    <row r="211">
      <c r="B211" s="8" t="s">
        <v>48</v>
      </c>
      <c r="C211" s="8" t="s">
        <v>68</v>
      </c>
      <c r="D211" s="10">
        <f t="shared" si="1"/>
        <v>53989</v>
      </c>
      <c r="E211" s="11">
        <v>25701.0</v>
      </c>
      <c r="F211" s="11">
        <v>28288.0</v>
      </c>
      <c r="G211" s="6"/>
      <c r="H211" s="8"/>
      <c r="I211" s="9"/>
      <c r="K211" s="11"/>
      <c r="L211" s="11"/>
      <c r="M211" s="5"/>
      <c r="N211" s="8"/>
      <c r="O211" s="9"/>
      <c r="Q211" s="11"/>
      <c r="R211" s="11"/>
      <c r="T211" s="8"/>
      <c r="U211" s="9"/>
      <c r="W211" s="11"/>
      <c r="X211" s="11"/>
    </row>
    <row r="212">
      <c r="B212" s="8" t="s">
        <v>48</v>
      </c>
      <c r="C212" s="8" t="s">
        <v>21</v>
      </c>
      <c r="D212" s="10">
        <f t="shared" si="1"/>
        <v>21084</v>
      </c>
      <c r="E212" s="11">
        <v>8823.0</v>
      </c>
      <c r="F212" s="11">
        <v>12261.0</v>
      </c>
      <c r="G212" s="6"/>
      <c r="H212" s="8"/>
      <c r="I212" s="13"/>
      <c r="K212" s="11"/>
      <c r="L212" s="11"/>
      <c r="M212" s="5"/>
      <c r="N212" s="8"/>
      <c r="O212" s="13"/>
      <c r="Q212" s="11"/>
      <c r="R212" s="11"/>
      <c r="T212" s="8"/>
      <c r="U212" s="13"/>
      <c r="W212" s="11"/>
      <c r="X212" s="11"/>
    </row>
    <row r="213">
      <c r="B213" s="8" t="s">
        <v>44</v>
      </c>
      <c r="C213" s="9" t="s">
        <v>58</v>
      </c>
      <c r="D213" s="10">
        <f t="shared" si="1"/>
        <v>42462</v>
      </c>
      <c r="E213" s="11">
        <v>20692.0</v>
      </c>
      <c r="F213" s="11">
        <v>21770.0</v>
      </c>
      <c r="G213" s="6"/>
      <c r="H213" s="8"/>
      <c r="I213" s="13"/>
      <c r="K213" s="11"/>
      <c r="L213" s="11"/>
      <c r="M213" s="5"/>
      <c r="N213" s="8"/>
      <c r="O213" s="13"/>
      <c r="Q213" s="11"/>
      <c r="R213" s="11"/>
      <c r="T213" s="8"/>
      <c r="U213" s="13"/>
      <c r="W213" s="11"/>
      <c r="X213" s="11"/>
    </row>
    <row r="214">
      <c r="B214" s="8" t="s">
        <v>44</v>
      </c>
      <c r="C214" s="13">
        <v>45787.0</v>
      </c>
      <c r="D214" s="10">
        <f t="shared" si="1"/>
        <v>36890</v>
      </c>
      <c r="E214" s="11">
        <v>18150.0</v>
      </c>
      <c r="F214" s="11">
        <v>18740.0</v>
      </c>
      <c r="G214" s="6"/>
      <c r="H214" s="8"/>
      <c r="I214" s="9"/>
      <c r="K214" s="11"/>
      <c r="L214" s="11"/>
      <c r="M214" s="5"/>
      <c r="N214" s="8"/>
      <c r="O214" s="9"/>
      <c r="Q214" s="11"/>
      <c r="R214" s="11"/>
      <c r="T214" s="8"/>
      <c r="U214" s="8"/>
      <c r="W214" s="11"/>
      <c r="X214" s="11"/>
    </row>
    <row r="215">
      <c r="B215" s="8" t="s">
        <v>44</v>
      </c>
      <c r="C215" s="13">
        <v>45945.0</v>
      </c>
      <c r="D215" s="10">
        <f t="shared" si="1"/>
        <v>29959</v>
      </c>
      <c r="E215" s="11">
        <v>14991.0</v>
      </c>
      <c r="F215" s="11">
        <v>14968.0</v>
      </c>
      <c r="G215" s="6"/>
      <c r="H215" s="8"/>
      <c r="I215" s="9"/>
      <c r="K215" s="11"/>
      <c r="L215" s="11"/>
      <c r="M215" s="5"/>
      <c r="N215" s="8"/>
      <c r="O215" s="9"/>
      <c r="Q215" s="11"/>
      <c r="R215" s="11"/>
      <c r="T215" s="8"/>
      <c r="U215" s="8"/>
      <c r="W215" s="11"/>
      <c r="X215" s="11"/>
    </row>
    <row r="216">
      <c r="B216" s="8" t="s">
        <v>44</v>
      </c>
      <c r="C216" s="9" t="s">
        <v>59</v>
      </c>
      <c r="D216" s="10">
        <f t="shared" si="1"/>
        <v>23090</v>
      </c>
      <c r="E216" s="11">
        <v>10278.0</v>
      </c>
      <c r="F216" s="11">
        <v>12812.0</v>
      </c>
      <c r="G216" s="6"/>
      <c r="H216" s="8"/>
      <c r="I216" s="9"/>
      <c r="K216" s="11"/>
      <c r="L216" s="11"/>
      <c r="M216" s="5"/>
      <c r="N216" s="8"/>
      <c r="O216" s="9"/>
      <c r="Q216" s="11"/>
      <c r="R216" s="11"/>
      <c r="T216" s="8"/>
      <c r="U216" s="8"/>
      <c r="W216" s="11"/>
      <c r="X216" s="11"/>
    </row>
    <row r="217">
      <c r="B217" s="8" t="s">
        <v>44</v>
      </c>
      <c r="C217" s="9" t="s">
        <v>60</v>
      </c>
      <c r="D217" s="10">
        <f t="shared" si="1"/>
        <v>79596</v>
      </c>
      <c r="E217" s="11">
        <v>36789.0</v>
      </c>
      <c r="F217" s="11">
        <v>42807.0</v>
      </c>
      <c r="G217" s="6"/>
      <c r="H217" s="8"/>
      <c r="I217" s="8"/>
      <c r="K217" s="11"/>
      <c r="L217" s="11"/>
      <c r="M217" s="5"/>
      <c r="N217" s="8"/>
      <c r="O217" s="8"/>
      <c r="Q217" s="11"/>
      <c r="R217" s="11"/>
      <c r="T217" s="8"/>
      <c r="U217" s="8"/>
      <c r="W217" s="11"/>
      <c r="X217" s="11"/>
    </row>
    <row r="218">
      <c r="B218" s="8" t="s">
        <v>44</v>
      </c>
      <c r="C218" s="9" t="s">
        <v>61</v>
      </c>
      <c r="D218" s="10">
        <f t="shared" si="1"/>
        <v>47196</v>
      </c>
      <c r="E218" s="11">
        <v>21580.0</v>
      </c>
      <c r="F218" s="11">
        <v>25616.0</v>
      </c>
      <c r="G218" s="6"/>
      <c r="H218" s="8"/>
      <c r="I218" s="8"/>
      <c r="K218" s="11"/>
      <c r="L218" s="11"/>
      <c r="M218" s="5"/>
      <c r="N218" s="8"/>
      <c r="O218" s="8"/>
      <c r="Q218" s="11"/>
      <c r="R218" s="11"/>
      <c r="T218" s="8"/>
      <c r="U218" s="8"/>
      <c r="W218" s="11"/>
      <c r="X218" s="11"/>
    </row>
    <row r="219">
      <c r="B219" s="8" t="s">
        <v>44</v>
      </c>
      <c r="C219" s="9" t="s">
        <v>21</v>
      </c>
      <c r="D219" s="10">
        <f t="shared" si="1"/>
        <v>23465</v>
      </c>
      <c r="E219" s="11">
        <v>9668.0</v>
      </c>
      <c r="F219" s="11">
        <v>13797.0</v>
      </c>
      <c r="G219" s="6"/>
      <c r="H219" s="8"/>
      <c r="I219" s="8"/>
      <c r="K219" s="11"/>
      <c r="L219" s="11"/>
      <c r="M219" s="5"/>
      <c r="N219" s="8"/>
      <c r="O219" s="8"/>
      <c r="Q219" s="11"/>
      <c r="R219" s="11"/>
      <c r="T219" s="8"/>
      <c r="U219" s="8"/>
      <c r="W219" s="11"/>
      <c r="X219" s="11"/>
    </row>
    <row r="220">
      <c r="B220" s="8" t="s">
        <v>30</v>
      </c>
      <c r="C220" s="9" t="s">
        <v>58</v>
      </c>
      <c r="D220" s="10">
        <f t="shared" si="1"/>
        <v>38909</v>
      </c>
      <c r="E220" s="11">
        <v>18698.0</v>
      </c>
      <c r="F220" s="11">
        <v>20211.0</v>
      </c>
      <c r="G220" s="6"/>
      <c r="H220" s="8"/>
      <c r="I220" s="8"/>
      <c r="K220" s="11"/>
      <c r="L220" s="11"/>
      <c r="M220" s="5"/>
      <c r="N220" s="8"/>
      <c r="O220" s="8"/>
      <c r="Q220" s="11"/>
      <c r="R220" s="11"/>
      <c r="T220" s="8"/>
      <c r="U220" s="8"/>
      <c r="W220" s="11"/>
      <c r="X220" s="11"/>
    </row>
    <row r="221">
      <c r="B221" s="8" t="s">
        <v>30</v>
      </c>
      <c r="C221" s="13">
        <v>45787.0</v>
      </c>
      <c r="D221" s="10">
        <f t="shared" si="1"/>
        <v>36050</v>
      </c>
      <c r="E221" s="11">
        <v>17591.0</v>
      </c>
      <c r="F221" s="11">
        <v>18459.0</v>
      </c>
      <c r="G221" s="6"/>
      <c r="H221" s="8"/>
      <c r="I221" s="8"/>
      <c r="K221" s="11"/>
      <c r="L221" s="11"/>
      <c r="M221" s="5"/>
      <c r="N221" s="8"/>
      <c r="O221" s="8"/>
      <c r="Q221" s="11"/>
      <c r="R221" s="11"/>
      <c r="T221" s="8"/>
      <c r="U221" s="8"/>
      <c r="W221" s="11"/>
      <c r="X221" s="11"/>
    </row>
    <row r="222">
      <c r="B222" s="8" t="s">
        <v>30</v>
      </c>
      <c r="C222" s="13">
        <v>45945.0</v>
      </c>
      <c r="D222" s="10">
        <f t="shared" si="1"/>
        <v>29836</v>
      </c>
      <c r="E222" s="11">
        <v>14640.0</v>
      </c>
      <c r="F222" s="11">
        <v>15196.0</v>
      </c>
      <c r="G222" s="6"/>
      <c r="H222" s="8"/>
      <c r="I222" s="8"/>
      <c r="K222" s="11"/>
      <c r="L222" s="11"/>
      <c r="M222" s="5"/>
      <c r="N222" s="8"/>
      <c r="O222" s="8"/>
      <c r="Q222" s="11"/>
      <c r="R222" s="11"/>
      <c r="T222" s="8"/>
      <c r="U222" s="8"/>
      <c r="W222" s="11"/>
      <c r="X222" s="11"/>
    </row>
    <row r="223">
      <c r="B223" s="8" t="s">
        <v>30</v>
      </c>
      <c r="C223" s="9" t="s">
        <v>59</v>
      </c>
      <c r="D223" s="10">
        <f t="shared" si="1"/>
        <v>21190</v>
      </c>
      <c r="E223" s="11">
        <v>8973.0</v>
      </c>
      <c r="F223" s="11">
        <v>12217.0</v>
      </c>
      <c r="G223" s="6"/>
      <c r="H223" s="8"/>
      <c r="I223" s="8"/>
      <c r="K223" s="11"/>
      <c r="L223" s="11"/>
      <c r="M223" s="5"/>
      <c r="N223" s="8"/>
      <c r="O223" s="8"/>
      <c r="Q223" s="11"/>
      <c r="R223" s="11"/>
      <c r="T223" s="8"/>
      <c r="U223" s="8"/>
      <c r="W223" s="11"/>
      <c r="X223" s="11"/>
    </row>
    <row r="224">
      <c r="B224" s="8" t="s">
        <v>30</v>
      </c>
      <c r="C224" s="9" t="s">
        <v>60</v>
      </c>
      <c r="D224" s="10">
        <f t="shared" si="1"/>
        <v>74187</v>
      </c>
      <c r="E224" s="11">
        <v>31112.0</v>
      </c>
      <c r="F224" s="11">
        <v>43075.0</v>
      </c>
      <c r="G224" s="6"/>
      <c r="H224" s="8"/>
      <c r="I224" s="9"/>
      <c r="K224" s="11"/>
      <c r="L224" s="11"/>
      <c r="M224" s="5"/>
      <c r="N224" s="8"/>
      <c r="O224" s="9"/>
      <c r="Q224" s="11"/>
      <c r="R224" s="11"/>
      <c r="T224" s="8"/>
      <c r="U224" s="9"/>
      <c r="W224" s="11"/>
      <c r="X224" s="11"/>
    </row>
    <row r="225">
      <c r="B225" s="8" t="s">
        <v>30</v>
      </c>
      <c r="C225" s="9" t="s">
        <v>61</v>
      </c>
      <c r="D225" s="10">
        <f t="shared" si="1"/>
        <v>49956</v>
      </c>
      <c r="E225" s="11">
        <v>21199.0</v>
      </c>
      <c r="F225" s="11">
        <v>28757.0</v>
      </c>
      <c r="G225" s="6"/>
      <c r="H225" s="8"/>
      <c r="I225" s="13"/>
      <c r="K225" s="11"/>
      <c r="L225" s="11"/>
      <c r="M225" s="5"/>
      <c r="N225" s="8"/>
      <c r="O225" s="13"/>
      <c r="Q225" s="11"/>
      <c r="R225" s="11"/>
      <c r="T225" s="8"/>
      <c r="U225" s="13"/>
      <c r="W225" s="11"/>
      <c r="X225" s="11"/>
    </row>
    <row r="226">
      <c r="B226" s="8" t="s">
        <v>30</v>
      </c>
      <c r="C226" s="9" t="s">
        <v>21</v>
      </c>
      <c r="D226" s="10">
        <f t="shared" si="1"/>
        <v>26255</v>
      </c>
      <c r="E226" s="11">
        <v>9754.0</v>
      </c>
      <c r="F226" s="11">
        <v>16501.0</v>
      </c>
      <c r="G226" s="6"/>
      <c r="H226" s="8"/>
      <c r="I226" s="13"/>
      <c r="K226" s="11"/>
      <c r="L226" s="11"/>
      <c r="M226" s="5"/>
      <c r="N226" s="8"/>
      <c r="O226" s="13"/>
      <c r="Q226" s="11"/>
      <c r="R226" s="11"/>
      <c r="T226" s="8"/>
      <c r="U226" s="13"/>
      <c r="W226" s="11"/>
      <c r="X226" s="11"/>
    </row>
    <row r="227">
      <c r="B227" s="8" t="s">
        <v>55</v>
      </c>
      <c r="C227" s="9" t="s">
        <v>58</v>
      </c>
      <c r="D227" s="10">
        <f t="shared" si="1"/>
        <v>21736</v>
      </c>
      <c r="E227" s="11">
        <v>10452.0</v>
      </c>
      <c r="F227" s="11">
        <v>11284.0</v>
      </c>
      <c r="G227" s="6"/>
      <c r="H227" s="8"/>
      <c r="I227" s="9"/>
      <c r="K227" s="11"/>
      <c r="L227" s="11"/>
      <c r="M227" s="5"/>
      <c r="N227" s="8"/>
      <c r="O227" s="9"/>
      <c r="Q227" s="11"/>
      <c r="R227" s="11"/>
      <c r="T227" s="8"/>
      <c r="U227" s="9"/>
      <c r="W227" s="11"/>
      <c r="X227" s="11"/>
    </row>
    <row r="228">
      <c r="B228" s="8" t="s">
        <v>55</v>
      </c>
      <c r="C228" s="13">
        <v>45787.0</v>
      </c>
      <c r="D228" s="10">
        <f t="shared" si="1"/>
        <v>18496</v>
      </c>
      <c r="E228" s="11">
        <v>8899.0</v>
      </c>
      <c r="F228" s="11">
        <v>9597.0</v>
      </c>
      <c r="G228" s="6"/>
      <c r="H228" s="8"/>
      <c r="I228" s="9"/>
      <c r="K228" s="11"/>
      <c r="L228" s="11"/>
      <c r="M228" s="5"/>
      <c r="N228" s="8"/>
      <c r="O228" s="9"/>
      <c r="Q228" s="11"/>
      <c r="R228" s="11"/>
      <c r="T228" s="8"/>
      <c r="U228" s="9"/>
      <c r="W228" s="11"/>
      <c r="X228" s="11"/>
    </row>
    <row r="229">
      <c r="B229" s="8" t="s">
        <v>55</v>
      </c>
      <c r="C229" s="13">
        <v>45945.0</v>
      </c>
      <c r="D229" s="10">
        <f t="shared" si="1"/>
        <v>15133</v>
      </c>
      <c r="E229" s="11">
        <v>7762.0</v>
      </c>
      <c r="F229" s="11">
        <v>7371.0</v>
      </c>
      <c r="G229" s="6"/>
      <c r="H229" s="8"/>
      <c r="I229" s="9"/>
      <c r="K229" s="11"/>
      <c r="L229" s="11"/>
      <c r="M229" s="5"/>
      <c r="N229" s="8"/>
      <c r="O229" s="9"/>
      <c r="Q229" s="11"/>
      <c r="R229" s="11"/>
    </row>
    <row r="230">
      <c r="B230" s="8" t="s">
        <v>55</v>
      </c>
      <c r="C230" s="9" t="s">
        <v>59</v>
      </c>
      <c r="D230" s="10">
        <f t="shared" si="1"/>
        <v>13607</v>
      </c>
      <c r="E230" s="11">
        <v>6541.0</v>
      </c>
      <c r="F230" s="11">
        <v>7066.0</v>
      </c>
      <c r="G230" s="6"/>
      <c r="H230" s="8"/>
      <c r="I230" s="8"/>
      <c r="K230" s="11"/>
      <c r="L230" s="11"/>
      <c r="M230" s="5"/>
      <c r="N230" s="8"/>
      <c r="O230" s="8"/>
      <c r="Q230" s="11"/>
      <c r="R230" s="11"/>
    </row>
    <row r="231">
      <c r="B231" s="8" t="s">
        <v>55</v>
      </c>
      <c r="C231" s="9" t="s">
        <v>60</v>
      </c>
      <c r="D231" s="10">
        <f t="shared" si="1"/>
        <v>44725</v>
      </c>
      <c r="E231" s="11">
        <v>20291.0</v>
      </c>
      <c r="F231" s="11">
        <v>24434.0</v>
      </c>
      <c r="G231" s="6"/>
      <c r="H231" s="8"/>
      <c r="I231" s="8"/>
      <c r="K231" s="11"/>
      <c r="L231" s="11"/>
      <c r="M231" s="5"/>
      <c r="N231" s="8"/>
      <c r="O231" s="8"/>
      <c r="Q231" s="11"/>
      <c r="R231" s="11"/>
    </row>
    <row r="232">
      <c r="B232" s="8" t="s">
        <v>55</v>
      </c>
      <c r="C232" s="9" t="s">
        <v>61</v>
      </c>
      <c r="D232" s="10">
        <f t="shared" si="1"/>
        <v>26939</v>
      </c>
      <c r="E232" s="11">
        <v>13829.0</v>
      </c>
      <c r="F232" s="11">
        <v>13110.0</v>
      </c>
      <c r="G232" s="6"/>
      <c r="H232" s="8"/>
      <c r="I232" s="8"/>
      <c r="K232" s="11"/>
      <c r="L232" s="11"/>
      <c r="M232" s="5"/>
      <c r="N232" s="8"/>
      <c r="O232" s="8"/>
      <c r="Q232" s="11"/>
      <c r="R232" s="11"/>
    </row>
    <row r="233">
      <c r="B233" s="8" t="s">
        <v>55</v>
      </c>
      <c r="C233" s="9" t="s">
        <v>21</v>
      </c>
      <c r="D233" s="10">
        <f t="shared" si="1"/>
        <v>7727</v>
      </c>
      <c r="E233" s="11">
        <v>3284.0</v>
      </c>
      <c r="F233" s="11">
        <v>4443.0</v>
      </c>
      <c r="G233" s="6"/>
      <c r="H233" s="8"/>
      <c r="I233" s="8"/>
      <c r="K233" s="11"/>
      <c r="L233" s="11"/>
      <c r="M233" s="5"/>
      <c r="N233" s="8"/>
      <c r="O233" s="8"/>
      <c r="Q233" s="11"/>
      <c r="R233" s="11"/>
    </row>
    <row r="234">
      <c r="B234" s="8" t="s">
        <v>75</v>
      </c>
      <c r="C234" s="9" t="s">
        <v>58</v>
      </c>
      <c r="D234" s="10">
        <f t="shared" si="1"/>
        <v>18879</v>
      </c>
      <c r="E234" s="11">
        <v>8995.0</v>
      </c>
      <c r="F234" s="11">
        <v>9884.0</v>
      </c>
      <c r="G234" s="6"/>
      <c r="H234" s="8"/>
      <c r="I234" s="8"/>
      <c r="K234" s="11"/>
      <c r="L234" s="11"/>
      <c r="M234" s="5"/>
      <c r="N234" s="8"/>
      <c r="O234" s="8"/>
      <c r="Q234" s="11"/>
      <c r="R234" s="11"/>
    </row>
    <row r="235">
      <c r="B235" s="8" t="s">
        <v>75</v>
      </c>
      <c r="C235" s="13">
        <v>45787.0</v>
      </c>
      <c r="D235" s="10">
        <f t="shared" si="1"/>
        <v>15200</v>
      </c>
      <c r="E235" s="11">
        <v>7405.0</v>
      </c>
      <c r="F235" s="11">
        <v>7795.0</v>
      </c>
      <c r="G235" s="6"/>
      <c r="H235" s="8"/>
      <c r="I235" s="8"/>
      <c r="K235" s="11"/>
      <c r="L235" s="11"/>
      <c r="M235" s="5"/>
      <c r="N235" s="8"/>
      <c r="O235" s="8"/>
      <c r="Q235" s="11"/>
      <c r="R235" s="11"/>
    </row>
    <row r="236">
      <c r="B236" s="8" t="s">
        <v>75</v>
      </c>
      <c r="C236" s="13">
        <v>45945.0</v>
      </c>
      <c r="D236" s="10">
        <f t="shared" si="1"/>
        <v>11128</v>
      </c>
      <c r="E236" s="11">
        <v>5846.0</v>
      </c>
      <c r="F236" s="11">
        <v>5282.0</v>
      </c>
      <c r="G236" s="6"/>
      <c r="H236" s="8"/>
      <c r="I236" s="8"/>
      <c r="K236" s="11"/>
      <c r="L236" s="11"/>
      <c r="M236" s="5"/>
      <c r="N236" s="8"/>
      <c r="O236" s="8"/>
      <c r="Q236" s="11"/>
      <c r="R236" s="11"/>
    </row>
    <row r="237">
      <c r="B237" s="8" t="s">
        <v>75</v>
      </c>
      <c r="C237" s="9" t="s">
        <v>59</v>
      </c>
      <c r="D237" s="10">
        <f t="shared" si="1"/>
        <v>10827</v>
      </c>
      <c r="E237" s="11">
        <v>5174.0</v>
      </c>
      <c r="F237" s="11">
        <v>5653.0</v>
      </c>
      <c r="G237" s="6"/>
      <c r="H237" s="8"/>
      <c r="I237" s="9"/>
      <c r="K237" s="11"/>
      <c r="L237" s="11"/>
      <c r="M237" s="5"/>
      <c r="N237" s="8"/>
      <c r="O237" s="9"/>
      <c r="Q237" s="11"/>
      <c r="R237" s="11"/>
      <c r="T237" s="8"/>
      <c r="U237" s="9"/>
      <c r="W237" s="11"/>
      <c r="X237" s="11"/>
    </row>
    <row r="238">
      <c r="B238" s="8" t="s">
        <v>75</v>
      </c>
      <c r="C238" s="9" t="s">
        <v>60</v>
      </c>
      <c r="D238" s="10">
        <f t="shared" si="1"/>
        <v>45595</v>
      </c>
      <c r="E238" s="11">
        <v>22749.0</v>
      </c>
      <c r="F238" s="11">
        <v>22846.0</v>
      </c>
      <c r="G238" s="6"/>
      <c r="H238" s="8"/>
      <c r="I238" s="13"/>
      <c r="K238" s="11"/>
      <c r="L238" s="11"/>
      <c r="M238" s="5"/>
      <c r="N238" s="8"/>
      <c r="O238" s="13"/>
      <c r="Q238" s="11"/>
      <c r="R238" s="11"/>
      <c r="T238" s="8"/>
      <c r="U238" s="13"/>
      <c r="W238" s="11"/>
      <c r="X238" s="11"/>
    </row>
    <row r="239">
      <c r="B239" s="8" t="s">
        <v>75</v>
      </c>
      <c r="C239" s="9" t="s">
        <v>61</v>
      </c>
      <c r="D239" s="10">
        <f t="shared" si="1"/>
        <v>29108</v>
      </c>
      <c r="E239" s="11">
        <v>14683.0</v>
      </c>
      <c r="F239" s="11">
        <v>14425.0</v>
      </c>
      <c r="G239" s="6"/>
      <c r="H239" s="8"/>
      <c r="I239" s="13"/>
      <c r="K239" s="11"/>
      <c r="L239" s="11"/>
      <c r="M239" s="5"/>
      <c r="N239" s="8"/>
      <c r="O239" s="13"/>
      <c r="Q239" s="11"/>
      <c r="R239" s="11"/>
      <c r="T239" s="8"/>
      <c r="U239" s="13"/>
      <c r="W239" s="11"/>
      <c r="X239" s="11"/>
    </row>
    <row r="240">
      <c r="B240" s="8" t="s">
        <v>75</v>
      </c>
      <c r="C240" s="9" t="s">
        <v>21</v>
      </c>
      <c r="D240" s="10">
        <f t="shared" si="1"/>
        <v>10516</v>
      </c>
      <c r="E240" s="11">
        <v>4477.0</v>
      </c>
      <c r="F240" s="11">
        <v>6039.0</v>
      </c>
      <c r="G240" s="6"/>
      <c r="H240" s="8"/>
      <c r="I240" s="9"/>
      <c r="K240" s="11"/>
      <c r="L240" s="11"/>
      <c r="M240" s="5"/>
      <c r="N240" s="8"/>
      <c r="O240" s="9"/>
      <c r="Q240" s="11"/>
      <c r="R240" s="11"/>
      <c r="T240" s="8"/>
      <c r="U240" s="8"/>
      <c r="W240" s="11"/>
      <c r="X240" s="11"/>
    </row>
    <row r="241">
      <c r="B241" s="8" t="s">
        <v>33</v>
      </c>
      <c r="C241" s="9" t="s">
        <v>58</v>
      </c>
      <c r="D241" s="10">
        <f t="shared" si="1"/>
        <v>38787</v>
      </c>
      <c r="E241" s="11">
        <v>18757.0</v>
      </c>
      <c r="F241" s="11">
        <v>20030.0</v>
      </c>
      <c r="G241" s="6"/>
      <c r="H241" s="8"/>
      <c r="I241" s="9"/>
      <c r="K241" s="11"/>
      <c r="L241" s="11"/>
      <c r="M241" s="5"/>
      <c r="N241" s="8"/>
      <c r="O241" s="9"/>
      <c r="Q241" s="11"/>
      <c r="R241" s="11"/>
      <c r="T241" s="8"/>
      <c r="U241" s="8"/>
      <c r="W241" s="11"/>
      <c r="X241" s="11"/>
    </row>
    <row r="242">
      <c r="B242" s="8" t="s">
        <v>33</v>
      </c>
      <c r="C242" s="13">
        <v>45787.0</v>
      </c>
      <c r="D242" s="10">
        <f t="shared" si="1"/>
        <v>33036</v>
      </c>
      <c r="E242" s="11">
        <v>16239.0</v>
      </c>
      <c r="F242" s="11">
        <v>16797.0</v>
      </c>
      <c r="G242" s="6"/>
      <c r="H242" s="8"/>
      <c r="I242" s="9"/>
      <c r="K242" s="11"/>
      <c r="L242" s="11"/>
      <c r="M242" s="5"/>
      <c r="N242" s="8"/>
      <c r="O242" s="9"/>
      <c r="Q242" s="11"/>
      <c r="R242" s="11"/>
      <c r="T242" s="8"/>
      <c r="U242" s="9"/>
      <c r="X242" s="11"/>
    </row>
    <row r="243">
      <c r="B243" s="8" t="s">
        <v>33</v>
      </c>
      <c r="C243" s="13">
        <v>45945.0</v>
      </c>
      <c r="D243" s="10">
        <f t="shared" si="1"/>
        <v>25980</v>
      </c>
      <c r="E243" s="11">
        <v>13091.0</v>
      </c>
      <c r="F243" s="11">
        <v>12889.0</v>
      </c>
      <c r="G243" s="6"/>
      <c r="H243" s="8"/>
      <c r="I243" s="8"/>
      <c r="K243" s="11"/>
      <c r="L243" s="11"/>
      <c r="M243" s="5"/>
      <c r="N243" s="8"/>
      <c r="O243" s="8"/>
      <c r="Q243" s="11"/>
      <c r="R243" s="11"/>
      <c r="T243" s="8"/>
      <c r="U243" s="9"/>
      <c r="X243" s="11"/>
    </row>
    <row r="244">
      <c r="B244" s="8" t="s">
        <v>33</v>
      </c>
      <c r="C244" s="9" t="s">
        <v>59</v>
      </c>
      <c r="D244" s="10">
        <f t="shared" si="1"/>
        <v>21488</v>
      </c>
      <c r="E244" s="11">
        <v>9421.0</v>
      </c>
      <c r="F244" s="11">
        <v>12067.0</v>
      </c>
      <c r="G244" s="6"/>
      <c r="H244" s="8"/>
      <c r="I244" s="8"/>
      <c r="K244" s="11"/>
      <c r="L244" s="11"/>
      <c r="M244" s="5"/>
      <c r="N244" s="8"/>
      <c r="O244" s="8"/>
      <c r="Q244" s="11"/>
      <c r="R244" s="11"/>
      <c r="T244" s="8"/>
      <c r="U244" s="9"/>
      <c r="X244" s="11"/>
    </row>
    <row r="245">
      <c r="B245" s="8" t="s">
        <v>33</v>
      </c>
      <c r="C245" s="9" t="s">
        <v>60</v>
      </c>
      <c r="D245" s="10">
        <f t="shared" si="1"/>
        <v>73951</v>
      </c>
      <c r="E245" s="11">
        <v>34536.0</v>
      </c>
      <c r="F245" s="11">
        <v>39415.0</v>
      </c>
      <c r="G245" s="6"/>
      <c r="H245" s="8"/>
      <c r="I245" s="8"/>
      <c r="K245" s="11"/>
      <c r="L245" s="11"/>
      <c r="M245" s="5"/>
      <c r="N245" s="8"/>
      <c r="O245" s="8"/>
      <c r="Q245" s="11"/>
      <c r="R245" s="11"/>
      <c r="T245" s="8"/>
      <c r="U245" s="9"/>
      <c r="X245" s="11"/>
    </row>
    <row r="246">
      <c r="B246" s="8" t="s">
        <v>33</v>
      </c>
      <c r="C246" s="9" t="s">
        <v>61</v>
      </c>
      <c r="D246" s="10">
        <f t="shared" si="1"/>
        <v>39415</v>
      </c>
      <c r="E246" s="11">
        <v>18844.0</v>
      </c>
      <c r="F246" s="11">
        <v>20571.0</v>
      </c>
      <c r="G246" s="6"/>
      <c r="H246" s="8"/>
      <c r="I246" s="8"/>
      <c r="K246" s="11"/>
      <c r="L246" s="11"/>
      <c r="M246" s="5"/>
      <c r="N246" s="8"/>
      <c r="O246" s="8"/>
      <c r="Q246" s="11"/>
      <c r="R246" s="11"/>
      <c r="T246" s="8"/>
      <c r="U246" s="9"/>
      <c r="X246" s="11"/>
    </row>
    <row r="247">
      <c r="B247" s="8" t="s">
        <v>33</v>
      </c>
      <c r="C247" s="9" t="s">
        <v>21</v>
      </c>
      <c r="D247" s="10">
        <f t="shared" si="1"/>
        <v>19648</v>
      </c>
      <c r="E247" s="11">
        <v>8159.0</v>
      </c>
      <c r="F247" s="11">
        <v>11489.0</v>
      </c>
      <c r="G247" s="6"/>
      <c r="H247" s="8"/>
      <c r="I247" s="8"/>
      <c r="K247" s="11"/>
      <c r="L247" s="11"/>
      <c r="M247" s="5"/>
      <c r="N247" s="8"/>
      <c r="O247" s="8"/>
      <c r="Q247" s="11"/>
      <c r="R247" s="11"/>
      <c r="T247" s="8"/>
      <c r="U247" s="9"/>
      <c r="X247" s="11"/>
    </row>
    <row r="248">
      <c r="B248" s="8" t="s">
        <v>76</v>
      </c>
      <c r="C248" s="9" t="s">
        <v>58</v>
      </c>
      <c r="D248" s="10">
        <f t="shared" si="1"/>
        <v>37003</v>
      </c>
      <c r="E248" s="11">
        <v>17984.0</v>
      </c>
      <c r="F248" s="11">
        <v>19019.0</v>
      </c>
      <c r="G248" s="6"/>
      <c r="H248" s="8"/>
      <c r="I248" s="8"/>
      <c r="K248" s="11"/>
      <c r="L248" s="11"/>
      <c r="M248" s="5"/>
      <c r="N248" s="8"/>
      <c r="O248" s="8"/>
      <c r="Q248" s="11"/>
      <c r="R248" s="11"/>
      <c r="T248" s="8"/>
      <c r="U248" s="9"/>
      <c r="X248" s="11"/>
    </row>
    <row r="249">
      <c r="B249" s="8" t="s">
        <v>76</v>
      </c>
      <c r="C249" s="13">
        <v>45787.0</v>
      </c>
      <c r="D249" s="10">
        <f t="shared" si="1"/>
        <v>31203</v>
      </c>
      <c r="E249" s="11">
        <v>15277.0</v>
      </c>
      <c r="F249" s="11">
        <v>15926.0</v>
      </c>
      <c r="G249" s="6"/>
      <c r="H249" s="8"/>
      <c r="I249" s="8"/>
      <c r="K249" s="11"/>
      <c r="L249" s="11"/>
      <c r="M249" s="5"/>
      <c r="N249" s="8"/>
      <c r="O249" s="8"/>
      <c r="Q249" s="11"/>
      <c r="R249" s="11"/>
      <c r="T249" s="8"/>
      <c r="X249" s="11"/>
    </row>
    <row r="250">
      <c r="B250" s="8" t="s">
        <v>76</v>
      </c>
      <c r="C250" s="13">
        <v>45945.0</v>
      </c>
      <c r="D250" s="10">
        <f t="shared" si="1"/>
        <v>24944</v>
      </c>
      <c r="E250" s="11">
        <v>13057.0</v>
      </c>
      <c r="F250" s="11">
        <v>11887.0</v>
      </c>
      <c r="G250" s="6"/>
      <c r="H250" s="8"/>
      <c r="I250" s="9"/>
      <c r="K250" s="11"/>
      <c r="L250" s="11"/>
      <c r="M250" s="5"/>
      <c r="N250" s="8"/>
      <c r="O250" s="9"/>
      <c r="Q250" s="11"/>
      <c r="R250" s="11"/>
      <c r="T250" s="8"/>
      <c r="U250" s="9"/>
      <c r="W250" s="11"/>
      <c r="X250" s="11"/>
    </row>
    <row r="251">
      <c r="B251" s="8" t="s">
        <v>76</v>
      </c>
      <c r="C251" s="9" t="s">
        <v>59</v>
      </c>
      <c r="D251" s="10">
        <f t="shared" si="1"/>
        <v>21710</v>
      </c>
      <c r="E251" s="11">
        <v>10187.0</v>
      </c>
      <c r="F251" s="11">
        <v>11523.0</v>
      </c>
      <c r="G251" s="6"/>
      <c r="H251" s="8"/>
      <c r="I251" s="13"/>
      <c r="K251" s="11"/>
      <c r="L251" s="11"/>
      <c r="M251" s="5"/>
      <c r="N251" s="8"/>
      <c r="O251" s="13"/>
      <c r="Q251" s="11"/>
      <c r="R251" s="11"/>
      <c r="T251" s="8"/>
      <c r="U251" s="13"/>
      <c r="W251" s="11"/>
      <c r="X251" s="11"/>
    </row>
    <row r="252">
      <c r="B252" s="8" t="s">
        <v>76</v>
      </c>
      <c r="C252" s="9" t="s">
        <v>60</v>
      </c>
      <c r="D252" s="10">
        <f t="shared" si="1"/>
        <v>74370</v>
      </c>
      <c r="E252" s="11">
        <v>37337.0</v>
      </c>
      <c r="F252" s="11">
        <v>37033.0</v>
      </c>
      <c r="G252" s="6"/>
      <c r="H252" s="8"/>
      <c r="I252" s="13"/>
      <c r="K252" s="11"/>
      <c r="L252" s="11"/>
      <c r="M252" s="5"/>
      <c r="N252" s="8"/>
      <c r="O252" s="13"/>
      <c r="Q252" s="11"/>
      <c r="R252" s="11"/>
      <c r="T252" s="8"/>
      <c r="U252" s="13"/>
      <c r="W252" s="11"/>
      <c r="X252" s="11"/>
    </row>
    <row r="253">
      <c r="B253" s="8" t="s">
        <v>76</v>
      </c>
      <c r="C253" s="9" t="s">
        <v>61</v>
      </c>
      <c r="D253" s="10">
        <f t="shared" si="1"/>
        <v>38006</v>
      </c>
      <c r="E253" s="11">
        <v>19451.0</v>
      </c>
      <c r="F253" s="11">
        <v>18555.0</v>
      </c>
      <c r="G253" s="6"/>
      <c r="H253" s="8"/>
      <c r="I253" s="9"/>
      <c r="K253" s="11"/>
      <c r="L253" s="11"/>
      <c r="M253" s="5"/>
      <c r="N253" s="8"/>
      <c r="O253" s="9"/>
      <c r="Q253" s="11"/>
      <c r="R253" s="11"/>
      <c r="T253" s="8"/>
      <c r="U253" s="8"/>
      <c r="W253" s="11"/>
      <c r="X253" s="11"/>
    </row>
    <row r="254">
      <c r="B254" s="8" t="s">
        <v>76</v>
      </c>
      <c r="C254" s="9" t="s">
        <v>21</v>
      </c>
      <c r="D254" s="10">
        <f t="shared" si="1"/>
        <v>16561</v>
      </c>
      <c r="E254" s="11">
        <v>7691.0</v>
      </c>
      <c r="F254" s="11">
        <v>8870.0</v>
      </c>
      <c r="G254" s="6"/>
      <c r="H254" s="8"/>
      <c r="I254" s="9"/>
      <c r="K254" s="11"/>
      <c r="L254" s="11"/>
      <c r="M254" s="5"/>
      <c r="N254" s="8"/>
      <c r="O254" s="9"/>
      <c r="Q254" s="11"/>
      <c r="R254" s="11"/>
      <c r="T254" s="8"/>
      <c r="U254" s="8"/>
      <c r="W254" s="11"/>
      <c r="X254" s="11"/>
    </row>
    <row r="255">
      <c r="B255" s="8" t="s">
        <v>36</v>
      </c>
      <c r="C255" s="9" t="s">
        <v>58</v>
      </c>
      <c r="D255" s="10">
        <f t="shared" si="1"/>
        <v>53123</v>
      </c>
      <c r="E255" s="11">
        <v>26029.0</v>
      </c>
      <c r="F255" s="11">
        <v>27094.0</v>
      </c>
      <c r="G255" s="6"/>
      <c r="H255" s="8"/>
      <c r="I255" s="9"/>
      <c r="K255" s="11"/>
      <c r="L255" s="11"/>
      <c r="M255" s="5"/>
      <c r="N255" s="8"/>
      <c r="O255" s="9"/>
      <c r="Q255" s="11"/>
      <c r="R255" s="11"/>
      <c r="T255" s="8"/>
      <c r="U255" s="9"/>
      <c r="X255" s="11"/>
    </row>
    <row r="256">
      <c r="B256" s="8" t="s">
        <v>36</v>
      </c>
      <c r="C256" s="13">
        <v>45787.0</v>
      </c>
      <c r="D256" s="10">
        <f t="shared" si="1"/>
        <v>46169</v>
      </c>
      <c r="E256" s="11">
        <v>22923.0</v>
      </c>
      <c r="F256" s="11">
        <v>23246.0</v>
      </c>
      <c r="G256" s="6"/>
      <c r="H256" s="8"/>
      <c r="I256" s="8"/>
      <c r="K256" s="11"/>
      <c r="L256" s="11"/>
      <c r="M256" s="5"/>
      <c r="N256" s="8"/>
      <c r="O256" s="8"/>
      <c r="Q256" s="11"/>
      <c r="R256" s="11"/>
      <c r="T256" s="8"/>
      <c r="U256" s="9"/>
      <c r="X256" s="11"/>
    </row>
    <row r="257">
      <c r="B257" s="8" t="s">
        <v>36</v>
      </c>
      <c r="C257" s="13">
        <v>45945.0</v>
      </c>
      <c r="D257" s="10">
        <f t="shared" si="1"/>
        <v>37695</v>
      </c>
      <c r="E257" s="11">
        <v>18933.0</v>
      </c>
      <c r="F257" s="11">
        <v>18762.0</v>
      </c>
      <c r="G257" s="6"/>
      <c r="H257" s="8"/>
      <c r="I257" s="8"/>
      <c r="K257" s="11"/>
      <c r="L257" s="11"/>
      <c r="M257" s="5"/>
      <c r="N257" s="8"/>
      <c r="O257" s="8"/>
      <c r="Q257" s="11"/>
      <c r="R257" s="11"/>
      <c r="T257" s="8"/>
      <c r="U257" s="9"/>
      <c r="X257" s="11"/>
    </row>
    <row r="258">
      <c r="B258" s="8" t="s">
        <v>36</v>
      </c>
      <c r="C258" s="9" t="s">
        <v>59</v>
      </c>
      <c r="D258" s="10">
        <f t="shared" si="1"/>
        <v>30646</v>
      </c>
      <c r="E258" s="11">
        <v>13415.0</v>
      </c>
      <c r="F258" s="11">
        <v>17231.0</v>
      </c>
      <c r="G258" s="6"/>
      <c r="H258" s="8"/>
      <c r="I258" s="8"/>
      <c r="K258" s="11"/>
      <c r="L258" s="11"/>
      <c r="M258" s="5"/>
      <c r="N258" s="8"/>
      <c r="O258" s="8"/>
      <c r="Q258" s="11"/>
      <c r="R258" s="11"/>
      <c r="T258" s="8"/>
      <c r="U258" s="9"/>
      <c r="X258" s="11"/>
    </row>
    <row r="259">
      <c r="B259" s="8" t="s">
        <v>36</v>
      </c>
      <c r="C259" s="9" t="s">
        <v>60</v>
      </c>
      <c r="D259" s="10">
        <f t="shared" si="1"/>
        <v>102067</v>
      </c>
      <c r="E259" s="11">
        <v>46129.0</v>
      </c>
      <c r="F259" s="11">
        <v>55938.0</v>
      </c>
      <c r="G259" s="6"/>
      <c r="H259" s="8"/>
      <c r="I259" s="8"/>
      <c r="K259" s="11"/>
      <c r="L259" s="11"/>
      <c r="M259" s="5"/>
      <c r="N259" s="8"/>
      <c r="O259" s="8"/>
      <c r="Q259" s="11"/>
      <c r="R259" s="11"/>
      <c r="T259" s="8"/>
      <c r="U259" s="9"/>
      <c r="X259" s="11"/>
    </row>
    <row r="260">
      <c r="B260" s="8" t="s">
        <v>36</v>
      </c>
      <c r="C260" s="9" t="s">
        <v>61</v>
      </c>
      <c r="D260" s="10">
        <f t="shared" si="1"/>
        <v>57578</v>
      </c>
      <c r="E260" s="11">
        <v>26990.0</v>
      </c>
      <c r="F260" s="11">
        <v>30588.0</v>
      </c>
      <c r="G260" s="6"/>
      <c r="H260" s="8"/>
      <c r="I260" s="8"/>
      <c r="K260" s="11"/>
      <c r="L260" s="11"/>
      <c r="M260" s="5"/>
      <c r="N260" s="8"/>
      <c r="O260" s="8"/>
      <c r="Q260" s="11"/>
      <c r="R260" s="11"/>
      <c r="T260" s="8"/>
      <c r="U260" s="9"/>
      <c r="X260" s="11"/>
    </row>
    <row r="261">
      <c r="B261" s="8" t="s">
        <v>36</v>
      </c>
      <c r="C261" s="9" t="s">
        <v>21</v>
      </c>
      <c r="D261" s="10">
        <f t="shared" si="1"/>
        <v>28774</v>
      </c>
      <c r="E261" s="11">
        <v>11715.0</v>
      </c>
      <c r="F261" s="11">
        <v>17059.0</v>
      </c>
      <c r="G261" s="6"/>
      <c r="H261" s="8"/>
      <c r="I261" s="8"/>
      <c r="K261" s="11"/>
      <c r="L261" s="11"/>
      <c r="M261" s="5"/>
      <c r="N261" s="8"/>
      <c r="O261" s="8"/>
      <c r="Q261" s="11"/>
      <c r="R261" s="11"/>
      <c r="T261" s="8"/>
      <c r="U261" s="9"/>
      <c r="X261" s="11"/>
    </row>
    <row r="262">
      <c r="B262" s="8" t="s">
        <v>77</v>
      </c>
      <c r="C262" s="9" t="s">
        <v>58</v>
      </c>
      <c r="D262" s="10">
        <f t="shared" si="1"/>
        <v>37674</v>
      </c>
      <c r="E262" s="11">
        <v>18800.0</v>
      </c>
      <c r="F262" s="11">
        <v>18874.0</v>
      </c>
      <c r="G262" s="6"/>
      <c r="H262" s="8"/>
      <c r="I262" s="8"/>
      <c r="K262" s="11"/>
      <c r="L262" s="11"/>
      <c r="M262" s="5"/>
      <c r="N262" s="8"/>
      <c r="O262" s="8"/>
      <c r="Q262" s="11"/>
      <c r="R262" s="11"/>
      <c r="T262" s="8"/>
      <c r="X262" s="11"/>
    </row>
    <row r="263">
      <c r="B263" s="8" t="s">
        <v>77</v>
      </c>
      <c r="C263" s="13">
        <v>45787.0</v>
      </c>
      <c r="D263" s="10">
        <f t="shared" si="1"/>
        <v>35244</v>
      </c>
      <c r="E263" s="11">
        <v>17536.0</v>
      </c>
      <c r="F263" s="11">
        <v>17708.0</v>
      </c>
      <c r="G263" s="6"/>
      <c r="H263" s="8"/>
      <c r="I263" s="9"/>
      <c r="K263" s="11"/>
      <c r="L263" s="11"/>
      <c r="M263" s="5"/>
      <c r="N263" s="8"/>
      <c r="O263" s="9"/>
      <c r="Q263" s="11"/>
      <c r="R263" s="11"/>
      <c r="T263" s="8"/>
      <c r="U263" s="9"/>
      <c r="W263" s="11"/>
      <c r="X263" s="11"/>
    </row>
    <row r="264">
      <c r="B264" s="8" t="s">
        <v>77</v>
      </c>
      <c r="C264" s="13">
        <v>45945.0</v>
      </c>
      <c r="D264" s="10">
        <f t="shared" si="1"/>
        <v>21168</v>
      </c>
      <c r="E264" s="11">
        <v>11299.0</v>
      </c>
      <c r="F264" s="11">
        <v>9869.0</v>
      </c>
      <c r="G264" s="6"/>
      <c r="H264" s="8"/>
      <c r="I264" s="13"/>
      <c r="K264" s="11"/>
      <c r="L264" s="11"/>
      <c r="M264" s="5"/>
      <c r="N264" s="8"/>
      <c r="O264" s="13"/>
      <c r="Q264" s="11"/>
      <c r="R264" s="11"/>
      <c r="T264" s="8"/>
      <c r="U264" s="13"/>
      <c r="W264" s="11"/>
      <c r="X264" s="11"/>
    </row>
    <row r="265">
      <c r="B265" s="8" t="s">
        <v>77</v>
      </c>
      <c r="C265" s="9" t="s">
        <v>59</v>
      </c>
      <c r="D265" s="10">
        <f t="shared" si="1"/>
        <v>21459</v>
      </c>
      <c r="E265" s="11">
        <v>10392.0</v>
      </c>
      <c r="F265" s="11">
        <v>11067.0</v>
      </c>
      <c r="G265" s="6"/>
      <c r="H265" s="8"/>
      <c r="I265" s="13"/>
      <c r="K265" s="11"/>
      <c r="L265" s="11"/>
      <c r="M265" s="5"/>
      <c r="N265" s="8"/>
      <c r="O265" s="13"/>
      <c r="Q265" s="11"/>
      <c r="R265" s="11"/>
      <c r="T265" s="8"/>
      <c r="U265" s="13"/>
      <c r="W265" s="11"/>
      <c r="X265" s="11"/>
    </row>
    <row r="266">
      <c r="B266" s="8" t="s">
        <v>77</v>
      </c>
      <c r="C266" s="9" t="s">
        <v>60</v>
      </c>
      <c r="D266" s="10">
        <f t="shared" si="1"/>
        <v>93198</v>
      </c>
      <c r="E266" s="11">
        <v>48238.0</v>
      </c>
      <c r="F266" s="11">
        <v>44960.0</v>
      </c>
      <c r="G266" s="6"/>
      <c r="H266" s="8"/>
      <c r="I266" s="9"/>
      <c r="K266" s="11"/>
      <c r="L266" s="11"/>
      <c r="M266" s="5"/>
      <c r="N266" s="8"/>
      <c r="O266" s="9"/>
      <c r="Q266" s="11"/>
      <c r="R266" s="11"/>
      <c r="T266" s="8"/>
      <c r="U266" s="9"/>
      <c r="X266" s="11"/>
    </row>
    <row r="267">
      <c r="B267" s="8" t="s">
        <v>77</v>
      </c>
      <c r="C267" s="9" t="s">
        <v>61</v>
      </c>
      <c r="D267" s="10">
        <f t="shared" si="1"/>
        <v>44973</v>
      </c>
      <c r="E267" s="11">
        <v>24113.0</v>
      </c>
      <c r="F267" s="11">
        <v>20860.0</v>
      </c>
      <c r="H267" s="8"/>
      <c r="I267" s="9"/>
      <c r="K267" s="11"/>
      <c r="L267" s="11"/>
      <c r="N267" s="8"/>
      <c r="O267" s="9"/>
      <c r="Q267" s="11"/>
      <c r="R267" s="11"/>
      <c r="T267" s="8"/>
      <c r="U267" s="9"/>
      <c r="W267" s="11"/>
      <c r="X267" s="11"/>
    </row>
    <row r="268">
      <c r="B268" s="8" t="s">
        <v>77</v>
      </c>
      <c r="C268" s="9" t="s">
        <v>21</v>
      </c>
      <c r="D268" s="10">
        <f t="shared" si="1"/>
        <v>22247</v>
      </c>
      <c r="E268" s="11">
        <v>10398.0</v>
      </c>
      <c r="F268" s="11">
        <v>11849.0</v>
      </c>
      <c r="H268" s="8"/>
      <c r="I268" s="9"/>
      <c r="K268" s="11"/>
      <c r="L268" s="11"/>
      <c r="N268" s="8"/>
      <c r="O268" s="9"/>
      <c r="Q268" s="11"/>
      <c r="R268" s="11"/>
    </row>
    <row r="269">
      <c r="B269" s="8" t="s">
        <v>78</v>
      </c>
      <c r="C269" s="9" t="s">
        <v>58</v>
      </c>
      <c r="D269" s="10">
        <f t="shared" si="1"/>
        <v>101715</v>
      </c>
      <c r="E269" s="11">
        <v>50586.0</v>
      </c>
      <c r="F269" s="11">
        <v>51129.0</v>
      </c>
      <c r="H269" s="8"/>
      <c r="I269" s="8"/>
      <c r="K269" s="11"/>
      <c r="L269" s="11"/>
      <c r="N269" s="8"/>
      <c r="O269" s="8"/>
      <c r="Q269" s="11"/>
      <c r="R269" s="11"/>
    </row>
    <row r="270">
      <c r="B270" s="8" t="s">
        <v>78</v>
      </c>
      <c r="C270" s="13">
        <v>45787.0</v>
      </c>
      <c r="D270" s="10">
        <f t="shared" si="1"/>
        <v>96235</v>
      </c>
      <c r="E270" s="11">
        <v>48244.0</v>
      </c>
      <c r="F270" s="11">
        <v>47991.0</v>
      </c>
      <c r="H270" s="8"/>
      <c r="I270" s="8"/>
      <c r="K270" s="11"/>
      <c r="L270" s="11"/>
      <c r="N270" s="8"/>
      <c r="O270" s="8"/>
      <c r="Q270" s="11"/>
      <c r="R270" s="11"/>
    </row>
    <row r="271">
      <c r="B271" s="8" t="s">
        <v>78</v>
      </c>
      <c r="C271" s="13">
        <v>45945.0</v>
      </c>
      <c r="D271" s="10">
        <f t="shared" si="1"/>
        <v>65673</v>
      </c>
      <c r="E271" s="11">
        <v>34630.0</v>
      </c>
      <c r="F271" s="11">
        <v>31043.0</v>
      </c>
      <c r="H271" s="8"/>
      <c r="I271" s="8"/>
      <c r="K271" s="11"/>
      <c r="L271" s="11"/>
      <c r="N271" s="8"/>
      <c r="O271" s="8"/>
      <c r="Q271" s="11"/>
      <c r="R271" s="11"/>
    </row>
    <row r="272">
      <c r="B272" s="8" t="s">
        <v>78</v>
      </c>
      <c r="C272" s="9" t="s">
        <v>59</v>
      </c>
      <c r="D272" s="10">
        <f t="shared" si="1"/>
        <v>65005</v>
      </c>
      <c r="E272" s="11">
        <v>30672.0</v>
      </c>
      <c r="F272" s="11">
        <v>34333.0</v>
      </c>
      <c r="H272" s="8"/>
      <c r="I272" s="8"/>
      <c r="K272" s="11"/>
      <c r="L272" s="11"/>
      <c r="N272" s="8"/>
      <c r="O272" s="8"/>
      <c r="Q272" s="11"/>
      <c r="R272" s="11"/>
    </row>
    <row r="273">
      <c r="B273" s="8" t="s">
        <v>78</v>
      </c>
      <c r="C273" s="9" t="s">
        <v>60</v>
      </c>
      <c r="D273" s="10">
        <f t="shared" si="1"/>
        <v>255241</v>
      </c>
      <c r="E273" s="11">
        <v>122261.0</v>
      </c>
      <c r="F273" s="11">
        <v>132980.0</v>
      </c>
      <c r="H273" s="8"/>
      <c r="I273" s="8"/>
      <c r="K273" s="11"/>
      <c r="L273" s="11"/>
      <c r="N273" s="8"/>
      <c r="O273" s="8"/>
      <c r="Q273" s="11"/>
      <c r="R273" s="11"/>
    </row>
    <row r="274">
      <c r="B274" s="8" t="s">
        <v>78</v>
      </c>
      <c r="C274" s="9" t="s">
        <v>61</v>
      </c>
      <c r="D274" s="10">
        <f t="shared" si="1"/>
        <v>131295</v>
      </c>
      <c r="E274" s="11">
        <v>67322.0</v>
      </c>
      <c r="F274" s="11">
        <v>63973.0</v>
      </c>
      <c r="H274" s="8"/>
      <c r="I274" s="8"/>
      <c r="K274" s="11"/>
      <c r="L274" s="11"/>
      <c r="N274" s="8"/>
      <c r="O274" s="8"/>
      <c r="Q274" s="11"/>
      <c r="R274" s="11"/>
    </row>
    <row r="275">
      <c r="B275" s="8" t="s">
        <v>78</v>
      </c>
      <c r="C275" s="9" t="s">
        <v>21</v>
      </c>
      <c r="D275" s="10">
        <f t="shared" si="1"/>
        <v>55395</v>
      </c>
      <c r="E275" s="11">
        <v>26720.0</v>
      </c>
      <c r="F275" s="11">
        <v>28675.0</v>
      </c>
      <c r="H275" s="8"/>
      <c r="I275" s="8"/>
      <c r="K275" s="11"/>
      <c r="L275" s="11"/>
      <c r="N275" s="8"/>
      <c r="O275" s="8"/>
      <c r="Q275" s="11"/>
      <c r="R275" s="11"/>
    </row>
    <row r="276">
      <c r="B276" s="8" t="s">
        <v>79</v>
      </c>
      <c r="C276" s="9" t="s">
        <v>58</v>
      </c>
      <c r="D276" s="10">
        <f t="shared" si="1"/>
        <v>11247</v>
      </c>
      <c r="E276" s="11">
        <v>5393.0</v>
      </c>
      <c r="F276" s="11">
        <v>5854.0</v>
      </c>
      <c r="H276" s="8"/>
      <c r="I276" s="9"/>
      <c r="K276" s="11"/>
      <c r="L276" s="11"/>
      <c r="N276" s="8"/>
      <c r="O276" s="9"/>
      <c r="Q276" s="11"/>
      <c r="R276" s="11"/>
      <c r="T276" s="8"/>
      <c r="U276" s="9"/>
      <c r="W276" s="11"/>
      <c r="X276" s="11"/>
    </row>
    <row r="277">
      <c r="B277" s="8" t="s">
        <v>79</v>
      </c>
      <c r="C277" s="13">
        <v>45787.0</v>
      </c>
      <c r="D277" s="10">
        <f t="shared" si="1"/>
        <v>10959</v>
      </c>
      <c r="E277" s="11">
        <v>5330.0</v>
      </c>
      <c r="F277" s="11">
        <v>5629.0</v>
      </c>
      <c r="H277" s="8"/>
      <c r="I277" s="13"/>
      <c r="K277" s="11"/>
      <c r="L277" s="11"/>
      <c r="N277" s="8"/>
      <c r="O277" s="13"/>
      <c r="Q277" s="11"/>
      <c r="R277" s="11"/>
      <c r="T277" s="8"/>
      <c r="U277" s="13"/>
      <c r="W277" s="11"/>
      <c r="X277" s="11"/>
    </row>
    <row r="278">
      <c r="B278" s="8" t="s">
        <v>79</v>
      </c>
      <c r="C278" s="13">
        <v>45945.0</v>
      </c>
      <c r="D278" s="10">
        <f t="shared" si="1"/>
        <v>9477</v>
      </c>
      <c r="E278" s="11">
        <v>4861.0</v>
      </c>
      <c r="F278" s="11">
        <v>4616.0</v>
      </c>
      <c r="H278" s="8"/>
      <c r="I278" s="13"/>
      <c r="K278" s="11"/>
      <c r="L278" s="11"/>
      <c r="N278" s="8"/>
      <c r="O278" s="13"/>
      <c r="Q278" s="11"/>
      <c r="R278" s="11"/>
      <c r="T278" s="8"/>
      <c r="U278" s="13"/>
      <c r="W278" s="11"/>
      <c r="X278" s="11"/>
    </row>
    <row r="279">
      <c r="B279" s="8" t="s">
        <v>79</v>
      </c>
      <c r="C279" s="9" t="s">
        <v>59</v>
      </c>
      <c r="D279" s="10">
        <f t="shared" si="1"/>
        <v>6375</v>
      </c>
      <c r="E279" s="11">
        <v>3351.0</v>
      </c>
      <c r="F279" s="11">
        <v>3024.0</v>
      </c>
      <c r="H279" s="8"/>
      <c r="I279" s="9"/>
      <c r="K279" s="11"/>
      <c r="L279" s="11"/>
      <c r="N279" s="8"/>
      <c r="O279" s="9"/>
      <c r="Q279" s="11"/>
      <c r="R279" s="11"/>
      <c r="T279" s="8"/>
      <c r="U279" s="8"/>
      <c r="W279" s="11"/>
      <c r="X279" s="11"/>
    </row>
    <row r="280">
      <c r="B280" s="8" t="s">
        <v>79</v>
      </c>
      <c r="C280" s="9" t="s">
        <v>60</v>
      </c>
      <c r="D280" s="10">
        <f t="shared" si="1"/>
        <v>22902</v>
      </c>
      <c r="E280" s="11">
        <v>11062.0</v>
      </c>
      <c r="F280" s="11">
        <v>11840.0</v>
      </c>
      <c r="H280" s="8"/>
      <c r="I280" s="9"/>
      <c r="K280" s="11"/>
      <c r="L280" s="11"/>
      <c r="N280" s="8"/>
      <c r="O280" s="9"/>
      <c r="Q280" s="11"/>
      <c r="R280" s="11"/>
      <c r="T280" s="8"/>
      <c r="U280" s="8"/>
      <c r="W280" s="11"/>
      <c r="X280" s="11"/>
    </row>
    <row r="281">
      <c r="B281" s="8" t="s">
        <v>79</v>
      </c>
      <c r="C281" s="9" t="s">
        <v>61</v>
      </c>
      <c r="D281" s="10">
        <f t="shared" si="1"/>
        <v>18772</v>
      </c>
      <c r="E281" s="11">
        <v>9421.0</v>
      </c>
      <c r="F281" s="11">
        <v>9351.0</v>
      </c>
      <c r="H281" s="8"/>
      <c r="I281" s="9"/>
      <c r="K281" s="11"/>
      <c r="L281" s="11"/>
      <c r="N281" s="8"/>
      <c r="O281" s="9"/>
      <c r="Q281" s="11"/>
      <c r="R281" s="11"/>
      <c r="T281" s="8"/>
      <c r="U281" s="9"/>
      <c r="X281" s="11"/>
    </row>
    <row r="282">
      <c r="B282" s="8" t="s">
        <v>79</v>
      </c>
      <c r="C282" s="9" t="s">
        <v>21</v>
      </c>
      <c r="D282" s="10">
        <f t="shared" si="1"/>
        <v>6857</v>
      </c>
      <c r="E282" s="11">
        <v>3149.0</v>
      </c>
      <c r="F282" s="11">
        <v>3708.0</v>
      </c>
      <c r="H282" s="8"/>
      <c r="I282" s="8"/>
      <c r="K282" s="11"/>
      <c r="L282" s="11"/>
      <c r="N282" s="8"/>
      <c r="O282" s="8"/>
      <c r="Q282" s="11"/>
      <c r="R282" s="11"/>
      <c r="T282" s="8"/>
      <c r="U282" s="9"/>
      <c r="X282" s="11"/>
    </row>
    <row r="283">
      <c r="B283" s="6" t="str">
        <f t="shared" ref="B283:C283" si="2">H283</f>
        <v/>
      </c>
      <c r="C283" s="7" t="str">
        <f t="shared" si="2"/>
        <v/>
      </c>
      <c r="D283" s="6"/>
      <c r="E283" s="6"/>
      <c r="F283" s="6"/>
      <c r="H283" s="8"/>
      <c r="I283" s="8"/>
      <c r="K283" s="11"/>
      <c r="L283" s="11"/>
      <c r="N283" s="8"/>
      <c r="O283" s="8"/>
      <c r="Q283" s="11"/>
      <c r="R283" s="11"/>
      <c r="T283" s="8"/>
      <c r="U283" s="9"/>
      <c r="X283" s="11"/>
    </row>
    <row r="284">
      <c r="B284" s="6" t="str">
        <f t="shared" ref="B284:C284" si="3">H284</f>
        <v/>
      </c>
      <c r="C284" s="7" t="str">
        <f t="shared" si="3"/>
        <v/>
      </c>
      <c r="D284" s="6"/>
      <c r="E284" s="6"/>
      <c r="F284" s="6"/>
      <c r="H284" s="8"/>
      <c r="I284" s="8"/>
      <c r="K284" s="11"/>
      <c r="L284" s="11"/>
      <c r="N284" s="8"/>
      <c r="O284" s="8"/>
      <c r="Q284" s="11"/>
      <c r="R284" s="11"/>
      <c r="T284" s="8"/>
      <c r="U284" s="9"/>
      <c r="X284" s="11"/>
    </row>
    <row r="285">
      <c r="B285" s="6" t="str">
        <f t="shared" ref="B285:C285" si="4">H285</f>
        <v/>
      </c>
      <c r="C285" s="7" t="str">
        <f t="shared" si="4"/>
        <v/>
      </c>
      <c r="D285" s="6"/>
      <c r="E285" s="6"/>
      <c r="F285" s="6"/>
      <c r="H285" s="8"/>
      <c r="I285" s="8"/>
      <c r="K285" s="11"/>
      <c r="L285" s="11"/>
      <c r="N285" s="8"/>
      <c r="O285" s="8"/>
      <c r="Q285" s="11"/>
      <c r="R285" s="11"/>
      <c r="T285" s="8"/>
      <c r="U285" s="9"/>
      <c r="X285" s="11"/>
    </row>
    <row r="286">
      <c r="B286" s="6" t="str">
        <f t="shared" ref="B286:C286" si="5">H286</f>
        <v/>
      </c>
      <c r="C286" s="7" t="str">
        <f t="shared" si="5"/>
        <v/>
      </c>
      <c r="D286" s="6"/>
      <c r="E286" s="6"/>
      <c r="F286" s="6"/>
      <c r="H286" s="8"/>
      <c r="I286" s="8"/>
      <c r="K286" s="11"/>
      <c r="L286" s="11"/>
      <c r="N286" s="8"/>
      <c r="O286" s="8"/>
      <c r="Q286" s="11"/>
      <c r="R286" s="11"/>
      <c r="T286" s="8"/>
      <c r="U286" s="9"/>
      <c r="X286" s="11"/>
    </row>
    <row r="287">
      <c r="B287" s="6" t="str">
        <f t="shared" ref="B287:C287" si="6">H287</f>
        <v/>
      </c>
      <c r="C287" s="7" t="str">
        <f t="shared" si="6"/>
        <v/>
      </c>
      <c r="D287" s="6"/>
      <c r="E287" s="6"/>
      <c r="F287" s="6"/>
      <c r="H287" s="8"/>
      <c r="I287" s="8"/>
      <c r="K287" s="11"/>
      <c r="L287" s="11"/>
      <c r="N287" s="8"/>
      <c r="O287" s="8"/>
      <c r="Q287" s="11"/>
      <c r="R287" s="11"/>
      <c r="T287" s="8"/>
      <c r="U287" s="9"/>
      <c r="X287" s="11"/>
    </row>
    <row r="288">
      <c r="B288" s="6" t="str">
        <f t="shared" ref="B288:C288" si="7">H288</f>
        <v/>
      </c>
      <c r="C288" s="7" t="str">
        <f t="shared" si="7"/>
        <v/>
      </c>
      <c r="D288" s="6"/>
      <c r="E288" s="6"/>
      <c r="F288" s="6"/>
      <c r="H288" s="8"/>
      <c r="I288" s="8"/>
      <c r="K288" s="11"/>
      <c r="L288" s="11"/>
      <c r="N288" s="8"/>
      <c r="O288" s="8"/>
      <c r="Q288" s="11"/>
      <c r="R288" s="11"/>
      <c r="T288" s="8"/>
      <c r="X288" s="11"/>
    </row>
    <row r="289">
      <c r="B289" s="6" t="str">
        <f t="shared" ref="B289:C289" si="8">H289</f>
        <v/>
      </c>
      <c r="C289" s="7" t="str">
        <f t="shared" si="8"/>
        <v/>
      </c>
      <c r="D289" s="6"/>
      <c r="E289" s="6"/>
      <c r="F289" s="6"/>
      <c r="H289" s="8"/>
      <c r="I289" s="9"/>
      <c r="K289" s="11"/>
      <c r="L289" s="11"/>
      <c r="N289" s="8"/>
      <c r="O289" s="9"/>
      <c r="Q289" s="11"/>
      <c r="R289" s="11"/>
      <c r="T289" s="8"/>
      <c r="U289" s="9"/>
      <c r="W289" s="11"/>
      <c r="X289" s="11"/>
    </row>
    <row r="290">
      <c r="B290" s="6" t="str">
        <f t="shared" ref="B290:C290" si="9">H290</f>
        <v/>
      </c>
      <c r="C290" s="12" t="str">
        <f t="shared" si="9"/>
        <v/>
      </c>
      <c r="D290" s="6"/>
      <c r="E290" s="6"/>
      <c r="F290" s="6"/>
      <c r="H290" s="8"/>
      <c r="I290" s="13"/>
      <c r="K290" s="11"/>
      <c r="L290" s="11"/>
      <c r="N290" s="8"/>
      <c r="O290" s="13"/>
      <c r="Q290" s="11"/>
      <c r="R290" s="11"/>
      <c r="T290" s="8"/>
      <c r="U290" s="13"/>
      <c r="W290" s="11"/>
      <c r="X290" s="11"/>
    </row>
    <row r="291">
      <c r="B291" s="6" t="str">
        <f t="shared" ref="B291:C291" si="10">H291</f>
        <v/>
      </c>
      <c r="C291" s="12" t="str">
        <f t="shared" si="10"/>
        <v/>
      </c>
      <c r="D291" s="6"/>
      <c r="E291" s="6"/>
      <c r="F291" s="6"/>
      <c r="H291" s="8"/>
      <c r="I291" s="13"/>
      <c r="K291" s="11"/>
      <c r="L291" s="11"/>
      <c r="N291" s="8"/>
      <c r="O291" s="13"/>
      <c r="Q291" s="11"/>
      <c r="R291" s="11"/>
      <c r="T291" s="8"/>
      <c r="U291" s="13"/>
      <c r="W291" s="11"/>
      <c r="X291" s="11"/>
    </row>
    <row r="292">
      <c r="B292" s="6" t="str">
        <f t="shared" ref="B292:C292" si="11">H292</f>
        <v/>
      </c>
      <c r="C292" s="7" t="str">
        <f t="shared" si="11"/>
        <v/>
      </c>
      <c r="D292" s="6"/>
      <c r="E292" s="6"/>
      <c r="F292" s="6"/>
      <c r="H292" s="8"/>
      <c r="I292" s="9"/>
      <c r="K292" s="11"/>
      <c r="L292" s="11"/>
      <c r="N292" s="8"/>
      <c r="O292" s="9"/>
      <c r="Q292" s="11"/>
      <c r="R292" s="11"/>
      <c r="T292" s="8"/>
      <c r="U292" s="9"/>
      <c r="W292" s="11"/>
      <c r="X292" s="11"/>
    </row>
    <row r="293">
      <c r="B293" s="6" t="str">
        <f t="shared" ref="B293:C293" si="12">H293</f>
        <v/>
      </c>
      <c r="C293" s="7" t="str">
        <f t="shared" si="12"/>
        <v/>
      </c>
      <c r="D293" s="6"/>
      <c r="E293" s="6"/>
      <c r="F293" s="6"/>
      <c r="H293" s="8"/>
      <c r="I293" s="9"/>
      <c r="K293" s="11"/>
      <c r="L293" s="11"/>
      <c r="N293" s="8"/>
      <c r="O293" s="9"/>
      <c r="Q293" s="11"/>
      <c r="R293" s="11"/>
      <c r="T293" s="8"/>
      <c r="U293" s="9"/>
      <c r="W293" s="11"/>
      <c r="X293" s="11"/>
    </row>
    <row r="294">
      <c r="B294" s="6" t="str">
        <f t="shared" ref="B294:C294" si="13">H294</f>
        <v/>
      </c>
      <c r="C294" s="7" t="str">
        <f t="shared" si="13"/>
        <v/>
      </c>
      <c r="D294" s="6"/>
      <c r="E294" s="6"/>
      <c r="F294" s="6"/>
      <c r="H294" s="8"/>
      <c r="I294" s="9"/>
      <c r="K294" s="11"/>
      <c r="L294" s="11"/>
      <c r="N294" s="8"/>
      <c r="O294" s="9"/>
      <c r="Q294" s="11"/>
      <c r="R294" s="11"/>
    </row>
    <row r="295">
      <c r="B295" s="6" t="str">
        <f t="shared" ref="B295:C295" si="14">H295</f>
        <v/>
      </c>
      <c r="C295" s="7" t="str">
        <f t="shared" si="14"/>
        <v/>
      </c>
      <c r="D295" s="6"/>
      <c r="E295" s="6"/>
      <c r="F295" s="6"/>
      <c r="H295" s="8"/>
      <c r="I295" s="8"/>
      <c r="K295" s="11"/>
      <c r="L295" s="11"/>
      <c r="N295" s="8"/>
      <c r="O295" s="8"/>
      <c r="Q295" s="11"/>
      <c r="R295" s="11"/>
    </row>
    <row r="296">
      <c r="B296" s="6" t="str">
        <f t="shared" ref="B296:C296" si="15">H296</f>
        <v/>
      </c>
      <c r="C296" s="7" t="str">
        <f t="shared" si="15"/>
        <v/>
      </c>
      <c r="D296" s="6"/>
      <c r="E296" s="6"/>
      <c r="F296" s="6"/>
      <c r="H296" s="8"/>
      <c r="I296" s="8"/>
      <c r="K296" s="11"/>
      <c r="L296" s="11"/>
      <c r="N296" s="8"/>
      <c r="O296" s="8"/>
      <c r="Q296" s="11"/>
      <c r="R296" s="11"/>
    </row>
    <row r="297">
      <c r="B297" s="6" t="str">
        <f t="shared" ref="B297:C297" si="16">H297</f>
        <v/>
      </c>
      <c r="C297" s="7" t="str">
        <f t="shared" si="16"/>
        <v/>
      </c>
      <c r="D297" s="6"/>
      <c r="E297" s="6"/>
      <c r="F297" s="6"/>
      <c r="H297" s="8"/>
      <c r="I297" s="8"/>
      <c r="K297" s="11"/>
      <c r="L297" s="11"/>
      <c r="N297" s="8"/>
      <c r="O297" s="8"/>
      <c r="Q297" s="11"/>
      <c r="R297" s="11"/>
    </row>
    <row r="298">
      <c r="B298" s="6" t="str">
        <f t="shared" ref="B298:C298" si="17">H298</f>
        <v/>
      </c>
      <c r="C298" s="7" t="str">
        <f t="shared" si="17"/>
        <v/>
      </c>
      <c r="D298" s="6"/>
      <c r="E298" s="6"/>
      <c r="F298" s="6"/>
      <c r="H298" s="8"/>
      <c r="I298" s="8"/>
      <c r="K298" s="11"/>
      <c r="L298" s="11"/>
      <c r="N298" s="8"/>
      <c r="O298" s="8"/>
      <c r="Q298" s="11"/>
      <c r="R298" s="11"/>
    </row>
    <row r="299">
      <c r="B299" s="6" t="str">
        <f t="shared" ref="B299:C299" si="18">H299</f>
        <v/>
      </c>
      <c r="C299" s="7" t="str">
        <f t="shared" si="18"/>
        <v/>
      </c>
      <c r="D299" s="6"/>
      <c r="E299" s="6"/>
      <c r="F299" s="6"/>
      <c r="H299" s="8"/>
      <c r="I299" s="8"/>
      <c r="K299" s="11"/>
      <c r="L299" s="11"/>
      <c r="N299" s="8"/>
      <c r="O299" s="8"/>
      <c r="Q299" s="11"/>
      <c r="R299" s="11"/>
    </row>
    <row r="300">
      <c r="B300" s="6" t="str">
        <f t="shared" ref="B300:C300" si="19">H300</f>
        <v/>
      </c>
      <c r="C300" s="7" t="str">
        <f t="shared" si="19"/>
        <v/>
      </c>
      <c r="D300" s="6"/>
      <c r="E300" s="6"/>
      <c r="F300" s="6"/>
      <c r="H300" s="8"/>
      <c r="I300" s="8"/>
      <c r="K300" s="11"/>
      <c r="L300" s="11"/>
      <c r="N300" s="8"/>
      <c r="O300" s="8"/>
      <c r="Q300" s="11"/>
      <c r="R300" s="11"/>
    </row>
    <row r="301">
      <c r="B301" s="6" t="str">
        <f t="shared" ref="B301:C301" si="20">H301</f>
        <v/>
      </c>
      <c r="C301" s="7" t="str">
        <f t="shared" si="20"/>
        <v/>
      </c>
      <c r="D301" s="6"/>
      <c r="E301" s="6"/>
      <c r="F301" s="6"/>
      <c r="H301" s="8"/>
      <c r="I301" s="8"/>
      <c r="K301" s="11"/>
      <c r="L301" s="11"/>
      <c r="N301" s="8"/>
      <c r="O301" s="8"/>
      <c r="Q301" s="11"/>
      <c r="R301" s="11"/>
    </row>
    <row r="302">
      <c r="B302" s="6" t="str">
        <f t="shared" ref="B302:C302" si="21">H302</f>
        <v/>
      </c>
      <c r="C302" s="7" t="str">
        <f t="shared" si="21"/>
        <v/>
      </c>
      <c r="D302" s="6"/>
      <c r="E302" s="6"/>
      <c r="F302" s="6"/>
      <c r="H302" s="8"/>
      <c r="I302" s="9"/>
      <c r="K302" s="11"/>
      <c r="L302" s="11"/>
      <c r="N302" s="8"/>
      <c r="O302" s="9"/>
      <c r="Q302" s="11"/>
      <c r="R302" s="11"/>
      <c r="T302" s="8"/>
      <c r="U302" s="9"/>
      <c r="W302" s="11"/>
      <c r="X302" s="11"/>
    </row>
    <row r="303">
      <c r="B303" s="6" t="str">
        <f t="shared" ref="B303:C303" si="22">H303</f>
        <v/>
      </c>
      <c r="C303" s="12" t="str">
        <f t="shared" si="22"/>
        <v/>
      </c>
      <c r="D303" s="6"/>
      <c r="E303" s="6"/>
      <c r="F303" s="6"/>
      <c r="H303" s="8"/>
      <c r="I303" s="13"/>
      <c r="K303" s="11"/>
      <c r="L303" s="11"/>
      <c r="N303" s="8"/>
      <c r="O303" s="13"/>
      <c r="Q303" s="11"/>
      <c r="R303" s="11"/>
      <c r="T303" s="8"/>
      <c r="U303" s="13"/>
      <c r="W303" s="11"/>
      <c r="X303" s="11"/>
    </row>
    <row r="304">
      <c r="B304" s="6" t="str">
        <f t="shared" ref="B304:C304" si="23">H304</f>
        <v/>
      </c>
      <c r="C304" s="12" t="str">
        <f t="shared" si="23"/>
        <v/>
      </c>
      <c r="D304" s="6"/>
      <c r="E304" s="6"/>
      <c r="F304" s="6"/>
      <c r="H304" s="8"/>
      <c r="I304" s="13"/>
      <c r="K304" s="11"/>
      <c r="L304" s="11"/>
      <c r="N304" s="8"/>
      <c r="O304" s="13"/>
      <c r="Q304" s="11"/>
      <c r="R304" s="11"/>
      <c r="T304" s="8"/>
      <c r="U304" s="13"/>
      <c r="W304" s="11"/>
      <c r="X304" s="11"/>
    </row>
    <row r="305">
      <c r="B305" s="6" t="str">
        <f t="shared" ref="B305:C305" si="24">H305</f>
        <v/>
      </c>
      <c r="C305" s="7" t="str">
        <f t="shared" si="24"/>
        <v/>
      </c>
      <c r="D305" s="6"/>
      <c r="E305" s="6"/>
      <c r="F305" s="6"/>
      <c r="H305" s="8"/>
      <c r="I305" s="9"/>
      <c r="K305" s="11"/>
      <c r="L305" s="11"/>
      <c r="N305" s="8"/>
      <c r="O305" s="9"/>
      <c r="Q305" s="11"/>
      <c r="R305" s="11"/>
      <c r="T305" s="8"/>
      <c r="U305" s="9"/>
      <c r="W305" s="11"/>
      <c r="X305" s="11"/>
    </row>
    <row r="306">
      <c r="B306" s="6" t="str">
        <f t="shared" ref="B306:C306" si="25">H306</f>
        <v/>
      </c>
      <c r="C306" s="7" t="str">
        <f t="shared" si="25"/>
        <v/>
      </c>
      <c r="D306" s="6"/>
      <c r="E306" s="6"/>
      <c r="F306" s="6"/>
      <c r="H306" s="8"/>
      <c r="I306" s="9"/>
      <c r="K306" s="11"/>
      <c r="L306" s="11"/>
      <c r="N306" s="8"/>
      <c r="O306" s="9"/>
      <c r="Q306" s="11"/>
      <c r="R306" s="11"/>
      <c r="T306" s="8"/>
      <c r="U306" s="9"/>
      <c r="W306" s="11"/>
      <c r="X306" s="11"/>
    </row>
    <row r="307">
      <c r="B307" s="6" t="str">
        <f t="shared" ref="B307:C307" si="26">H307</f>
        <v/>
      </c>
      <c r="C307" s="7" t="str">
        <f t="shared" si="26"/>
        <v/>
      </c>
      <c r="D307" s="6"/>
      <c r="E307" s="6"/>
      <c r="F307" s="6"/>
      <c r="H307" s="8"/>
      <c r="I307" s="9"/>
      <c r="K307" s="11"/>
      <c r="L307" s="11"/>
      <c r="N307" s="8"/>
      <c r="O307" s="9"/>
      <c r="Q307" s="11"/>
      <c r="R307" s="11"/>
    </row>
    <row r="308">
      <c r="B308" s="6" t="str">
        <f t="shared" ref="B308:C308" si="27">H308</f>
        <v/>
      </c>
      <c r="C308" s="7" t="str">
        <f t="shared" si="27"/>
        <v/>
      </c>
      <c r="D308" s="6"/>
      <c r="E308" s="6"/>
      <c r="F308" s="6"/>
      <c r="H308" s="8"/>
      <c r="I308" s="8"/>
      <c r="K308" s="11"/>
      <c r="L308" s="11"/>
      <c r="N308" s="8"/>
      <c r="O308" s="8"/>
      <c r="Q308" s="11"/>
      <c r="R308" s="11"/>
    </row>
    <row r="309">
      <c r="B309" s="6" t="str">
        <f t="shared" ref="B309:C309" si="28">H309</f>
        <v/>
      </c>
      <c r="C309" s="7" t="str">
        <f t="shared" si="28"/>
        <v/>
      </c>
      <c r="D309" s="6"/>
      <c r="E309" s="6"/>
      <c r="F309" s="6"/>
      <c r="H309" s="8"/>
      <c r="I309" s="8"/>
      <c r="K309" s="11"/>
      <c r="L309" s="11"/>
      <c r="N309" s="8"/>
      <c r="O309" s="8"/>
      <c r="Q309" s="11"/>
      <c r="R309" s="11"/>
    </row>
    <row r="310">
      <c r="B310" s="6" t="str">
        <f t="shared" ref="B310:C310" si="29">H310</f>
        <v/>
      </c>
      <c r="C310" s="7" t="str">
        <f t="shared" si="29"/>
        <v/>
      </c>
      <c r="D310" s="6"/>
      <c r="E310" s="6"/>
      <c r="F310" s="6"/>
      <c r="H310" s="8"/>
      <c r="I310" s="8"/>
      <c r="K310" s="11"/>
      <c r="L310" s="11"/>
      <c r="N310" s="8"/>
      <c r="O310" s="8"/>
      <c r="Q310" s="11"/>
      <c r="R310" s="11"/>
    </row>
    <row r="311">
      <c r="B311" s="6" t="str">
        <f t="shared" ref="B311:C311" si="30">H311</f>
        <v/>
      </c>
      <c r="C311" s="7" t="str">
        <f t="shared" si="30"/>
        <v/>
      </c>
      <c r="D311" s="6"/>
      <c r="E311" s="6"/>
      <c r="F311" s="6"/>
      <c r="H311" s="8"/>
      <c r="I311" s="8"/>
      <c r="K311" s="11"/>
      <c r="L311" s="11"/>
      <c r="N311" s="8"/>
      <c r="O311" s="8"/>
      <c r="Q311" s="11"/>
      <c r="R311" s="11"/>
    </row>
    <row r="312">
      <c r="B312" s="6" t="str">
        <f t="shared" ref="B312:C312" si="31">H312</f>
        <v/>
      </c>
      <c r="C312" s="7" t="str">
        <f t="shared" si="31"/>
        <v/>
      </c>
      <c r="D312" s="6"/>
      <c r="E312" s="6"/>
      <c r="F312" s="6"/>
      <c r="H312" s="8"/>
      <c r="I312" s="8"/>
      <c r="K312" s="11"/>
      <c r="L312" s="11"/>
      <c r="N312" s="8"/>
      <c r="O312" s="8"/>
      <c r="Q312" s="11"/>
      <c r="R312" s="11"/>
    </row>
    <row r="313">
      <c r="B313" s="6" t="str">
        <f t="shared" ref="B313:C313" si="32">H313</f>
        <v/>
      </c>
      <c r="C313" s="7" t="str">
        <f t="shared" si="32"/>
        <v/>
      </c>
      <c r="D313" s="6"/>
      <c r="E313" s="6"/>
      <c r="F313" s="6"/>
      <c r="H313" s="8"/>
      <c r="I313" s="8"/>
      <c r="K313" s="11"/>
      <c r="L313" s="11"/>
      <c r="N313" s="8"/>
      <c r="O313" s="8"/>
      <c r="Q313" s="11"/>
      <c r="R313" s="11"/>
    </row>
    <row r="314">
      <c r="B314" s="6" t="str">
        <f t="shared" ref="B314:C314" si="33">H314</f>
        <v/>
      </c>
      <c r="C314" s="7" t="str">
        <f t="shared" si="33"/>
        <v/>
      </c>
      <c r="D314" s="6"/>
      <c r="E314" s="6"/>
      <c r="F314" s="6"/>
      <c r="H314" s="8"/>
      <c r="I314" s="8"/>
      <c r="K314" s="11"/>
      <c r="L314" s="11"/>
      <c r="N314" s="8"/>
      <c r="O314" s="8"/>
      <c r="Q314" s="11"/>
      <c r="R314" s="11"/>
    </row>
    <row r="315">
      <c r="B315" s="6" t="str">
        <f t="shared" ref="B315:C315" si="34">H315</f>
        <v/>
      </c>
      <c r="C315" s="7" t="str">
        <f t="shared" si="34"/>
        <v/>
      </c>
      <c r="D315" s="6"/>
      <c r="E315" s="6"/>
      <c r="F315" s="6"/>
      <c r="H315" s="8"/>
      <c r="I315" s="9"/>
      <c r="K315" s="11"/>
      <c r="L315" s="11"/>
      <c r="N315" s="8"/>
      <c r="O315" s="9"/>
      <c r="Q315" s="11"/>
      <c r="R315" s="11"/>
      <c r="T315" s="8"/>
      <c r="U315" s="9"/>
      <c r="W315" s="11"/>
      <c r="X315" s="11"/>
    </row>
    <row r="316">
      <c r="B316" s="6" t="str">
        <f t="shared" ref="B316:C316" si="35">H316</f>
        <v/>
      </c>
      <c r="C316" s="12" t="str">
        <f t="shared" si="35"/>
        <v/>
      </c>
      <c r="D316" s="6"/>
      <c r="E316" s="6"/>
      <c r="F316" s="6"/>
      <c r="H316" s="8"/>
      <c r="I316" s="13"/>
      <c r="K316" s="11"/>
      <c r="L316" s="11"/>
      <c r="N316" s="8"/>
      <c r="O316" s="13"/>
      <c r="Q316" s="11"/>
      <c r="R316" s="11"/>
      <c r="T316" s="8"/>
      <c r="U316" s="13"/>
      <c r="W316" s="11"/>
      <c r="X316" s="11"/>
    </row>
    <row r="317">
      <c r="B317" s="6" t="str">
        <f t="shared" ref="B317:C317" si="36">H317</f>
        <v/>
      </c>
      <c r="C317" s="12" t="str">
        <f t="shared" si="36"/>
        <v/>
      </c>
      <c r="D317" s="6"/>
      <c r="E317" s="6"/>
      <c r="F317" s="6"/>
      <c r="H317" s="8"/>
      <c r="I317" s="13"/>
      <c r="K317" s="11"/>
      <c r="L317" s="11"/>
      <c r="N317" s="8"/>
      <c r="O317" s="13"/>
      <c r="Q317" s="11"/>
      <c r="R317" s="11"/>
      <c r="T317" s="8"/>
      <c r="U317" s="13"/>
      <c r="W317" s="11"/>
      <c r="X317" s="11"/>
    </row>
    <row r="318">
      <c r="B318" s="6" t="str">
        <f t="shared" ref="B318:C318" si="37">H318</f>
        <v/>
      </c>
      <c r="C318" s="7" t="str">
        <f t="shared" si="37"/>
        <v/>
      </c>
      <c r="D318" s="6"/>
      <c r="E318" s="6"/>
      <c r="F318" s="6"/>
      <c r="H318" s="8"/>
      <c r="I318" s="9"/>
      <c r="K318" s="11"/>
      <c r="L318" s="11"/>
      <c r="N318" s="8"/>
      <c r="O318" s="9"/>
      <c r="Q318" s="11"/>
      <c r="R318" s="11"/>
      <c r="T318" s="8"/>
      <c r="U318" s="8"/>
      <c r="W318" s="11"/>
      <c r="X318" s="11"/>
    </row>
    <row r="319">
      <c r="B319" s="6" t="str">
        <f t="shared" ref="B319:C319" si="38">H319</f>
        <v/>
      </c>
      <c r="C319" s="7" t="str">
        <f t="shared" si="38"/>
        <v/>
      </c>
      <c r="D319" s="6"/>
      <c r="E319" s="6"/>
      <c r="F319" s="6"/>
      <c r="H319" s="8"/>
      <c r="I319" s="9"/>
      <c r="K319" s="11"/>
      <c r="L319" s="11"/>
      <c r="N319" s="8"/>
      <c r="O319" s="9"/>
      <c r="R319" s="11"/>
      <c r="T319" s="8"/>
      <c r="U319" s="8"/>
      <c r="W319" s="11"/>
      <c r="X319" s="11"/>
    </row>
    <row r="320">
      <c r="B320" s="6" t="str">
        <f t="shared" ref="B320:C320" si="39">H320</f>
        <v/>
      </c>
      <c r="C320" s="7" t="str">
        <f t="shared" si="39"/>
        <v/>
      </c>
      <c r="D320" s="6"/>
      <c r="E320" s="6"/>
      <c r="F320" s="6"/>
      <c r="H320" s="8"/>
      <c r="I320" s="9"/>
      <c r="K320" s="11"/>
      <c r="L320" s="11"/>
      <c r="N320" s="8"/>
      <c r="O320" s="9"/>
      <c r="Q320" s="11"/>
      <c r="R320" s="11"/>
      <c r="T320" s="8"/>
      <c r="U320" s="9"/>
      <c r="X320" s="11"/>
    </row>
    <row r="321">
      <c r="B321" s="6" t="str">
        <f t="shared" ref="B321:C321" si="40">H321</f>
        <v/>
      </c>
      <c r="C321" s="7" t="str">
        <f t="shared" si="40"/>
        <v/>
      </c>
      <c r="D321" s="6"/>
      <c r="E321" s="6"/>
      <c r="F321" s="6"/>
      <c r="H321" s="8"/>
      <c r="I321" s="8"/>
      <c r="K321" s="11"/>
      <c r="L321" s="11"/>
      <c r="N321" s="8"/>
      <c r="O321" s="8"/>
      <c r="Q321" s="11"/>
      <c r="R321" s="11"/>
      <c r="T321" s="8"/>
      <c r="U321" s="9"/>
      <c r="X321" s="11"/>
    </row>
    <row r="322">
      <c r="B322" s="6" t="str">
        <f t="shared" ref="B322:C322" si="41">H322</f>
        <v/>
      </c>
      <c r="C322" s="7" t="str">
        <f t="shared" si="41"/>
        <v/>
      </c>
      <c r="D322" s="6"/>
      <c r="E322" s="6"/>
      <c r="F322" s="6"/>
      <c r="H322" s="8"/>
      <c r="I322" s="8"/>
      <c r="K322" s="11"/>
      <c r="L322" s="11"/>
      <c r="N322" s="8"/>
      <c r="O322" s="8"/>
      <c r="Q322" s="11"/>
      <c r="R322" s="11"/>
      <c r="T322" s="8"/>
      <c r="U322" s="9"/>
      <c r="X322" s="11"/>
    </row>
    <row r="323">
      <c r="B323" s="6" t="str">
        <f t="shared" ref="B323:C323" si="42">H323</f>
        <v/>
      </c>
      <c r="C323" s="7" t="str">
        <f t="shared" si="42"/>
        <v/>
      </c>
      <c r="D323" s="6"/>
      <c r="E323" s="6"/>
      <c r="F323" s="6"/>
      <c r="H323" s="8"/>
      <c r="I323" s="8"/>
      <c r="K323" s="11"/>
      <c r="L323" s="11"/>
      <c r="N323" s="8"/>
      <c r="O323" s="8"/>
      <c r="Q323" s="11"/>
      <c r="R323" s="11"/>
      <c r="T323" s="8"/>
      <c r="U323" s="9"/>
      <c r="X323" s="11"/>
    </row>
    <row r="324">
      <c r="B324" s="6" t="str">
        <f t="shared" ref="B324:C324" si="43">H324</f>
        <v/>
      </c>
      <c r="C324" s="7" t="str">
        <f t="shared" si="43"/>
        <v/>
      </c>
      <c r="D324" s="6"/>
      <c r="E324" s="6"/>
      <c r="F324" s="6"/>
      <c r="H324" s="8"/>
      <c r="I324" s="8"/>
      <c r="K324" s="11"/>
      <c r="L324" s="11"/>
      <c r="N324" s="8"/>
      <c r="O324" s="8"/>
      <c r="Q324" s="11"/>
      <c r="R324" s="11"/>
      <c r="T324" s="8"/>
      <c r="U324" s="9"/>
      <c r="X324" s="11"/>
    </row>
    <row r="325">
      <c r="B325" s="6" t="str">
        <f t="shared" ref="B325:C325" si="44">H325</f>
        <v/>
      </c>
      <c r="C325" s="7" t="str">
        <f t="shared" si="44"/>
        <v/>
      </c>
      <c r="D325" s="6"/>
      <c r="E325" s="6"/>
      <c r="F325" s="6"/>
      <c r="H325" s="8"/>
      <c r="I325" s="8"/>
      <c r="K325" s="11"/>
      <c r="L325" s="11"/>
      <c r="N325" s="8"/>
      <c r="O325" s="8"/>
      <c r="Q325" s="11"/>
      <c r="R325" s="11"/>
      <c r="T325" s="8"/>
      <c r="U325" s="9"/>
      <c r="X325" s="11"/>
    </row>
    <row r="326">
      <c r="B326" s="6" t="str">
        <f t="shared" ref="B326:C326" si="45">H326</f>
        <v/>
      </c>
      <c r="C326" s="7" t="str">
        <f t="shared" si="45"/>
        <v/>
      </c>
      <c r="D326" s="6"/>
      <c r="E326" s="6"/>
      <c r="F326" s="6"/>
      <c r="H326" s="8"/>
      <c r="I326" s="8"/>
      <c r="K326" s="11"/>
      <c r="L326" s="11"/>
      <c r="N326" s="8"/>
      <c r="O326" s="8"/>
      <c r="Q326" s="11"/>
      <c r="R326" s="11"/>
      <c r="T326" s="8"/>
      <c r="U326" s="9"/>
      <c r="X326" s="11"/>
    </row>
    <row r="327">
      <c r="B327" s="6" t="str">
        <f t="shared" ref="B327:C327" si="46">H327</f>
        <v/>
      </c>
      <c r="C327" s="7" t="str">
        <f t="shared" si="46"/>
        <v/>
      </c>
      <c r="D327" s="6"/>
      <c r="E327" s="6"/>
      <c r="F327" s="6"/>
      <c r="H327" s="8"/>
      <c r="I327" s="8"/>
      <c r="K327" s="11"/>
      <c r="L327" s="11"/>
      <c r="N327" s="8"/>
      <c r="O327" s="8"/>
      <c r="Q327" s="11"/>
      <c r="R327" s="11"/>
      <c r="T327" s="8"/>
      <c r="U327" s="8"/>
      <c r="X327" s="11"/>
    </row>
    <row r="328">
      <c r="B328" s="6" t="str">
        <f t="shared" ref="B328:C328" si="47">H328</f>
        <v/>
      </c>
      <c r="C328" s="7" t="str">
        <f t="shared" si="47"/>
        <v/>
      </c>
      <c r="D328" s="6"/>
      <c r="E328" s="6"/>
      <c r="F328" s="6"/>
      <c r="H328" s="8"/>
      <c r="I328" s="9"/>
      <c r="K328" s="11"/>
      <c r="L328" s="11"/>
      <c r="N328" s="8"/>
      <c r="O328" s="9"/>
      <c r="Q328" s="11"/>
      <c r="R328" s="11"/>
      <c r="T328" s="8"/>
      <c r="U328" s="9"/>
      <c r="W328" s="11"/>
      <c r="X328" s="11"/>
    </row>
    <row r="329">
      <c r="B329" s="6" t="str">
        <f t="shared" ref="B329:C329" si="48">H329</f>
        <v/>
      </c>
      <c r="C329" s="12" t="str">
        <f t="shared" si="48"/>
        <v/>
      </c>
      <c r="D329" s="6"/>
      <c r="E329" s="6"/>
      <c r="F329" s="6"/>
      <c r="H329" s="8"/>
      <c r="I329" s="13"/>
      <c r="K329" s="11"/>
      <c r="L329" s="11"/>
      <c r="N329" s="8"/>
      <c r="O329" s="13"/>
      <c r="Q329" s="11"/>
      <c r="R329" s="11"/>
      <c r="T329" s="8"/>
      <c r="U329" s="13"/>
      <c r="W329" s="11"/>
      <c r="X329" s="11"/>
    </row>
    <row r="330">
      <c r="B330" s="6" t="str">
        <f t="shared" ref="B330:C330" si="49">H330</f>
        <v/>
      </c>
      <c r="C330" s="12" t="str">
        <f t="shared" si="49"/>
        <v/>
      </c>
      <c r="D330" s="6"/>
      <c r="E330" s="6"/>
      <c r="F330" s="6"/>
      <c r="H330" s="8"/>
      <c r="I330" s="13"/>
      <c r="K330" s="11"/>
      <c r="L330" s="11"/>
      <c r="N330" s="8"/>
      <c r="O330" s="13"/>
      <c r="Q330" s="11"/>
      <c r="R330" s="11"/>
      <c r="T330" s="8"/>
      <c r="U330" s="13"/>
      <c r="W330" s="11"/>
      <c r="X330" s="11"/>
    </row>
    <row r="331">
      <c r="B331" s="6" t="str">
        <f t="shared" ref="B331:C331" si="50">H331</f>
        <v/>
      </c>
      <c r="C331" s="7" t="str">
        <f t="shared" si="50"/>
        <v/>
      </c>
      <c r="D331" s="6"/>
      <c r="E331" s="6"/>
      <c r="F331" s="6"/>
      <c r="H331" s="8"/>
      <c r="I331" s="9"/>
      <c r="K331" s="11"/>
      <c r="L331" s="11"/>
      <c r="N331" s="8"/>
      <c r="O331" s="9"/>
      <c r="Q331" s="11"/>
      <c r="R331" s="11"/>
      <c r="T331" s="8"/>
      <c r="U331" s="8"/>
      <c r="W331" s="11"/>
      <c r="X331" s="11"/>
    </row>
    <row r="332">
      <c r="B332" s="6" t="str">
        <f t="shared" ref="B332:C332" si="51">H332</f>
        <v/>
      </c>
      <c r="C332" s="7" t="str">
        <f t="shared" si="51"/>
        <v/>
      </c>
      <c r="D332" s="6"/>
      <c r="E332" s="6"/>
      <c r="F332" s="6"/>
      <c r="H332" s="8"/>
      <c r="I332" s="9"/>
      <c r="K332" s="11"/>
      <c r="L332" s="11"/>
      <c r="N332" s="8"/>
      <c r="O332" s="9"/>
      <c r="Q332" s="11"/>
      <c r="R332" s="11"/>
      <c r="T332" s="8"/>
      <c r="U332" s="8"/>
      <c r="W332" s="11"/>
      <c r="X332" s="11"/>
    </row>
    <row r="333">
      <c r="B333" s="6" t="str">
        <f t="shared" ref="B333:C333" si="52">H333</f>
        <v/>
      </c>
      <c r="C333" s="7" t="str">
        <f t="shared" si="52"/>
        <v/>
      </c>
      <c r="D333" s="6"/>
      <c r="E333" s="6"/>
      <c r="F333" s="6"/>
      <c r="H333" s="8"/>
      <c r="I333" s="9"/>
      <c r="K333" s="11"/>
      <c r="L333" s="11"/>
      <c r="N333" s="8"/>
      <c r="O333" s="9"/>
      <c r="Q333" s="11"/>
      <c r="R333" s="11"/>
      <c r="T333" s="8"/>
      <c r="U333" s="8"/>
      <c r="W333" s="11"/>
      <c r="X333" s="11"/>
    </row>
    <row r="334">
      <c r="B334" s="6" t="str">
        <f t="shared" ref="B334:C334" si="53">H334</f>
        <v/>
      </c>
      <c r="C334" s="7" t="str">
        <f t="shared" si="53"/>
        <v/>
      </c>
      <c r="D334" s="6"/>
      <c r="E334" s="6"/>
      <c r="F334" s="6"/>
      <c r="H334" s="8"/>
      <c r="I334" s="8"/>
      <c r="K334" s="11"/>
      <c r="L334" s="11"/>
      <c r="N334" s="8"/>
      <c r="O334" s="8"/>
      <c r="Q334" s="11"/>
      <c r="R334" s="11"/>
      <c r="T334" s="8"/>
      <c r="U334" s="8"/>
      <c r="W334" s="11"/>
      <c r="X334" s="11"/>
    </row>
    <row r="335">
      <c r="B335" s="6" t="str">
        <f t="shared" ref="B335:C335" si="54">H335</f>
        <v/>
      </c>
      <c r="C335" s="7" t="str">
        <f t="shared" si="54"/>
        <v/>
      </c>
      <c r="D335" s="6"/>
      <c r="E335" s="6"/>
      <c r="F335" s="6"/>
      <c r="H335" s="8"/>
      <c r="I335" s="8"/>
      <c r="K335" s="11"/>
      <c r="L335" s="11"/>
      <c r="N335" s="8"/>
      <c r="O335" s="8"/>
      <c r="Q335" s="11"/>
      <c r="R335" s="11"/>
      <c r="T335" s="8"/>
      <c r="U335" s="8"/>
      <c r="W335" s="11"/>
      <c r="X335" s="11"/>
    </row>
    <row r="336">
      <c r="B336" s="6" t="str">
        <f t="shared" ref="B336:C336" si="55">H336</f>
        <v/>
      </c>
      <c r="C336" s="7" t="str">
        <f t="shared" si="55"/>
        <v/>
      </c>
      <c r="D336" s="6"/>
      <c r="E336" s="6"/>
      <c r="F336" s="6"/>
      <c r="H336" s="8"/>
      <c r="I336" s="8"/>
      <c r="K336" s="11"/>
      <c r="L336" s="11"/>
      <c r="N336" s="8"/>
      <c r="O336" s="8"/>
      <c r="Q336" s="11"/>
      <c r="R336" s="11"/>
      <c r="T336" s="8"/>
      <c r="U336" s="8"/>
      <c r="W336" s="11"/>
      <c r="X336" s="11"/>
    </row>
    <row r="337">
      <c r="B337" s="6" t="str">
        <f t="shared" ref="B337:C337" si="56">H337</f>
        <v/>
      </c>
      <c r="C337" s="7" t="str">
        <f t="shared" si="56"/>
        <v/>
      </c>
      <c r="D337" s="6"/>
      <c r="E337" s="6"/>
      <c r="F337" s="6"/>
      <c r="H337" s="8"/>
      <c r="I337" s="8"/>
      <c r="K337" s="11"/>
      <c r="L337" s="11"/>
      <c r="N337" s="8"/>
      <c r="O337" s="8"/>
      <c r="Q337" s="11"/>
      <c r="R337" s="11"/>
      <c r="T337" s="8"/>
      <c r="U337" s="8"/>
      <c r="W337" s="11"/>
      <c r="X337" s="11"/>
    </row>
    <row r="338">
      <c r="B338" s="6" t="str">
        <f t="shared" ref="B338:C338" si="57">H338</f>
        <v/>
      </c>
      <c r="C338" s="7" t="str">
        <f t="shared" si="57"/>
        <v/>
      </c>
      <c r="D338" s="6"/>
      <c r="E338" s="6"/>
      <c r="F338" s="6"/>
      <c r="H338" s="8"/>
      <c r="I338" s="8"/>
      <c r="K338" s="11"/>
      <c r="L338" s="11"/>
      <c r="N338" s="8"/>
      <c r="O338" s="8"/>
      <c r="Q338" s="11"/>
      <c r="R338" s="11"/>
      <c r="T338" s="8"/>
      <c r="U338" s="8"/>
      <c r="W338" s="11"/>
      <c r="X338" s="11"/>
    </row>
    <row r="339">
      <c r="B339" s="6" t="str">
        <f t="shared" ref="B339:C339" si="58">H339</f>
        <v/>
      </c>
      <c r="C339" s="7" t="str">
        <f t="shared" si="58"/>
        <v/>
      </c>
      <c r="D339" s="6"/>
      <c r="E339" s="6"/>
      <c r="F339" s="6"/>
      <c r="H339" s="8"/>
      <c r="I339" s="8"/>
      <c r="K339" s="11"/>
      <c r="L339" s="11"/>
      <c r="N339" s="8"/>
      <c r="O339" s="8"/>
      <c r="Q339" s="11"/>
      <c r="R339" s="11"/>
      <c r="T339" s="8"/>
      <c r="U339" s="8"/>
      <c r="W339" s="11"/>
      <c r="X339" s="11"/>
    </row>
    <row r="340">
      <c r="B340" s="6" t="str">
        <f t="shared" ref="B340:C340" si="59">H340</f>
        <v/>
      </c>
      <c r="C340" s="7" t="str">
        <f t="shared" si="59"/>
        <v/>
      </c>
      <c r="D340" s="6"/>
      <c r="E340" s="6"/>
      <c r="F340" s="6"/>
      <c r="H340" s="8"/>
      <c r="I340" s="8"/>
      <c r="K340" s="11"/>
      <c r="L340" s="11"/>
      <c r="N340" s="8"/>
      <c r="O340" s="8"/>
      <c r="Q340" s="11"/>
      <c r="R340" s="11"/>
      <c r="T340" s="8"/>
      <c r="U340" s="8"/>
      <c r="W340" s="11"/>
      <c r="X340" s="11"/>
    </row>
    <row r="341">
      <c r="B341" s="6" t="str">
        <f t="shared" ref="B341:C341" si="60">H341</f>
        <v/>
      </c>
      <c r="C341" s="7" t="str">
        <f t="shared" si="60"/>
        <v/>
      </c>
      <c r="D341" s="6"/>
      <c r="E341" s="6"/>
      <c r="F341" s="6"/>
      <c r="H341" s="8"/>
      <c r="I341" s="9"/>
      <c r="N341" s="8"/>
      <c r="O341" s="9"/>
      <c r="Q341" s="11"/>
      <c r="R341" s="11"/>
      <c r="T341" s="8"/>
      <c r="U341" s="9"/>
      <c r="W341" s="11"/>
      <c r="X341" s="11"/>
    </row>
    <row r="342">
      <c r="B342" s="6" t="str">
        <f t="shared" ref="B342:C342" si="61">H342</f>
        <v/>
      </c>
      <c r="C342" s="12" t="str">
        <f t="shared" si="61"/>
        <v/>
      </c>
      <c r="D342" s="6"/>
      <c r="E342" s="6"/>
      <c r="F342" s="6"/>
      <c r="H342" s="8"/>
      <c r="I342" s="13"/>
      <c r="N342" s="8"/>
      <c r="O342" s="13"/>
      <c r="Q342" s="11"/>
      <c r="R342" s="11"/>
      <c r="T342" s="8"/>
      <c r="U342" s="13"/>
      <c r="W342" s="11"/>
      <c r="X342" s="11"/>
    </row>
    <row r="343">
      <c r="B343" s="6" t="str">
        <f t="shared" ref="B343:C343" si="62">H343</f>
        <v/>
      </c>
      <c r="C343" s="12" t="str">
        <f t="shared" si="62"/>
        <v/>
      </c>
      <c r="D343" s="6"/>
      <c r="E343" s="6"/>
      <c r="F343" s="6"/>
      <c r="H343" s="8"/>
      <c r="I343" s="13"/>
      <c r="N343" s="8"/>
      <c r="O343" s="13"/>
      <c r="Q343" s="11"/>
      <c r="R343" s="11"/>
      <c r="T343" s="8"/>
      <c r="U343" s="13"/>
      <c r="W343" s="14"/>
    </row>
    <row r="344">
      <c r="B344" s="6" t="str">
        <f t="shared" ref="B344:C344" si="63">H344</f>
        <v/>
      </c>
      <c r="C344" s="7" t="str">
        <f t="shared" si="63"/>
        <v/>
      </c>
      <c r="D344" s="6"/>
      <c r="E344" s="6"/>
      <c r="F344" s="6"/>
      <c r="H344" s="8"/>
      <c r="I344" s="9"/>
      <c r="N344" s="8"/>
      <c r="O344" s="9"/>
      <c r="Q344" s="11"/>
      <c r="R344" s="11"/>
      <c r="T344" s="8"/>
      <c r="U344" s="13"/>
      <c r="W344" s="14"/>
    </row>
    <row r="345">
      <c r="B345" s="6" t="str">
        <f t="shared" ref="B345:C345" si="64">H345</f>
        <v/>
      </c>
      <c r="C345" s="7" t="str">
        <f t="shared" si="64"/>
        <v/>
      </c>
      <c r="D345" s="6"/>
      <c r="E345" s="6"/>
      <c r="F345" s="6"/>
      <c r="H345" s="8"/>
      <c r="I345" s="9"/>
      <c r="N345" s="8"/>
      <c r="O345" s="9"/>
      <c r="Q345" s="11"/>
      <c r="R345" s="11"/>
      <c r="T345" s="8"/>
      <c r="U345" s="9"/>
      <c r="W345" s="14"/>
    </row>
    <row r="346">
      <c r="B346" s="6" t="str">
        <f t="shared" ref="B346:C346" si="65">H346</f>
        <v/>
      </c>
      <c r="C346" s="7" t="str">
        <f t="shared" si="65"/>
        <v/>
      </c>
      <c r="D346" s="6"/>
      <c r="E346" s="6"/>
      <c r="F346" s="6"/>
      <c r="H346" s="8"/>
      <c r="I346" s="9"/>
      <c r="N346" s="8"/>
      <c r="O346" s="9"/>
      <c r="Q346" s="11"/>
      <c r="R346" s="11"/>
      <c r="T346" s="8"/>
      <c r="W346" s="14"/>
    </row>
    <row r="347">
      <c r="B347" s="6" t="str">
        <f t="shared" ref="B347:C347" si="66">H347</f>
        <v/>
      </c>
      <c r="C347" s="7" t="str">
        <f t="shared" si="66"/>
        <v/>
      </c>
      <c r="D347" s="6"/>
      <c r="E347" s="6"/>
      <c r="F347" s="6"/>
      <c r="H347" s="8"/>
      <c r="I347" s="8"/>
      <c r="N347" s="8"/>
      <c r="O347" s="9"/>
      <c r="Q347" s="11"/>
      <c r="R347" s="11"/>
      <c r="T347" s="8"/>
      <c r="U347" s="8"/>
      <c r="W347" s="14"/>
    </row>
    <row r="348">
      <c r="B348" s="6" t="str">
        <f t="shared" ref="B348:C348" si="67">H348</f>
        <v/>
      </c>
      <c r="C348" s="7" t="str">
        <f t="shared" si="67"/>
        <v/>
      </c>
      <c r="D348" s="6"/>
      <c r="E348" s="6"/>
      <c r="F348" s="6"/>
      <c r="H348" s="8"/>
      <c r="I348" s="8"/>
      <c r="N348" s="8"/>
      <c r="O348" s="9"/>
      <c r="Q348" s="11"/>
      <c r="R348" s="11"/>
      <c r="T348" s="8"/>
      <c r="U348" s="8"/>
      <c r="W348" s="14"/>
    </row>
    <row r="349">
      <c r="B349" s="6" t="str">
        <f t="shared" ref="B349:C349" si="68">H349</f>
        <v/>
      </c>
      <c r="C349" s="7" t="str">
        <f t="shared" si="68"/>
        <v/>
      </c>
      <c r="D349" s="6"/>
      <c r="E349" s="6"/>
      <c r="F349" s="6"/>
      <c r="H349" s="8"/>
      <c r="I349" s="8"/>
      <c r="N349" s="8"/>
      <c r="O349" s="8"/>
      <c r="T349" s="8"/>
      <c r="U349" s="8"/>
      <c r="W349" s="14"/>
    </row>
    <row r="350">
      <c r="B350" s="6" t="str">
        <f t="shared" ref="B350:C350" si="69">H350</f>
        <v/>
      </c>
      <c r="C350" s="7" t="str">
        <f t="shared" si="69"/>
        <v/>
      </c>
      <c r="D350" s="6"/>
      <c r="E350" s="6"/>
      <c r="F350" s="6"/>
      <c r="H350" s="8"/>
      <c r="I350" s="8"/>
      <c r="N350" s="8"/>
      <c r="O350" s="8"/>
      <c r="T350" s="8"/>
      <c r="U350" s="8"/>
      <c r="W350" s="14"/>
    </row>
    <row r="351">
      <c r="B351" s="6" t="str">
        <f t="shared" ref="B351:C351" si="70">H351</f>
        <v/>
      </c>
      <c r="C351" s="7" t="str">
        <f t="shared" si="70"/>
        <v/>
      </c>
      <c r="D351" s="6"/>
      <c r="E351" s="6"/>
      <c r="F351" s="6"/>
      <c r="H351" s="8"/>
      <c r="N351" s="8"/>
      <c r="T351" s="8"/>
      <c r="W351" s="14"/>
    </row>
    <row r="352">
      <c r="B352" s="6" t="str">
        <f t="shared" ref="B352:C352" si="71">H352</f>
        <v/>
      </c>
      <c r="C352" s="7" t="str">
        <f t="shared" si="71"/>
        <v/>
      </c>
      <c r="D352" s="6"/>
      <c r="E352" s="6"/>
      <c r="F352" s="6"/>
      <c r="H352" s="8"/>
      <c r="N352" s="8"/>
      <c r="T352" s="8"/>
      <c r="W352" s="14"/>
    </row>
    <row r="353">
      <c r="B353" s="6" t="str">
        <f t="shared" ref="B353:C353" si="72">H353</f>
        <v/>
      </c>
      <c r="C353" s="7" t="str">
        <f t="shared" si="72"/>
        <v/>
      </c>
      <c r="D353" s="6"/>
      <c r="E353" s="6"/>
      <c r="F353" s="6"/>
      <c r="H353" s="8"/>
      <c r="N353" s="8"/>
      <c r="T353" s="8"/>
      <c r="W353" s="14"/>
    </row>
    <row r="354">
      <c r="B354" s="6" t="str">
        <f t="shared" ref="B354:C354" si="73">H354</f>
        <v/>
      </c>
      <c r="C354" s="7" t="str">
        <f t="shared" si="73"/>
        <v/>
      </c>
      <c r="D354" s="6"/>
      <c r="E354" s="6"/>
      <c r="F354" s="6"/>
      <c r="H354" s="8"/>
      <c r="I354" s="9"/>
      <c r="K354" s="11"/>
      <c r="L354" s="11"/>
      <c r="N354" s="8"/>
      <c r="O354" s="9"/>
      <c r="Q354" s="11"/>
      <c r="R354" s="11"/>
      <c r="T354" s="8"/>
      <c r="U354" s="9"/>
      <c r="W354" s="11"/>
      <c r="X354" s="11"/>
    </row>
    <row r="355">
      <c r="B355" s="6" t="str">
        <f t="shared" ref="B355:C355" si="74">H355</f>
        <v/>
      </c>
      <c r="C355" s="12" t="str">
        <f t="shared" si="74"/>
        <v/>
      </c>
      <c r="D355" s="6"/>
      <c r="E355" s="6"/>
      <c r="F355" s="6"/>
      <c r="H355" s="8"/>
      <c r="I355" s="13"/>
      <c r="K355" s="11"/>
      <c r="L355" s="11"/>
      <c r="N355" s="8"/>
      <c r="O355" s="13"/>
      <c r="Q355" s="11"/>
      <c r="R355" s="11"/>
      <c r="T355" s="8"/>
      <c r="U355" s="13"/>
      <c r="W355" s="11"/>
      <c r="X355" s="11"/>
    </row>
    <row r="356">
      <c r="B356" s="6" t="str">
        <f t="shared" ref="B356:C356" si="75">H356</f>
        <v/>
      </c>
      <c r="C356" s="12" t="str">
        <f t="shared" si="75"/>
        <v/>
      </c>
      <c r="D356" s="6"/>
      <c r="E356" s="6"/>
      <c r="F356" s="6"/>
      <c r="H356" s="8"/>
      <c r="I356" s="13"/>
      <c r="K356" s="11"/>
      <c r="L356" s="11"/>
      <c r="N356" s="8"/>
      <c r="O356" s="13"/>
      <c r="Q356" s="11"/>
      <c r="R356" s="11"/>
      <c r="T356" s="8"/>
      <c r="U356" s="13"/>
      <c r="W356" s="11"/>
      <c r="X356" s="11"/>
    </row>
    <row r="357">
      <c r="B357" s="6" t="str">
        <f t="shared" ref="B357:C357" si="76">H357</f>
        <v/>
      </c>
      <c r="C357" s="7" t="str">
        <f t="shared" si="76"/>
        <v/>
      </c>
      <c r="D357" s="6"/>
      <c r="E357" s="6"/>
      <c r="F357" s="6"/>
      <c r="H357" s="8"/>
      <c r="I357" s="9"/>
      <c r="K357" s="11"/>
      <c r="L357" s="11"/>
      <c r="N357" s="8"/>
      <c r="O357" s="9"/>
      <c r="Q357" s="11"/>
      <c r="R357" s="11"/>
      <c r="T357" s="8"/>
      <c r="U357" s="9"/>
      <c r="W357" s="11"/>
      <c r="X357" s="11"/>
    </row>
    <row r="358">
      <c r="B358" s="6" t="str">
        <f t="shared" ref="B358:C358" si="77">H358</f>
        <v/>
      </c>
      <c r="C358" s="7" t="str">
        <f t="shared" si="77"/>
        <v/>
      </c>
      <c r="D358" s="6"/>
      <c r="E358" s="6"/>
      <c r="F358" s="6"/>
      <c r="H358" s="8"/>
      <c r="I358" s="9"/>
      <c r="K358" s="11"/>
      <c r="L358" s="11"/>
      <c r="N358" s="8"/>
      <c r="O358" s="9"/>
      <c r="Q358" s="11"/>
      <c r="R358" s="11"/>
      <c r="T358" s="8"/>
      <c r="U358" s="9"/>
      <c r="W358" s="11"/>
      <c r="X358" s="11"/>
    </row>
    <row r="359">
      <c r="B359" s="6" t="str">
        <f t="shared" ref="B359:C359" si="78">H359</f>
        <v/>
      </c>
      <c r="C359" s="7" t="str">
        <f t="shared" si="78"/>
        <v/>
      </c>
      <c r="D359" s="6"/>
      <c r="E359" s="6"/>
      <c r="F359" s="6"/>
      <c r="H359" s="8"/>
      <c r="I359" s="9"/>
      <c r="K359" s="11"/>
      <c r="L359" s="11"/>
      <c r="N359" s="8"/>
      <c r="O359" s="9"/>
      <c r="Q359" s="11"/>
      <c r="R359" s="11"/>
    </row>
    <row r="360">
      <c r="B360" s="6" t="str">
        <f t="shared" ref="B360:C360" si="79">H360</f>
        <v/>
      </c>
      <c r="C360" s="7" t="str">
        <f t="shared" si="79"/>
        <v/>
      </c>
      <c r="D360" s="6"/>
      <c r="E360" s="6"/>
      <c r="F360" s="6"/>
      <c r="H360" s="8"/>
      <c r="I360" s="8"/>
      <c r="K360" s="11"/>
      <c r="L360" s="11"/>
      <c r="N360" s="8"/>
      <c r="O360" s="8"/>
      <c r="Q360" s="11"/>
      <c r="R360" s="11"/>
    </row>
    <row r="361">
      <c r="B361" s="6" t="str">
        <f t="shared" ref="B361:C361" si="80">H361</f>
        <v/>
      </c>
      <c r="C361" s="7" t="str">
        <f t="shared" si="80"/>
        <v/>
      </c>
      <c r="D361" s="6"/>
      <c r="E361" s="6"/>
      <c r="F361" s="6"/>
      <c r="H361" s="8"/>
      <c r="I361" s="8"/>
      <c r="K361" s="11"/>
      <c r="L361" s="11"/>
      <c r="N361" s="8"/>
      <c r="O361" s="8"/>
      <c r="Q361" s="11"/>
      <c r="R361" s="11"/>
    </row>
    <row r="362">
      <c r="B362" s="6" t="str">
        <f t="shared" ref="B362:C362" si="81">H362</f>
        <v/>
      </c>
      <c r="C362" s="7" t="str">
        <f t="shared" si="81"/>
        <v/>
      </c>
      <c r="D362" s="6"/>
      <c r="E362" s="6"/>
      <c r="F362" s="6"/>
      <c r="H362" s="8"/>
      <c r="I362" s="8"/>
      <c r="K362" s="11"/>
      <c r="L362" s="11"/>
      <c r="N362" s="8"/>
      <c r="O362" s="8"/>
      <c r="Q362" s="11"/>
      <c r="R362" s="11"/>
    </row>
    <row r="363">
      <c r="B363" s="6" t="str">
        <f t="shared" ref="B363:C363" si="82">H363</f>
        <v/>
      </c>
      <c r="C363" s="7" t="str">
        <f t="shared" si="82"/>
        <v/>
      </c>
      <c r="D363" s="6"/>
      <c r="E363" s="6"/>
      <c r="F363" s="6"/>
      <c r="H363" s="8"/>
      <c r="I363" s="8"/>
      <c r="K363" s="11"/>
      <c r="L363" s="11"/>
      <c r="N363" s="8"/>
      <c r="O363" s="8"/>
      <c r="Q363" s="11"/>
      <c r="R363" s="11"/>
    </row>
    <row r="364">
      <c r="B364" s="6" t="str">
        <f t="shared" ref="B364:C364" si="83">H364</f>
        <v/>
      </c>
      <c r="C364" s="7" t="str">
        <f t="shared" si="83"/>
        <v/>
      </c>
      <c r="D364" s="6"/>
      <c r="E364" s="6"/>
      <c r="F364" s="6"/>
      <c r="H364" s="8"/>
      <c r="I364" s="8"/>
      <c r="K364" s="11"/>
      <c r="L364" s="11"/>
      <c r="N364" s="8"/>
      <c r="O364" s="8"/>
      <c r="Q364" s="11"/>
      <c r="R364" s="11"/>
    </row>
    <row r="365">
      <c r="B365" s="6" t="str">
        <f t="shared" ref="B365:C365" si="84">H365</f>
        <v/>
      </c>
      <c r="C365" s="7" t="str">
        <f t="shared" si="84"/>
        <v/>
      </c>
      <c r="D365" s="6"/>
      <c r="E365" s="6"/>
      <c r="F365" s="6"/>
      <c r="H365" s="8"/>
      <c r="I365" s="8"/>
      <c r="K365" s="11"/>
      <c r="L365" s="11"/>
      <c r="N365" s="8"/>
      <c r="O365" s="8"/>
      <c r="Q365" s="11"/>
      <c r="R365" s="11"/>
    </row>
    <row r="366">
      <c r="B366" s="6" t="str">
        <f t="shared" ref="B366:C366" si="85">H366</f>
        <v/>
      </c>
      <c r="C366" s="7" t="str">
        <f t="shared" si="85"/>
        <v/>
      </c>
      <c r="D366" s="6"/>
      <c r="E366" s="6"/>
      <c r="F366" s="6"/>
      <c r="H366" s="8"/>
      <c r="I366" s="8"/>
      <c r="K366" s="11"/>
      <c r="L366" s="11"/>
      <c r="N366" s="8"/>
      <c r="O366" s="8"/>
      <c r="Q366" s="11"/>
      <c r="R366" s="11"/>
    </row>
    <row r="367">
      <c r="B367" s="6" t="str">
        <f t="shared" ref="B367:C367" si="86">H367</f>
        <v/>
      </c>
      <c r="C367" s="7" t="str">
        <f t="shared" si="86"/>
        <v/>
      </c>
      <c r="D367" s="6"/>
      <c r="E367" s="6"/>
      <c r="F367" s="6"/>
      <c r="H367" s="8"/>
      <c r="I367" s="9"/>
      <c r="K367" s="11"/>
      <c r="L367" s="11"/>
      <c r="N367" s="8"/>
      <c r="O367" s="9"/>
      <c r="Q367" s="11"/>
      <c r="R367" s="11"/>
      <c r="T367" s="8"/>
      <c r="U367" s="9"/>
      <c r="W367" s="11"/>
      <c r="X367" s="11"/>
    </row>
    <row r="368">
      <c r="B368" s="6" t="str">
        <f t="shared" ref="B368:C368" si="87">H368</f>
        <v/>
      </c>
      <c r="C368" s="12" t="str">
        <f t="shared" si="87"/>
        <v/>
      </c>
      <c r="D368" s="6"/>
      <c r="E368" s="6"/>
      <c r="F368" s="6"/>
      <c r="H368" s="8"/>
      <c r="I368" s="13"/>
      <c r="K368" s="11"/>
      <c r="L368" s="11"/>
      <c r="N368" s="8"/>
      <c r="O368" s="13"/>
      <c r="Q368" s="11"/>
      <c r="R368" s="11"/>
      <c r="T368" s="8"/>
      <c r="U368" s="13"/>
      <c r="W368" s="11"/>
      <c r="X368" s="11"/>
    </row>
    <row r="369">
      <c r="B369" s="6" t="str">
        <f t="shared" ref="B369:C369" si="88">H369</f>
        <v/>
      </c>
      <c r="C369" s="12" t="str">
        <f t="shared" si="88"/>
        <v/>
      </c>
      <c r="D369" s="6"/>
      <c r="E369" s="6"/>
      <c r="F369" s="6"/>
      <c r="H369" s="8"/>
      <c r="I369" s="13"/>
      <c r="K369" s="11"/>
      <c r="L369" s="11"/>
      <c r="N369" s="8"/>
      <c r="O369" s="13"/>
      <c r="Q369" s="11"/>
      <c r="R369" s="11"/>
      <c r="T369" s="8"/>
      <c r="U369" s="13"/>
      <c r="W369" s="11"/>
      <c r="X369" s="11"/>
    </row>
    <row r="370">
      <c r="B370" s="6" t="str">
        <f t="shared" ref="B370:C370" si="89">H370</f>
        <v/>
      </c>
      <c r="C370" s="7" t="str">
        <f t="shared" si="89"/>
        <v/>
      </c>
      <c r="D370" s="6"/>
      <c r="E370" s="6"/>
      <c r="F370" s="6"/>
      <c r="H370" s="8"/>
      <c r="I370" s="9"/>
      <c r="K370" s="11"/>
      <c r="L370" s="11"/>
      <c r="N370" s="8"/>
      <c r="O370" s="9"/>
      <c r="Q370" s="11"/>
      <c r="R370" s="11"/>
      <c r="T370" s="8"/>
      <c r="U370" s="8"/>
      <c r="W370" s="11"/>
      <c r="X370" s="11"/>
    </row>
    <row r="371">
      <c r="B371" s="6" t="str">
        <f t="shared" ref="B371:C371" si="90">H371</f>
        <v/>
      </c>
      <c r="C371" s="7" t="str">
        <f t="shared" si="90"/>
        <v/>
      </c>
      <c r="D371" s="6"/>
      <c r="E371" s="6"/>
      <c r="F371" s="6"/>
      <c r="H371" s="8"/>
      <c r="I371" s="9"/>
      <c r="K371" s="11"/>
      <c r="L371" s="11"/>
      <c r="N371" s="8"/>
      <c r="O371" s="9"/>
      <c r="R371" s="11"/>
      <c r="T371" s="8"/>
      <c r="U371" s="8"/>
      <c r="W371" s="11"/>
      <c r="X371" s="11"/>
    </row>
    <row r="372">
      <c r="B372" s="6" t="str">
        <f t="shared" ref="B372:C372" si="91">H372</f>
        <v/>
      </c>
      <c r="C372" s="7" t="str">
        <f t="shared" si="91"/>
        <v/>
      </c>
      <c r="D372" s="6"/>
      <c r="E372" s="6"/>
      <c r="F372" s="6"/>
      <c r="H372" s="8"/>
      <c r="I372" s="9"/>
      <c r="K372" s="11"/>
      <c r="L372" s="11"/>
      <c r="N372" s="8"/>
      <c r="O372" s="9"/>
      <c r="Q372" s="11"/>
      <c r="R372" s="11"/>
      <c r="T372" s="8"/>
      <c r="U372" s="9"/>
      <c r="X372" s="11"/>
    </row>
    <row r="373">
      <c r="B373" s="6" t="str">
        <f t="shared" ref="B373:C373" si="92">H373</f>
        <v/>
      </c>
      <c r="C373" s="7" t="str">
        <f t="shared" si="92"/>
        <v/>
      </c>
      <c r="D373" s="6"/>
      <c r="E373" s="6"/>
      <c r="F373" s="6"/>
      <c r="H373" s="8"/>
      <c r="I373" s="8"/>
      <c r="K373" s="11"/>
      <c r="L373" s="11"/>
      <c r="N373" s="8"/>
      <c r="O373" s="8"/>
      <c r="Q373" s="11"/>
      <c r="R373" s="11"/>
      <c r="T373" s="8"/>
      <c r="U373" s="9"/>
      <c r="X373" s="11"/>
    </row>
    <row r="374">
      <c r="B374" s="6" t="str">
        <f t="shared" ref="B374:C374" si="93">H374</f>
        <v/>
      </c>
      <c r="C374" s="7" t="str">
        <f t="shared" si="93"/>
        <v/>
      </c>
      <c r="D374" s="6"/>
      <c r="E374" s="6"/>
      <c r="F374" s="6"/>
      <c r="H374" s="8"/>
      <c r="I374" s="8"/>
      <c r="K374" s="11"/>
      <c r="L374" s="11"/>
      <c r="N374" s="8"/>
      <c r="O374" s="8"/>
      <c r="Q374" s="11"/>
      <c r="R374" s="11"/>
      <c r="T374" s="8"/>
      <c r="U374" s="9"/>
      <c r="X374" s="11"/>
    </row>
    <row r="375">
      <c r="B375" s="6" t="str">
        <f t="shared" ref="B375:C375" si="94">H375</f>
        <v/>
      </c>
      <c r="C375" s="7" t="str">
        <f t="shared" si="94"/>
        <v/>
      </c>
      <c r="D375" s="6"/>
      <c r="E375" s="6"/>
      <c r="F375" s="6"/>
      <c r="H375" s="8"/>
      <c r="I375" s="8"/>
      <c r="K375" s="11"/>
      <c r="L375" s="11"/>
      <c r="N375" s="8"/>
      <c r="O375" s="8"/>
      <c r="Q375" s="11"/>
      <c r="R375" s="11"/>
      <c r="T375" s="8"/>
      <c r="U375" s="9"/>
      <c r="X375" s="11"/>
    </row>
    <row r="376">
      <c r="B376" s="6" t="str">
        <f t="shared" ref="B376:C376" si="95">H376</f>
        <v/>
      </c>
      <c r="C376" s="7" t="str">
        <f t="shared" si="95"/>
        <v/>
      </c>
      <c r="D376" s="6"/>
      <c r="E376" s="6"/>
      <c r="F376" s="6"/>
      <c r="H376" s="8"/>
      <c r="I376" s="8"/>
      <c r="K376" s="11"/>
      <c r="L376" s="11"/>
      <c r="N376" s="8"/>
      <c r="O376" s="8"/>
      <c r="Q376" s="11"/>
      <c r="R376" s="11"/>
      <c r="T376" s="8"/>
      <c r="U376" s="9"/>
      <c r="X376" s="11"/>
    </row>
    <row r="377">
      <c r="B377" s="6" t="str">
        <f t="shared" ref="B377:C377" si="96">H377</f>
        <v/>
      </c>
      <c r="C377" s="7" t="str">
        <f t="shared" si="96"/>
        <v/>
      </c>
      <c r="D377" s="6"/>
      <c r="E377" s="6"/>
      <c r="F377" s="6"/>
      <c r="H377" s="8"/>
      <c r="I377" s="8"/>
      <c r="K377" s="11"/>
      <c r="L377" s="11"/>
      <c r="N377" s="8"/>
      <c r="O377" s="8"/>
      <c r="Q377" s="11"/>
      <c r="R377" s="11"/>
      <c r="T377" s="8"/>
      <c r="U377" s="9"/>
      <c r="X377" s="11"/>
    </row>
    <row r="378">
      <c r="B378" s="6" t="str">
        <f t="shared" ref="B378:C378" si="97">H378</f>
        <v/>
      </c>
      <c r="C378" s="7" t="str">
        <f t="shared" si="97"/>
        <v/>
      </c>
      <c r="D378" s="6"/>
      <c r="E378" s="6"/>
      <c r="F378" s="6"/>
      <c r="H378" s="8"/>
      <c r="I378" s="8"/>
      <c r="K378" s="11"/>
      <c r="L378" s="11"/>
      <c r="N378" s="8"/>
      <c r="O378" s="8"/>
      <c r="Q378" s="11"/>
      <c r="R378" s="11"/>
      <c r="T378" s="8"/>
      <c r="U378" s="9"/>
      <c r="X378" s="11"/>
    </row>
    <row r="379">
      <c r="B379" s="6" t="str">
        <f t="shared" ref="B379:C379" si="98">H379</f>
        <v/>
      </c>
      <c r="C379" s="7" t="str">
        <f t="shared" si="98"/>
        <v/>
      </c>
      <c r="D379" s="6"/>
      <c r="E379" s="6"/>
      <c r="F379" s="6"/>
      <c r="H379" s="8"/>
      <c r="I379" s="8"/>
      <c r="K379" s="11"/>
      <c r="L379" s="11"/>
      <c r="N379" s="8"/>
      <c r="O379" s="8"/>
      <c r="Q379" s="11"/>
      <c r="R379" s="11"/>
      <c r="T379" s="8"/>
      <c r="U379" s="8"/>
      <c r="X379" s="11"/>
    </row>
    <row r="380">
      <c r="B380" s="6" t="str">
        <f t="shared" ref="B380:C380" si="99">H380</f>
        <v/>
      </c>
      <c r="C380" s="7" t="str">
        <f t="shared" si="99"/>
        <v/>
      </c>
      <c r="D380" s="6"/>
      <c r="E380" s="6"/>
      <c r="F380" s="6"/>
      <c r="H380" s="8"/>
      <c r="I380" s="9"/>
      <c r="K380" s="11"/>
      <c r="L380" s="11"/>
      <c r="N380" s="8"/>
      <c r="O380" s="9"/>
      <c r="Q380" s="11"/>
      <c r="R380" s="11"/>
      <c r="T380" s="8"/>
      <c r="U380" s="9"/>
      <c r="W380" s="11"/>
      <c r="X380" s="11"/>
    </row>
    <row r="381">
      <c r="B381" s="6" t="str">
        <f t="shared" ref="B381:C381" si="100">H381</f>
        <v/>
      </c>
      <c r="C381" s="12" t="str">
        <f t="shared" si="100"/>
        <v/>
      </c>
      <c r="D381" s="6"/>
      <c r="E381" s="6"/>
      <c r="F381" s="6"/>
      <c r="H381" s="8"/>
      <c r="I381" s="13"/>
      <c r="K381" s="11"/>
      <c r="L381" s="11"/>
      <c r="N381" s="8"/>
      <c r="O381" s="13"/>
      <c r="Q381" s="11"/>
      <c r="R381" s="11"/>
      <c r="T381" s="8"/>
      <c r="U381" s="13"/>
      <c r="W381" s="11"/>
      <c r="X381" s="11"/>
    </row>
    <row r="382">
      <c r="B382" s="6" t="str">
        <f t="shared" ref="B382:C382" si="101">H382</f>
        <v/>
      </c>
      <c r="C382" s="12" t="str">
        <f t="shared" si="101"/>
        <v/>
      </c>
      <c r="D382" s="6"/>
      <c r="E382" s="6"/>
      <c r="F382" s="6"/>
      <c r="H382" s="8"/>
      <c r="I382" s="13"/>
      <c r="K382" s="11"/>
      <c r="L382" s="11"/>
      <c r="N382" s="8"/>
      <c r="O382" s="13"/>
      <c r="R382" s="11"/>
      <c r="T382" s="8"/>
      <c r="U382" s="13"/>
      <c r="W382" s="11"/>
      <c r="X382" s="11"/>
    </row>
    <row r="383">
      <c r="B383" s="6" t="str">
        <f t="shared" ref="B383:C383" si="102">H383</f>
        <v/>
      </c>
      <c r="C383" s="7" t="str">
        <f t="shared" si="102"/>
        <v/>
      </c>
      <c r="D383" s="6"/>
      <c r="E383" s="6"/>
      <c r="F383" s="6"/>
      <c r="H383" s="8"/>
      <c r="I383" s="9"/>
      <c r="K383" s="11"/>
      <c r="L383" s="11"/>
      <c r="N383" s="8"/>
      <c r="O383" s="9"/>
      <c r="Q383" s="11"/>
      <c r="R383" s="11"/>
      <c r="T383" s="8"/>
      <c r="U383" s="8"/>
      <c r="W383" s="11"/>
      <c r="X383" s="11"/>
    </row>
    <row r="384">
      <c r="B384" s="6" t="str">
        <f t="shared" ref="B384:C384" si="103">H384</f>
        <v/>
      </c>
      <c r="C384" s="7" t="str">
        <f t="shared" si="103"/>
        <v/>
      </c>
      <c r="D384" s="6"/>
      <c r="E384" s="6"/>
      <c r="F384" s="6"/>
      <c r="H384" s="8"/>
      <c r="I384" s="9"/>
      <c r="K384" s="11"/>
      <c r="L384" s="11"/>
      <c r="N384" s="8"/>
      <c r="O384" s="9"/>
      <c r="Q384" s="11"/>
      <c r="R384" s="11"/>
      <c r="T384" s="8"/>
      <c r="U384" s="8"/>
      <c r="W384" s="11"/>
      <c r="X384" s="11"/>
    </row>
    <row r="385">
      <c r="B385" s="6" t="str">
        <f t="shared" ref="B385:C385" si="104">H385</f>
        <v/>
      </c>
      <c r="C385" s="7" t="str">
        <f t="shared" si="104"/>
        <v/>
      </c>
      <c r="D385" s="6"/>
      <c r="E385" s="6"/>
      <c r="F385" s="6"/>
      <c r="H385" s="8"/>
      <c r="I385" s="9"/>
      <c r="K385" s="11"/>
      <c r="L385" s="11"/>
      <c r="N385" s="8"/>
      <c r="O385" s="9"/>
      <c r="Q385" s="11"/>
      <c r="R385" s="11"/>
      <c r="T385" s="8"/>
      <c r="U385" s="9"/>
      <c r="X385" s="11"/>
    </row>
    <row r="386">
      <c r="B386" s="6" t="str">
        <f t="shared" ref="B386:C386" si="105">H386</f>
        <v/>
      </c>
      <c r="C386" s="7" t="str">
        <f t="shared" si="105"/>
        <v/>
      </c>
      <c r="D386" s="6"/>
      <c r="E386" s="6"/>
      <c r="F386" s="6"/>
      <c r="H386" s="8"/>
      <c r="I386" s="8"/>
      <c r="K386" s="11"/>
      <c r="L386" s="11"/>
      <c r="N386" s="8"/>
      <c r="O386" s="8"/>
      <c r="Q386" s="11"/>
      <c r="R386" s="11"/>
      <c r="T386" s="8"/>
      <c r="U386" s="9"/>
      <c r="X386" s="11"/>
    </row>
    <row r="387">
      <c r="B387" s="6" t="str">
        <f t="shared" ref="B387:C387" si="106">H387</f>
        <v/>
      </c>
      <c r="C387" s="7" t="str">
        <f t="shared" si="106"/>
        <v/>
      </c>
      <c r="D387" s="6"/>
      <c r="E387" s="6"/>
      <c r="F387" s="6"/>
      <c r="H387" s="8"/>
      <c r="I387" s="8"/>
      <c r="K387" s="11"/>
      <c r="L387" s="11"/>
      <c r="N387" s="8"/>
      <c r="O387" s="8"/>
      <c r="Q387" s="11"/>
      <c r="R387" s="11"/>
      <c r="T387" s="8"/>
      <c r="U387" s="9"/>
      <c r="X387" s="11"/>
    </row>
    <row r="388">
      <c r="B388" s="6" t="str">
        <f t="shared" ref="B388:C388" si="107">H388</f>
        <v/>
      </c>
      <c r="C388" s="7" t="str">
        <f t="shared" si="107"/>
        <v/>
      </c>
      <c r="D388" s="6"/>
      <c r="E388" s="6"/>
      <c r="F388" s="6"/>
      <c r="H388" s="8"/>
      <c r="I388" s="8"/>
      <c r="K388" s="11"/>
      <c r="L388" s="11"/>
      <c r="N388" s="8"/>
      <c r="O388" s="8"/>
      <c r="Q388" s="11"/>
      <c r="R388" s="11"/>
      <c r="T388" s="8"/>
      <c r="U388" s="9"/>
      <c r="X388" s="11"/>
    </row>
    <row r="389">
      <c r="B389" s="6" t="str">
        <f t="shared" ref="B389:C389" si="108">H389</f>
        <v/>
      </c>
      <c r="C389" s="7" t="str">
        <f t="shared" si="108"/>
        <v/>
      </c>
      <c r="D389" s="6"/>
      <c r="E389" s="6"/>
      <c r="F389" s="6"/>
      <c r="H389" s="8"/>
      <c r="I389" s="8"/>
      <c r="K389" s="11"/>
      <c r="L389" s="11"/>
      <c r="N389" s="8"/>
      <c r="O389" s="8"/>
      <c r="Q389" s="11"/>
      <c r="R389" s="11"/>
      <c r="T389" s="8"/>
      <c r="U389" s="9"/>
      <c r="X389" s="11"/>
    </row>
    <row r="390">
      <c r="B390" s="6" t="str">
        <f t="shared" ref="B390:C390" si="109">H390</f>
        <v/>
      </c>
      <c r="C390" s="7" t="str">
        <f t="shared" si="109"/>
        <v/>
      </c>
      <c r="D390" s="6"/>
      <c r="E390" s="6"/>
      <c r="F390" s="6"/>
      <c r="H390" s="8"/>
      <c r="I390" s="8"/>
      <c r="K390" s="11"/>
      <c r="L390" s="11"/>
      <c r="N390" s="8"/>
      <c r="O390" s="8"/>
      <c r="Q390" s="11"/>
      <c r="R390" s="11"/>
      <c r="T390" s="8"/>
      <c r="U390" s="9"/>
      <c r="X390" s="11"/>
    </row>
    <row r="391">
      <c r="B391" s="6" t="str">
        <f t="shared" ref="B391:C391" si="110">H391</f>
        <v/>
      </c>
      <c r="C391" s="7" t="str">
        <f t="shared" si="110"/>
        <v/>
      </c>
      <c r="D391" s="6"/>
      <c r="E391" s="6"/>
      <c r="F391" s="6"/>
      <c r="H391" s="8"/>
      <c r="I391" s="8"/>
      <c r="K391" s="11"/>
      <c r="L391" s="11"/>
      <c r="N391" s="8"/>
      <c r="O391" s="8"/>
      <c r="Q391" s="11"/>
      <c r="R391" s="11"/>
      <c r="T391" s="8"/>
      <c r="U391" s="9"/>
      <c r="X391" s="11"/>
    </row>
    <row r="392">
      <c r="B392" s="6" t="str">
        <f t="shared" ref="B392:C392" si="111">H392</f>
        <v/>
      </c>
      <c r="C392" s="7" t="str">
        <f t="shared" si="111"/>
        <v/>
      </c>
      <c r="D392" s="6"/>
      <c r="E392" s="6"/>
      <c r="F392" s="6"/>
      <c r="H392" s="8"/>
      <c r="I392" s="8"/>
      <c r="K392" s="11"/>
      <c r="L392" s="11"/>
      <c r="N392" s="8"/>
      <c r="O392" s="8"/>
      <c r="Q392" s="11"/>
      <c r="R392" s="11"/>
      <c r="T392" s="8"/>
      <c r="X392" s="11"/>
    </row>
    <row r="393">
      <c r="B393" s="6" t="str">
        <f t="shared" ref="B393:C393" si="112">H393</f>
        <v/>
      </c>
      <c r="C393" s="7" t="str">
        <f t="shared" si="112"/>
        <v/>
      </c>
      <c r="D393" s="6"/>
      <c r="E393" s="6"/>
      <c r="F393" s="6"/>
      <c r="H393" s="8"/>
      <c r="I393" s="9"/>
      <c r="K393" s="11"/>
      <c r="L393" s="11"/>
      <c r="N393" s="8"/>
      <c r="O393" s="9"/>
      <c r="Q393" s="11"/>
      <c r="R393" s="11"/>
      <c r="T393" s="8"/>
      <c r="U393" s="9"/>
      <c r="W393" s="11"/>
      <c r="X393" s="11"/>
    </row>
    <row r="394">
      <c r="B394" s="6" t="str">
        <f t="shared" ref="B394:C394" si="113">H394</f>
        <v/>
      </c>
      <c r="C394" s="12" t="str">
        <f t="shared" si="113"/>
        <v/>
      </c>
      <c r="D394" s="6"/>
      <c r="E394" s="6"/>
      <c r="F394" s="6"/>
      <c r="H394" s="8"/>
      <c r="I394" s="13"/>
      <c r="K394" s="11"/>
      <c r="L394" s="11"/>
      <c r="N394" s="8"/>
      <c r="O394" s="13"/>
      <c r="Q394" s="11"/>
      <c r="R394" s="11"/>
      <c r="T394" s="8"/>
      <c r="U394" s="13"/>
      <c r="W394" s="11"/>
      <c r="X394" s="11"/>
    </row>
    <row r="395">
      <c r="B395" s="6" t="str">
        <f t="shared" ref="B395:C395" si="114">H395</f>
        <v/>
      </c>
      <c r="C395" s="12" t="str">
        <f t="shared" si="114"/>
        <v/>
      </c>
      <c r="D395" s="6"/>
      <c r="E395" s="6"/>
      <c r="F395" s="6"/>
      <c r="H395" s="8"/>
      <c r="I395" s="13"/>
      <c r="K395" s="11"/>
      <c r="L395" s="11"/>
      <c r="N395" s="8"/>
      <c r="O395" s="13"/>
      <c r="Q395" s="11"/>
      <c r="R395" s="11"/>
      <c r="T395" s="8"/>
      <c r="U395" s="13"/>
      <c r="W395" s="11"/>
      <c r="X395" s="11"/>
    </row>
    <row r="396">
      <c r="B396" s="6" t="str">
        <f t="shared" ref="B396:C396" si="115">H396</f>
        <v/>
      </c>
      <c r="C396" s="7" t="str">
        <f t="shared" si="115"/>
        <v/>
      </c>
      <c r="D396" s="6"/>
      <c r="E396" s="6"/>
      <c r="F396" s="6"/>
      <c r="H396" s="8"/>
      <c r="I396" s="9"/>
      <c r="K396" s="11"/>
      <c r="L396" s="11"/>
      <c r="N396" s="8"/>
      <c r="O396" s="9"/>
      <c r="Q396" s="11"/>
      <c r="R396" s="11"/>
      <c r="T396" s="8"/>
      <c r="U396" s="8"/>
      <c r="W396" s="11"/>
      <c r="X396" s="11"/>
    </row>
    <row r="397">
      <c r="B397" s="6" t="str">
        <f t="shared" ref="B397:C397" si="116">H397</f>
        <v/>
      </c>
      <c r="C397" s="7" t="str">
        <f t="shared" si="116"/>
        <v/>
      </c>
      <c r="D397" s="6"/>
      <c r="E397" s="6"/>
      <c r="F397" s="6"/>
      <c r="H397" s="8"/>
      <c r="I397" s="9"/>
      <c r="K397" s="11"/>
      <c r="L397" s="11"/>
      <c r="N397" s="8"/>
      <c r="O397" s="9"/>
      <c r="Q397" s="11"/>
      <c r="R397" s="11"/>
      <c r="T397" s="8"/>
      <c r="U397" s="8"/>
      <c r="W397" s="11"/>
      <c r="X397" s="11"/>
    </row>
    <row r="398">
      <c r="B398" s="6" t="str">
        <f t="shared" ref="B398:C398" si="117">H398</f>
        <v/>
      </c>
      <c r="C398" s="7" t="str">
        <f t="shared" si="117"/>
        <v/>
      </c>
      <c r="D398" s="6"/>
      <c r="E398" s="6"/>
      <c r="F398" s="6"/>
      <c r="H398" s="8"/>
      <c r="I398" s="9"/>
      <c r="K398" s="11"/>
      <c r="L398" s="11"/>
      <c r="N398" s="8"/>
      <c r="O398" s="9"/>
      <c r="Q398" s="11"/>
      <c r="R398" s="11"/>
      <c r="T398" s="8"/>
      <c r="U398" s="9"/>
      <c r="X398" s="11"/>
    </row>
    <row r="399">
      <c r="B399" s="6" t="str">
        <f t="shared" ref="B399:C399" si="118">H399</f>
        <v/>
      </c>
      <c r="C399" s="7" t="str">
        <f t="shared" si="118"/>
        <v/>
      </c>
      <c r="D399" s="6"/>
      <c r="E399" s="6"/>
      <c r="F399" s="6"/>
      <c r="H399" s="8"/>
      <c r="I399" s="8"/>
      <c r="K399" s="11"/>
      <c r="L399" s="11"/>
      <c r="N399" s="8"/>
      <c r="O399" s="8"/>
      <c r="Q399" s="11"/>
      <c r="R399" s="11"/>
      <c r="T399" s="8"/>
      <c r="U399" s="9"/>
      <c r="X399" s="11"/>
    </row>
    <row r="400">
      <c r="B400" s="6" t="str">
        <f t="shared" ref="B400:C400" si="119">H400</f>
        <v/>
      </c>
      <c r="C400" s="7" t="str">
        <f t="shared" si="119"/>
        <v/>
      </c>
      <c r="D400" s="6"/>
      <c r="E400" s="6"/>
      <c r="F400" s="6"/>
      <c r="H400" s="8"/>
      <c r="I400" s="8"/>
      <c r="K400" s="11"/>
      <c r="L400" s="11"/>
      <c r="N400" s="8"/>
      <c r="O400" s="8"/>
      <c r="Q400" s="11"/>
      <c r="R400" s="11"/>
      <c r="T400" s="8"/>
      <c r="U400" s="9"/>
      <c r="X400" s="11"/>
    </row>
    <row r="401">
      <c r="B401" s="6" t="str">
        <f t="shared" ref="B401:C401" si="120">H401</f>
        <v/>
      </c>
      <c r="C401" s="7" t="str">
        <f t="shared" si="120"/>
        <v/>
      </c>
      <c r="D401" s="6"/>
      <c r="E401" s="6"/>
      <c r="F401" s="6"/>
      <c r="H401" s="8"/>
      <c r="I401" s="8"/>
      <c r="K401" s="11"/>
      <c r="L401" s="11"/>
      <c r="N401" s="8"/>
      <c r="O401" s="8"/>
      <c r="Q401" s="11"/>
      <c r="R401" s="11"/>
      <c r="T401" s="8"/>
      <c r="U401" s="9"/>
      <c r="X401" s="11"/>
    </row>
    <row r="402">
      <c r="B402" s="6" t="str">
        <f t="shared" ref="B402:C402" si="121">H402</f>
        <v/>
      </c>
      <c r="C402" s="7" t="str">
        <f t="shared" si="121"/>
        <v/>
      </c>
      <c r="D402" s="6"/>
      <c r="E402" s="6"/>
      <c r="F402" s="6"/>
      <c r="H402" s="8"/>
      <c r="I402" s="8"/>
      <c r="K402" s="11"/>
      <c r="L402" s="11"/>
      <c r="N402" s="8"/>
      <c r="O402" s="8"/>
      <c r="Q402" s="11"/>
      <c r="R402" s="11"/>
      <c r="T402" s="8"/>
      <c r="U402" s="9"/>
      <c r="X402" s="11"/>
    </row>
    <row r="403">
      <c r="B403" s="6" t="str">
        <f t="shared" ref="B403:C403" si="122">H403</f>
        <v/>
      </c>
      <c r="C403" s="7" t="str">
        <f t="shared" si="122"/>
        <v/>
      </c>
      <c r="D403" s="6"/>
      <c r="E403" s="6"/>
      <c r="F403" s="6"/>
      <c r="H403" s="8"/>
      <c r="I403" s="8"/>
      <c r="K403" s="11"/>
      <c r="L403" s="11"/>
      <c r="N403" s="8"/>
      <c r="O403" s="8"/>
      <c r="Q403" s="11"/>
      <c r="R403" s="11"/>
      <c r="T403" s="8"/>
      <c r="U403" s="9"/>
      <c r="X403" s="11"/>
    </row>
    <row r="404">
      <c r="B404" s="6" t="str">
        <f t="shared" ref="B404:C404" si="123">H404</f>
        <v/>
      </c>
      <c r="C404" s="7" t="str">
        <f t="shared" si="123"/>
        <v/>
      </c>
      <c r="D404" s="6"/>
      <c r="E404" s="6"/>
      <c r="F404" s="6"/>
      <c r="H404" s="8"/>
      <c r="I404" s="8"/>
      <c r="K404" s="11"/>
      <c r="L404" s="11"/>
      <c r="N404" s="8"/>
      <c r="O404" s="8"/>
      <c r="Q404" s="11"/>
      <c r="R404" s="11"/>
      <c r="T404" s="8"/>
      <c r="U404" s="9"/>
      <c r="X404" s="11"/>
    </row>
    <row r="405">
      <c r="B405" s="6" t="str">
        <f t="shared" ref="B405:C405" si="124">H405</f>
        <v/>
      </c>
      <c r="C405" s="7" t="str">
        <f t="shared" si="124"/>
        <v/>
      </c>
      <c r="D405" s="6"/>
      <c r="E405" s="6"/>
      <c r="F405" s="6"/>
      <c r="H405" s="8"/>
      <c r="I405" s="8"/>
      <c r="K405" s="11"/>
      <c r="L405" s="11"/>
      <c r="N405" s="8"/>
      <c r="O405" s="8"/>
      <c r="Q405" s="11"/>
      <c r="R405" s="11"/>
      <c r="T405" s="8"/>
      <c r="X405" s="11"/>
    </row>
    <row r="406">
      <c r="B406" s="6" t="str">
        <f t="shared" ref="B406:C406" si="125">H406</f>
        <v/>
      </c>
      <c r="C406" s="7" t="str">
        <f t="shared" si="125"/>
        <v/>
      </c>
      <c r="D406" s="6"/>
      <c r="E406" s="6"/>
      <c r="F406" s="6"/>
      <c r="H406" s="8"/>
      <c r="I406" s="9"/>
      <c r="K406" s="11"/>
      <c r="L406" s="11"/>
      <c r="N406" s="8"/>
      <c r="O406" s="9"/>
      <c r="Q406" s="11"/>
      <c r="R406" s="11"/>
      <c r="T406" s="8"/>
      <c r="U406" s="9"/>
      <c r="W406" s="11"/>
      <c r="X406" s="11"/>
    </row>
    <row r="407">
      <c r="B407" s="6" t="str">
        <f t="shared" ref="B407:C407" si="126">H407</f>
        <v/>
      </c>
      <c r="C407" s="12" t="str">
        <f t="shared" si="126"/>
        <v/>
      </c>
      <c r="D407" s="6"/>
      <c r="E407" s="6"/>
      <c r="F407" s="6"/>
      <c r="H407" s="8"/>
      <c r="I407" s="13"/>
      <c r="K407" s="11"/>
      <c r="L407" s="11"/>
      <c r="N407" s="8"/>
      <c r="O407" s="13"/>
      <c r="Q407" s="11"/>
      <c r="R407" s="11"/>
      <c r="T407" s="8"/>
      <c r="U407" s="13"/>
      <c r="W407" s="11"/>
      <c r="X407" s="11"/>
    </row>
    <row r="408">
      <c r="B408" s="6" t="str">
        <f t="shared" ref="B408:C408" si="127">H408</f>
        <v/>
      </c>
      <c r="C408" s="12" t="str">
        <f t="shared" si="127"/>
        <v/>
      </c>
      <c r="D408" s="6"/>
      <c r="E408" s="6"/>
      <c r="F408" s="6"/>
      <c r="H408" s="8"/>
      <c r="I408" s="13"/>
      <c r="K408" s="11"/>
      <c r="L408" s="11"/>
      <c r="N408" s="8"/>
      <c r="O408" s="13"/>
      <c r="Q408" s="11"/>
      <c r="R408" s="11"/>
      <c r="T408" s="8"/>
      <c r="U408" s="13"/>
      <c r="W408" s="11"/>
      <c r="X408" s="11"/>
    </row>
    <row r="409">
      <c r="B409" s="6" t="str">
        <f t="shared" ref="B409:C409" si="128">H409</f>
        <v/>
      </c>
      <c r="C409" s="7" t="str">
        <f t="shared" si="128"/>
        <v/>
      </c>
      <c r="D409" s="6"/>
      <c r="E409" s="6"/>
      <c r="F409" s="6"/>
      <c r="H409" s="8"/>
      <c r="I409" s="9"/>
      <c r="K409" s="11"/>
      <c r="L409" s="11"/>
      <c r="N409" s="8"/>
      <c r="O409" s="9"/>
      <c r="Q409" s="11"/>
      <c r="R409" s="11"/>
      <c r="T409" s="8"/>
      <c r="U409" s="8"/>
      <c r="W409" s="11"/>
      <c r="X409" s="11"/>
    </row>
    <row r="410">
      <c r="B410" s="6" t="str">
        <f t="shared" ref="B410:C410" si="129">H410</f>
        <v/>
      </c>
      <c r="C410" s="7" t="str">
        <f t="shared" si="129"/>
        <v/>
      </c>
      <c r="D410" s="6"/>
      <c r="E410" s="6"/>
      <c r="F410" s="6"/>
      <c r="H410" s="8"/>
      <c r="I410" s="9"/>
      <c r="K410" s="11"/>
      <c r="L410" s="11"/>
      <c r="N410" s="8"/>
      <c r="O410" s="9"/>
      <c r="Q410" s="11"/>
      <c r="R410" s="11"/>
      <c r="T410" s="8"/>
      <c r="U410" s="8"/>
      <c r="W410" s="11"/>
      <c r="X410" s="11"/>
    </row>
    <row r="411">
      <c r="B411" s="6" t="str">
        <f t="shared" ref="B411:C411" si="130">H411</f>
        <v/>
      </c>
      <c r="C411" s="7" t="str">
        <f t="shared" si="130"/>
        <v/>
      </c>
      <c r="D411" s="6"/>
      <c r="E411" s="6"/>
      <c r="F411" s="6"/>
      <c r="H411" s="8"/>
      <c r="I411" s="9"/>
      <c r="K411" s="11"/>
      <c r="L411" s="11"/>
      <c r="N411" s="8"/>
      <c r="O411" s="9"/>
      <c r="Q411" s="11"/>
      <c r="R411" s="11"/>
      <c r="T411" s="8"/>
      <c r="U411" s="9"/>
      <c r="X411" s="11"/>
    </row>
    <row r="412">
      <c r="B412" s="6" t="str">
        <f t="shared" ref="B412:C412" si="131">H412</f>
        <v/>
      </c>
      <c r="C412" s="7" t="str">
        <f t="shared" si="131"/>
        <v/>
      </c>
      <c r="D412" s="6"/>
      <c r="E412" s="6"/>
      <c r="F412" s="6"/>
      <c r="H412" s="8"/>
      <c r="I412" s="8"/>
      <c r="K412" s="11"/>
      <c r="L412" s="11"/>
      <c r="N412" s="8"/>
      <c r="O412" s="8"/>
      <c r="Q412" s="11"/>
      <c r="R412" s="11"/>
      <c r="T412" s="8"/>
      <c r="U412" s="9"/>
      <c r="X412" s="11"/>
    </row>
    <row r="413">
      <c r="B413" s="6" t="str">
        <f t="shared" ref="B413:C413" si="132">H413</f>
        <v/>
      </c>
      <c r="C413" s="7" t="str">
        <f t="shared" si="132"/>
        <v/>
      </c>
      <c r="D413" s="6"/>
      <c r="E413" s="6"/>
      <c r="F413" s="6"/>
      <c r="H413" s="8"/>
      <c r="I413" s="8"/>
      <c r="K413" s="11"/>
      <c r="L413" s="11"/>
      <c r="N413" s="8"/>
      <c r="O413" s="8"/>
      <c r="Q413" s="11"/>
      <c r="R413" s="11"/>
      <c r="T413" s="8"/>
      <c r="U413" s="9"/>
      <c r="X413" s="11"/>
    </row>
    <row r="414">
      <c r="B414" s="6" t="str">
        <f t="shared" ref="B414:C414" si="133">H414</f>
        <v/>
      </c>
      <c r="C414" s="7" t="str">
        <f t="shared" si="133"/>
        <v/>
      </c>
      <c r="D414" s="6"/>
      <c r="E414" s="6"/>
      <c r="F414" s="6"/>
      <c r="H414" s="8"/>
      <c r="I414" s="8"/>
      <c r="K414" s="11"/>
      <c r="L414" s="11"/>
      <c r="N414" s="8"/>
      <c r="O414" s="8"/>
      <c r="Q414" s="11"/>
      <c r="R414" s="11"/>
      <c r="T414" s="8"/>
      <c r="U414" s="9"/>
      <c r="X414" s="11"/>
    </row>
    <row r="415">
      <c r="B415" s="6" t="str">
        <f t="shared" ref="B415:C415" si="134">H415</f>
        <v/>
      </c>
      <c r="C415" s="7" t="str">
        <f t="shared" si="134"/>
        <v/>
      </c>
      <c r="D415" s="6"/>
      <c r="E415" s="6"/>
      <c r="F415" s="6"/>
      <c r="H415" s="8"/>
      <c r="I415" s="8"/>
      <c r="K415" s="11"/>
      <c r="L415" s="11"/>
      <c r="N415" s="8"/>
      <c r="O415" s="8"/>
      <c r="Q415" s="11"/>
      <c r="R415" s="11"/>
      <c r="T415" s="8"/>
      <c r="U415" s="9"/>
      <c r="X415" s="11"/>
    </row>
    <row r="416">
      <c r="B416" s="6" t="str">
        <f t="shared" ref="B416:C416" si="135">H416</f>
        <v/>
      </c>
      <c r="C416" s="7" t="str">
        <f t="shared" si="135"/>
        <v/>
      </c>
      <c r="D416" s="6"/>
      <c r="E416" s="6"/>
      <c r="F416" s="6"/>
      <c r="H416" s="8"/>
      <c r="I416" s="8"/>
      <c r="K416" s="11"/>
      <c r="L416" s="11"/>
      <c r="N416" s="8"/>
      <c r="O416" s="8"/>
      <c r="Q416" s="11"/>
      <c r="R416" s="11"/>
      <c r="T416" s="8"/>
      <c r="U416" s="9"/>
      <c r="X416" s="11"/>
    </row>
    <row r="417">
      <c r="B417" s="6" t="str">
        <f t="shared" ref="B417:C417" si="136">H417</f>
        <v/>
      </c>
      <c r="C417" s="7" t="str">
        <f t="shared" si="136"/>
        <v/>
      </c>
      <c r="D417" s="6"/>
      <c r="E417" s="6"/>
      <c r="F417" s="6"/>
      <c r="H417" s="8"/>
      <c r="I417" s="8"/>
      <c r="K417" s="11"/>
      <c r="L417" s="11"/>
      <c r="N417" s="8"/>
      <c r="O417" s="8"/>
      <c r="Q417" s="11"/>
      <c r="R417" s="11"/>
      <c r="T417" s="8"/>
      <c r="U417" s="9"/>
      <c r="X417" s="11"/>
    </row>
    <row r="418">
      <c r="B418" s="6" t="str">
        <f t="shared" ref="B418:C418" si="137">H418</f>
        <v/>
      </c>
      <c r="C418" s="7" t="str">
        <f t="shared" si="137"/>
        <v/>
      </c>
      <c r="D418" s="6"/>
      <c r="E418" s="6"/>
      <c r="F418" s="6"/>
      <c r="H418" s="8"/>
      <c r="I418" s="8"/>
      <c r="K418" s="11"/>
      <c r="L418" s="11"/>
      <c r="N418" s="8"/>
      <c r="O418" s="8"/>
      <c r="Q418" s="11"/>
      <c r="R418" s="11"/>
      <c r="T418" s="8"/>
      <c r="X418" s="11"/>
    </row>
    <row r="419">
      <c r="B419" s="6" t="str">
        <f t="shared" ref="B419:C419" si="138">H419</f>
        <v/>
      </c>
      <c r="C419" s="7" t="str">
        <f t="shared" si="138"/>
        <v/>
      </c>
      <c r="D419" s="6"/>
      <c r="E419" s="6"/>
      <c r="F419" s="6"/>
      <c r="H419" s="8"/>
      <c r="I419" s="9"/>
      <c r="K419" s="11"/>
      <c r="L419" s="11"/>
      <c r="N419" s="8"/>
      <c r="O419" s="9"/>
      <c r="Q419" s="11"/>
      <c r="R419" s="11"/>
      <c r="T419" s="8"/>
      <c r="U419" s="9"/>
      <c r="W419" s="11"/>
      <c r="X419" s="11"/>
    </row>
    <row r="420">
      <c r="B420" s="6" t="str">
        <f t="shared" ref="B420:C420" si="139">H420</f>
        <v/>
      </c>
      <c r="C420" s="12" t="str">
        <f t="shared" si="139"/>
        <v/>
      </c>
      <c r="D420" s="6"/>
      <c r="E420" s="6"/>
      <c r="F420" s="6"/>
      <c r="H420" s="8"/>
      <c r="I420" s="13"/>
      <c r="K420" s="11"/>
      <c r="L420" s="11"/>
      <c r="N420" s="8"/>
      <c r="O420" s="13"/>
      <c r="Q420" s="11"/>
      <c r="R420" s="11"/>
      <c r="T420" s="8"/>
      <c r="U420" s="13"/>
      <c r="W420" s="11"/>
      <c r="X420" s="11"/>
    </row>
    <row r="421">
      <c r="B421" s="6" t="str">
        <f t="shared" ref="B421:C421" si="140">H421</f>
        <v/>
      </c>
      <c r="C421" s="12" t="str">
        <f t="shared" si="140"/>
        <v/>
      </c>
      <c r="D421" s="6"/>
      <c r="E421" s="6"/>
      <c r="F421" s="6"/>
      <c r="H421" s="8"/>
      <c r="I421" s="13"/>
      <c r="K421" s="11"/>
      <c r="L421" s="11"/>
      <c r="N421" s="8"/>
      <c r="O421" s="13"/>
      <c r="Q421" s="11"/>
      <c r="R421" s="11"/>
      <c r="T421" s="8"/>
      <c r="U421" s="13"/>
      <c r="W421" s="11"/>
      <c r="X421" s="11"/>
    </row>
    <row r="422">
      <c r="B422" s="6" t="str">
        <f t="shared" ref="B422:C422" si="141">H422</f>
        <v/>
      </c>
      <c r="C422" s="7" t="str">
        <f t="shared" si="141"/>
        <v/>
      </c>
      <c r="D422" s="6"/>
      <c r="E422" s="6"/>
      <c r="F422" s="6"/>
      <c r="H422" s="8"/>
      <c r="I422" s="9"/>
      <c r="K422" s="11"/>
      <c r="L422" s="11"/>
      <c r="N422" s="8"/>
      <c r="O422" s="9"/>
      <c r="Q422" s="11"/>
      <c r="R422" s="11"/>
      <c r="T422" s="8"/>
      <c r="U422" s="8"/>
      <c r="W422" s="11"/>
      <c r="X422" s="11"/>
    </row>
    <row r="423">
      <c r="B423" s="6" t="str">
        <f t="shared" ref="B423:C423" si="142">H423</f>
        <v/>
      </c>
      <c r="C423" s="7" t="str">
        <f t="shared" si="142"/>
        <v/>
      </c>
      <c r="D423" s="6"/>
      <c r="E423" s="6"/>
      <c r="F423" s="6"/>
      <c r="H423" s="8"/>
      <c r="I423" s="9"/>
      <c r="K423" s="11"/>
      <c r="L423" s="11"/>
      <c r="N423" s="8"/>
      <c r="O423" s="9"/>
      <c r="Q423" s="11"/>
      <c r="R423" s="11"/>
      <c r="T423" s="8"/>
      <c r="U423" s="8"/>
      <c r="W423" s="11"/>
      <c r="X423" s="11"/>
    </row>
    <row r="424">
      <c r="B424" s="6" t="str">
        <f t="shared" ref="B424:C424" si="143">H424</f>
        <v/>
      </c>
      <c r="C424" s="7" t="str">
        <f t="shared" si="143"/>
        <v/>
      </c>
      <c r="D424" s="6"/>
      <c r="E424" s="6"/>
      <c r="F424" s="6"/>
      <c r="H424" s="8"/>
      <c r="I424" s="9"/>
      <c r="K424" s="11"/>
      <c r="L424" s="11"/>
      <c r="N424" s="8"/>
      <c r="O424" s="9"/>
      <c r="Q424" s="11"/>
      <c r="R424" s="11"/>
      <c r="T424" s="8"/>
      <c r="U424" s="9"/>
      <c r="X424" s="11"/>
    </row>
    <row r="425">
      <c r="B425" s="6" t="str">
        <f t="shared" ref="B425:C425" si="144">H425</f>
        <v/>
      </c>
      <c r="C425" s="7" t="str">
        <f t="shared" si="144"/>
        <v/>
      </c>
      <c r="D425" s="6"/>
      <c r="E425" s="6"/>
      <c r="F425" s="6"/>
      <c r="H425" s="8"/>
      <c r="I425" s="8"/>
      <c r="K425" s="11"/>
      <c r="L425" s="11"/>
      <c r="N425" s="8"/>
      <c r="O425" s="8"/>
      <c r="Q425" s="11"/>
      <c r="R425" s="11"/>
      <c r="T425" s="8"/>
      <c r="U425" s="9"/>
      <c r="X425" s="11"/>
    </row>
    <row r="426">
      <c r="B426" s="6" t="str">
        <f t="shared" ref="B426:C426" si="145">H426</f>
        <v/>
      </c>
      <c r="C426" s="7" t="str">
        <f t="shared" si="145"/>
        <v/>
      </c>
      <c r="D426" s="6"/>
      <c r="E426" s="6"/>
      <c r="F426" s="6"/>
      <c r="H426" s="8"/>
      <c r="I426" s="8"/>
      <c r="K426" s="11"/>
      <c r="L426" s="11"/>
      <c r="N426" s="8"/>
      <c r="O426" s="8"/>
      <c r="Q426" s="11"/>
      <c r="R426" s="11"/>
      <c r="T426" s="8"/>
      <c r="U426" s="9"/>
      <c r="X426" s="11"/>
    </row>
    <row r="427">
      <c r="B427" s="6" t="str">
        <f t="shared" ref="B427:C427" si="146">H427</f>
        <v/>
      </c>
      <c r="C427" s="7" t="str">
        <f t="shared" si="146"/>
        <v/>
      </c>
      <c r="D427" s="6"/>
      <c r="E427" s="6"/>
      <c r="F427" s="6"/>
      <c r="H427" s="8"/>
      <c r="I427" s="8"/>
      <c r="K427" s="11"/>
      <c r="L427" s="11"/>
      <c r="N427" s="8"/>
      <c r="O427" s="8"/>
      <c r="Q427" s="11"/>
      <c r="R427" s="11"/>
      <c r="T427" s="8"/>
      <c r="U427" s="9"/>
      <c r="X427" s="11"/>
    </row>
    <row r="428">
      <c r="B428" s="6" t="str">
        <f t="shared" ref="B428:C428" si="147">H428</f>
        <v/>
      </c>
      <c r="C428" s="7" t="str">
        <f t="shared" si="147"/>
        <v/>
      </c>
      <c r="D428" s="6"/>
      <c r="E428" s="6"/>
      <c r="F428" s="6"/>
      <c r="H428" s="8"/>
      <c r="I428" s="8"/>
      <c r="K428" s="11"/>
      <c r="L428" s="11"/>
      <c r="N428" s="8"/>
      <c r="O428" s="8"/>
      <c r="Q428" s="11"/>
      <c r="R428" s="11"/>
      <c r="T428" s="8"/>
      <c r="U428" s="9"/>
      <c r="X428" s="11"/>
    </row>
    <row r="429">
      <c r="B429" s="6" t="str">
        <f t="shared" ref="B429:C429" si="148">H429</f>
        <v/>
      </c>
      <c r="C429" s="7" t="str">
        <f t="shared" si="148"/>
        <v/>
      </c>
      <c r="D429" s="6"/>
      <c r="E429" s="6"/>
      <c r="F429" s="6"/>
      <c r="H429" s="8"/>
      <c r="I429" s="8"/>
      <c r="K429" s="11"/>
      <c r="L429" s="11"/>
      <c r="N429" s="8"/>
      <c r="O429" s="8"/>
      <c r="Q429" s="11"/>
      <c r="R429" s="11"/>
      <c r="T429" s="8"/>
      <c r="U429" s="9"/>
      <c r="X429" s="11"/>
    </row>
    <row r="430">
      <c r="B430" s="6" t="str">
        <f t="shared" ref="B430:C430" si="149">H430</f>
        <v/>
      </c>
      <c r="C430" s="7" t="str">
        <f t="shared" si="149"/>
        <v/>
      </c>
      <c r="D430" s="6"/>
      <c r="E430" s="6"/>
      <c r="F430" s="6"/>
      <c r="H430" s="8"/>
      <c r="I430" s="8"/>
      <c r="K430" s="11"/>
      <c r="L430" s="11"/>
      <c r="N430" s="8"/>
      <c r="O430" s="8"/>
      <c r="Q430" s="11"/>
      <c r="R430" s="11"/>
      <c r="T430" s="8"/>
      <c r="U430" s="9"/>
      <c r="X430" s="11"/>
    </row>
    <row r="431">
      <c r="B431" s="6" t="str">
        <f t="shared" ref="B431:C431" si="150">H431</f>
        <v/>
      </c>
      <c r="C431" s="7" t="str">
        <f t="shared" si="150"/>
        <v/>
      </c>
      <c r="D431" s="6"/>
      <c r="E431" s="6"/>
      <c r="F431" s="6"/>
      <c r="H431" s="8"/>
      <c r="I431" s="8"/>
      <c r="K431" s="11"/>
      <c r="L431" s="11"/>
      <c r="N431" s="8"/>
      <c r="O431" s="8"/>
      <c r="Q431" s="11"/>
      <c r="R431" s="11"/>
      <c r="T431" s="8"/>
      <c r="X431" s="11"/>
    </row>
    <row r="432">
      <c r="B432" s="6" t="str">
        <f t="shared" ref="B432:C432" si="151">H432</f>
        <v/>
      </c>
      <c r="C432" s="7" t="str">
        <f t="shared" si="151"/>
        <v/>
      </c>
      <c r="D432" s="6"/>
      <c r="E432" s="6"/>
      <c r="F432" s="6"/>
      <c r="H432" s="8"/>
      <c r="I432" s="9"/>
      <c r="K432" s="11"/>
      <c r="L432" s="11"/>
      <c r="N432" s="8"/>
      <c r="O432" s="9"/>
      <c r="Q432" s="11"/>
      <c r="R432" s="11"/>
      <c r="T432" s="8"/>
      <c r="U432" s="9"/>
      <c r="W432" s="11"/>
      <c r="X432" s="11"/>
    </row>
    <row r="433">
      <c r="B433" s="6" t="str">
        <f t="shared" ref="B433:C433" si="152">H433</f>
        <v/>
      </c>
      <c r="C433" s="12" t="str">
        <f t="shared" si="152"/>
        <v/>
      </c>
      <c r="D433" s="6"/>
      <c r="E433" s="6"/>
      <c r="F433" s="6"/>
      <c r="H433" s="8"/>
      <c r="I433" s="13"/>
      <c r="K433" s="11"/>
      <c r="L433" s="11"/>
      <c r="N433" s="8"/>
      <c r="O433" s="13"/>
      <c r="Q433" s="11"/>
      <c r="R433" s="11"/>
      <c r="T433" s="8"/>
      <c r="U433" s="13"/>
      <c r="W433" s="11"/>
      <c r="X433" s="11"/>
    </row>
    <row r="434">
      <c r="B434" s="6" t="str">
        <f t="shared" ref="B434:C434" si="153">H434</f>
        <v/>
      </c>
      <c r="C434" s="12" t="str">
        <f t="shared" si="153"/>
        <v/>
      </c>
      <c r="D434" s="6"/>
      <c r="E434" s="6"/>
      <c r="F434" s="6"/>
      <c r="H434" s="8"/>
      <c r="I434" s="13"/>
      <c r="K434" s="11"/>
      <c r="L434" s="11"/>
      <c r="N434" s="8"/>
      <c r="O434" s="13"/>
      <c r="Q434" s="11"/>
      <c r="R434" s="11"/>
      <c r="T434" s="8"/>
      <c r="U434" s="13"/>
      <c r="W434" s="11"/>
      <c r="X434" s="11"/>
    </row>
    <row r="435">
      <c r="B435" s="6" t="str">
        <f t="shared" ref="B435:C435" si="154">H435</f>
        <v/>
      </c>
      <c r="C435" s="7" t="str">
        <f t="shared" si="154"/>
        <v/>
      </c>
      <c r="D435" s="6"/>
      <c r="E435" s="6"/>
      <c r="F435" s="6"/>
      <c r="H435" s="8"/>
      <c r="I435" s="9"/>
      <c r="K435" s="11"/>
      <c r="L435" s="11"/>
      <c r="N435" s="8"/>
      <c r="O435" s="9"/>
      <c r="Q435" s="11"/>
      <c r="R435" s="11"/>
      <c r="T435" s="8"/>
      <c r="U435" s="8"/>
      <c r="W435" s="11"/>
      <c r="X435" s="11"/>
    </row>
    <row r="436">
      <c r="B436" s="6" t="str">
        <f t="shared" ref="B436:C436" si="155">H436</f>
        <v/>
      </c>
      <c r="C436" s="7" t="str">
        <f t="shared" si="155"/>
        <v/>
      </c>
      <c r="D436" s="6"/>
      <c r="E436" s="6"/>
      <c r="F436" s="6"/>
      <c r="H436" s="8"/>
      <c r="I436" s="9"/>
      <c r="K436" s="11"/>
      <c r="L436" s="11"/>
      <c r="N436" s="8"/>
      <c r="O436" s="9"/>
      <c r="R436" s="11"/>
      <c r="T436" s="8"/>
      <c r="U436" s="8"/>
      <c r="W436" s="11"/>
      <c r="X436" s="11"/>
    </row>
    <row r="437">
      <c r="B437" s="6" t="str">
        <f t="shared" ref="B437:C437" si="156">H437</f>
        <v/>
      </c>
      <c r="C437" s="7" t="str">
        <f t="shared" si="156"/>
        <v/>
      </c>
      <c r="D437" s="6"/>
      <c r="E437" s="6"/>
      <c r="F437" s="6"/>
      <c r="H437" s="8"/>
      <c r="I437" s="9"/>
      <c r="K437" s="11"/>
      <c r="L437" s="11"/>
      <c r="N437" s="8"/>
      <c r="O437" s="9"/>
      <c r="Q437" s="11"/>
      <c r="R437" s="11"/>
      <c r="T437" s="8"/>
      <c r="U437" s="9"/>
      <c r="X437" s="11"/>
    </row>
    <row r="438">
      <c r="B438" s="6" t="str">
        <f t="shared" ref="B438:C438" si="157">H438</f>
        <v/>
      </c>
      <c r="C438" s="7" t="str">
        <f t="shared" si="157"/>
        <v/>
      </c>
      <c r="D438" s="6"/>
      <c r="E438" s="6"/>
      <c r="F438" s="6"/>
      <c r="H438" s="8"/>
      <c r="I438" s="8"/>
      <c r="K438" s="11"/>
      <c r="L438" s="11"/>
      <c r="N438" s="8"/>
      <c r="O438" s="8"/>
      <c r="Q438" s="11"/>
      <c r="R438" s="11"/>
      <c r="T438" s="8"/>
      <c r="U438" s="9"/>
      <c r="X438" s="11"/>
    </row>
    <row r="439">
      <c r="B439" s="6" t="str">
        <f t="shared" ref="B439:C439" si="158">H439</f>
        <v/>
      </c>
      <c r="C439" s="7" t="str">
        <f t="shared" si="158"/>
        <v/>
      </c>
      <c r="D439" s="6"/>
      <c r="E439" s="6"/>
      <c r="F439" s="6"/>
      <c r="H439" s="8"/>
      <c r="I439" s="8"/>
      <c r="K439" s="11"/>
      <c r="L439" s="11"/>
      <c r="N439" s="8"/>
      <c r="O439" s="8"/>
      <c r="Q439" s="11"/>
      <c r="R439" s="11"/>
      <c r="T439" s="8"/>
      <c r="U439" s="9"/>
      <c r="X439" s="11"/>
    </row>
    <row r="440">
      <c r="B440" s="6" t="str">
        <f t="shared" ref="B440:C440" si="159">H440</f>
        <v/>
      </c>
      <c r="C440" s="7" t="str">
        <f t="shared" si="159"/>
        <v/>
      </c>
      <c r="D440" s="6"/>
      <c r="E440" s="6"/>
      <c r="F440" s="6"/>
      <c r="H440" s="8"/>
      <c r="I440" s="8"/>
      <c r="K440" s="11"/>
      <c r="L440" s="11"/>
      <c r="N440" s="8"/>
      <c r="O440" s="8"/>
      <c r="Q440" s="11"/>
      <c r="R440" s="11"/>
      <c r="T440" s="8"/>
      <c r="U440" s="9"/>
      <c r="X440" s="11"/>
    </row>
    <row r="441">
      <c r="B441" s="6" t="str">
        <f t="shared" ref="B441:C441" si="160">H441</f>
        <v/>
      </c>
      <c r="C441" s="7" t="str">
        <f t="shared" si="160"/>
        <v/>
      </c>
      <c r="D441" s="6"/>
      <c r="E441" s="6"/>
      <c r="F441" s="6"/>
      <c r="H441" s="8"/>
      <c r="I441" s="8"/>
      <c r="K441" s="11"/>
      <c r="L441" s="11"/>
      <c r="N441" s="8"/>
      <c r="O441" s="8"/>
      <c r="Q441" s="11"/>
      <c r="R441" s="11"/>
      <c r="T441" s="8"/>
      <c r="U441" s="9"/>
      <c r="X441" s="11"/>
    </row>
    <row r="442">
      <c r="B442" s="6" t="str">
        <f t="shared" ref="B442:C442" si="161">H442</f>
        <v/>
      </c>
      <c r="C442" s="7" t="str">
        <f t="shared" si="161"/>
        <v/>
      </c>
      <c r="D442" s="6"/>
      <c r="E442" s="6"/>
      <c r="F442" s="6"/>
      <c r="H442" s="8"/>
      <c r="I442" s="8"/>
      <c r="K442" s="11"/>
      <c r="L442" s="11"/>
      <c r="N442" s="8"/>
      <c r="O442" s="8"/>
      <c r="Q442" s="11"/>
      <c r="R442" s="11"/>
      <c r="T442" s="8"/>
      <c r="U442" s="9"/>
      <c r="X442" s="11"/>
    </row>
    <row r="443">
      <c r="B443" s="6" t="str">
        <f t="shared" ref="B443:C443" si="162">H443</f>
        <v/>
      </c>
      <c r="C443" s="7" t="str">
        <f t="shared" si="162"/>
        <v/>
      </c>
      <c r="D443" s="6"/>
      <c r="E443" s="6"/>
      <c r="F443" s="6"/>
      <c r="H443" s="8"/>
      <c r="I443" s="8"/>
      <c r="K443" s="11"/>
      <c r="L443" s="11"/>
      <c r="N443" s="8"/>
      <c r="O443" s="8"/>
      <c r="Q443" s="11"/>
      <c r="R443" s="11"/>
      <c r="T443" s="8"/>
      <c r="U443" s="9"/>
      <c r="X443" s="11"/>
    </row>
    <row r="444">
      <c r="B444" s="6" t="str">
        <f t="shared" ref="B444:C444" si="163">H444</f>
        <v/>
      </c>
      <c r="C444" s="7" t="str">
        <f t="shared" si="163"/>
        <v/>
      </c>
      <c r="D444" s="6"/>
      <c r="E444" s="6"/>
      <c r="F444" s="6"/>
      <c r="H444" s="8"/>
      <c r="I444" s="8"/>
      <c r="K444" s="11"/>
      <c r="L444" s="11"/>
      <c r="N444" s="8"/>
      <c r="O444" s="8"/>
      <c r="Q444" s="11"/>
      <c r="R444" s="11"/>
      <c r="T444" s="8"/>
      <c r="U444" s="8"/>
      <c r="X444" s="11"/>
    </row>
    <row r="445">
      <c r="B445" s="6" t="str">
        <f t="shared" ref="B445:C445" si="164">H445</f>
        <v/>
      </c>
      <c r="C445" s="7" t="str">
        <f t="shared" si="164"/>
        <v/>
      </c>
      <c r="D445" s="6"/>
      <c r="E445" s="6"/>
      <c r="F445" s="6"/>
      <c r="H445" s="8"/>
      <c r="I445" s="9"/>
      <c r="K445" s="11"/>
      <c r="L445" s="11"/>
      <c r="N445" s="8"/>
      <c r="O445" s="9"/>
      <c r="Q445" s="11"/>
      <c r="R445" s="11"/>
      <c r="T445" s="8"/>
      <c r="U445" s="9"/>
      <c r="W445" s="11"/>
      <c r="X445" s="11"/>
    </row>
    <row r="446">
      <c r="B446" s="6" t="str">
        <f t="shared" ref="B446:C446" si="165">H446</f>
        <v/>
      </c>
      <c r="C446" s="12" t="str">
        <f t="shared" si="165"/>
        <v/>
      </c>
      <c r="D446" s="6"/>
      <c r="E446" s="6"/>
      <c r="F446" s="6"/>
      <c r="H446" s="8"/>
      <c r="I446" s="13"/>
      <c r="K446" s="11"/>
      <c r="L446" s="11"/>
      <c r="N446" s="8"/>
      <c r="O446" s="13"/>
      <c r="Q446" s="11"/>
      <c r="R446" s="11"/>
      <c r="T446" s="8"/>
      <c r="U446" s="13"/>
      <c r="W446" s="11"/>
      <c r="X446" s="11"/>
    </row>
    <row r="447">
      <c r="B447" s="6" t="str">
        <f t="shared" ref="B447:C447" si="166">H447</f>
        <v/>
      </c>
      <c r="C447" s="12" t="str">
        <f t="shared" si="166"/>
        <v/>
      </c>
      <c r="D447" s="6"/>
      <c r="E447" s="6"/>
      <c r="F447" s="6"/>
      <c r="H447" s="8"/>
      <c r="I447" s="13"/>
      <c r="K447" s="11"/>
      <c r="L447" s="11"/>
      <c r="N447" s="8"/>
      <c r="O447" s="13"/>
      <c r="Q447" s="11"/>
      <c r="R447" s="11"/>
      <c r="T447" s="8"/>
      <c r="U447" s="13"/>
      <c r="W447" s="11"/>
      <c r="X447" s="11"/>
    </row>
    <row r="448">
      <c r="B448" s="6" t="str">
        <f t="shared" ref="B448:C448" si="167">H448</f>
        <v/>
      </c>
      <c r="C448" s="7" t="str">
        <f t="shared" si="167"/>
        <v/>
      </c>
      <c r="D448" s="6"/>
      <c r="E448" s="6"/>
      <c r="F448" s="6"/>
      <c r="H448" s="8"/>
      <c r="I448" s="9"/>
      <c r="K448" s="11"/>
      <c r="L448" s="11"/>
      <c r="N448" s="8"/>
      <c r="O448" s="9"/>
      <c r="Q448" s="11"/>
      <c r="R448" s="11"/>
      <c r="T448" s="8"/>
      <c r="U448" s="9"/>
      <c r="W448" s="11"/>
      <c r="X448" s="11"/>
    </row>
    <row r="449">
      <c r="B449" s="6" t="str">
        <f t="shared" ref="B449:C449" si="168">H449</f>
        <v/>
      </c>
      <c r="C449" s="7" t="str">
        <f t="shared" si="168"/>
        <v/>
      </c>
      <c r="D449" s="6"/>
      <c r="E449" s="6"/>
      <c r="F449" s="6"/>
      <c r="H449" s="8"/>
      <c r="I449" s="9"/>
      <c r="K449" s="11"/>
      <c r="L449" s="11"/>
      <c r="N449" s="8"/>
      <c r="O449" s="9"/>
      <c r="Q449" s="11"/>
      <c r="R449" s="11"/>
      <c r="T449" s="8"/>
      <c r="U449" s="9"/>
      <c r="W449" s="11"/>
      <c r="X449" s="11"/>
    </row>
    <row r="450">
      <c r="B450" s="6" t="str">
        <f t="shared" ref="B450:C450" si="169">H450</f>
        <v/>
      </c>
      <c r="C450" s="7" t="str">
        <f t="shared" si="169"/>
        <v/>
      </c>
      <c r="D450" s="6"/>
      <c r="E450" s="6"/>
      <c r="F450" s="6"/>
      <c r="H450" s="8"/>
      <c r="I450" s="9"/>
      <c r="K450" s="11"/>
      <c r="L450" s="11"/>
      <c r="N450" s="8"/>
      <c r="O450" s="9"/>
      <c r="Q450" s="11"/>
      <c r="R450" s="11"/>
    </row>
    <row r="451">
      <c r="B451" s="6" t="str">
        <f t="shared" ref="B451:C451" si="170">H451</f>
        <v/>
      </c>
      <c r="C451" s="7" t="str">
        <f t="shared" si="170"/>
        <v/>
      </c>
      <c r="D451" s="6"/>
      <c r="E451" s="6"/>
      <c r="F451" s="6"/>
      <c r="H451" s="8"/>
      <c r="I451" s="8"/>
      <c r="K451" s="11"/>
      <c r="L451" s="11"/>
      <c r="N451" s="8"/>
      <c r="O451" s="8"/>
      <c r="Q451" s="11"/>
      <c r="R451" s="11"/>
    </row>
    <row r="452">
      <c r="B452" s="6" t="str">
        <f t="shared" ref="B452:C452" si="171">H452</f>
        <v/>
      </c>
      <c r="C452" s="7" t="str">
        <f t="shared" si="171"/>
        <v/>
      </c>
      <c r="D452" s="6"/>
      <c r="E452" s="6"/>
      <c r="F452" s="6"/>
      <c r="H452" s="8"/>
      <c r="I452" s="8"/>
      <c r="K452" s="11"/>
      <c r="L452" s="11"/>
      <c r="N452" s="8"/>
      <c r="O452" s="8"/>
      <c r="Q452" s="11"/>
      <c r="R452" s="11"/>
    </row>
    <row r="453">
      <c r="B453" s="6" t="str">
        <f t="shared" ref="B453:C453" si="172">H453</f>
        <v/>
      </c>
      <c r="C453" s="7" t="str">
        <f t="shared" si="172"/>
        <v/>
      </c>
      <c r="D453" s="6"/>
      <c r="E453" s="6"/>
      <c r="F453" s="6"/>
      <c r="H453" s="8"/>
      <c r="I453" s="8"/>
      <c r="K453" s="11"/>
      <c r="L453" s="11"/>
      <c r="N453" s="8"/>
      <c r="O453" s="8"/>
      <c r="Q453" s="11"/>
      <c r="R453" s="11"/>
    </row>
    <row r="454">
      <c r="B454" s="6" t="str">
        <f t="shared" ref="B454:C454" si="173">H454</f>
        <v/>
      </c>
      <c r="C454" s="7" t="str">
        <f t="shared" si="173"/>
        <v/>
      </c>
      <c r="D454" s="6"/>
      <c r="E454" s="6"/>
      <c r="F454" s="6"/>
      <c r="H454" s="8"/>
      <c r="I454" s="8"/>
      <c r="K454" s="11"/>
      <c r="L454" s="11"/>
      <c r="N454" s="8"/>
      <c r="O454" s="8"/>
      <c r="Q454" s="11"/>
      <c r="R454" s="11"/>
    </row>
    <row r="455">
      <c r="B455" s="6" t="str">
        <f t="shared" ref="B455:C455" si="174">H455</f>
        <v/>
      </c>
      <c r="C455" s="7" t="str">
        <f t="shared" si="174"/>
        <v/>
      </c>
      <c r="D455" s="6"/>
      <c r="E455" s="6"/>
      <c r="F455" s="6"/>
      <c r="H455" s="8"/>
      <c r="I455" s="8"/>
      <c r="K455" s="11"/>
      <c r="L455" s="11"/>
      <c r="N455" s="8"/>
      <c r="O455" s="8"/>
      <c r="Q455" s="11"/>
      <c r="R455" s="11"/>
    </row>
    <row r="456">
      <c r="B456" s="6" t="str">
        <f t="shared" ref="B456:C456" si="175">H456</f>
        <v/>
      </c>
      <c r="C456" s="7" t="str">
        <f t="shared" si="175"/>
        <v/>
      </c>
      <c r="D456" s="6"/>
      <c r="E456" s="6"/>
      <c r="F456" s="6"/>
      <c r="H456" s="8"/>
      <c r="I456" s="8"/>
      <c r="K456" s="11"/>
      <c r="L456" s="11"/>
      <c r="N456" s="8"/>
      <c r="O456" s="8"/>
      <c r="Q456" s="11"/>
      <c r="R456" s="11"/>
    </row>
    <row r="457">
      <c r="B457" s="6" t="str">
        <f t="shared" ref="B457:C457" si="176">H457</f>
        <v/>
      </c>
      <c r="C457" s="7" t="str">
        <f t="shared" si="176"/>
        <v/>
      </c>
      <c r="D457" s="6"/>
      <c r="E457" s="6"/>
      <c r="F457" s="6"/>
      <c r="H457" s="8"/>
      <c r="I457" s="8"/>
      <c r="K457" s="11"/>
      <c r="L457" s="11"/>
      <c r="N457" s="8"/>
      <c r="O457" s="8"/>
      <c r="Q457" s="11"/>
      <c r="R457" s="11"/>
    </row>
    <row r="458">
      <c r="B458" s="6" t="str">
        <f t="shared" ref="B458:C458" si="177">H458</f>
        <v/>
      </c>
      <c r="C458" s="7" t="str">
        <f t="shared" si="177"/>
        <v/>
      </c>
      <c r="D458" s="6"/>
      <c r="E458" s="6"/>
      <c r="F458" s="6"/>
      <c r="H458" s="8"/>
      <c r="I458" s="9"/>
      <c r="K458" s="11"/>
      <c r="L458" s="11"/>
      <c r="N458" s="8"/>
      <c r="O458" s="9"/>
      <c r="Q458" s="11"/>
      <c r="R458" s="11"/>
      <c r="T458" s="8"/>
      <c r="U458" s="9"/>
      <c r="W458" s="11"/>
      <c r="X458" s="11"/>
    </row>
    <row r="459">
      <c r="B459" s="6" t="str">
        <f t="shared" ref="B459:C459" si="178">H459</f>
        <v/>
      </c>
      <c r="C459" s="12" t="str">
        <f t="shared" si="178"/>
        <v/>
      </c>
      <c r="D459" s="6"/>
      <c r="E459" s="6"/>
      <c r="F459" s="6"/>
      <c r="H459" s="8"/>
      <c r="I459" s="13"/>
      <c r="K459" s="11"/>
      <c r="L459" s="11"/>
      <c r="N459" s="8"/>
      <c r="O459" s="13"/>
      <c r="Q459" s="11"/>
      <c r="R459" s="11"/>
      <c r="T459" s="8"/>
      <c r="U459" s="13"/>
      <c r="W459" s="11"/>
      <c r="X459" s="11"/>
    </row>
    <row r="460">
      <c r="B460" s="6" t="str">
        <f t="shared" ref="B460:C460" si="179">H460</f>
        <v/>
      </c>
      <c r="C460" s="12" t="str">
        <f t="shared" si="179"/>
        <v/>
      </c>
      <c r="D460" s="6"/>
      <c r="E460" s="6"/>
      <c r="F460" s="6"/>
      <c r="H460" s="8"/>
      <c r="I460" s="13"/>
      <c r="K460" s="11"/>
      <c r="L460" s="11"/>
      <c r="N460" s="8"/>
      <c r="O460" s="13"/>
      <c r="Q460" s="11"/>
      <c r="R460" s="11"/>
      <c r="T460" s="8"/>
      <c r="U460" s="13"/>
      <c r="W460" s="11"/>
      <c r="X460" s="11"/>
    </row>
    <row r="461">
      <c r="B461" s="6" t="str">
        <f t="shared" ref="B461:C461" si="180">H461</f>
        <v/>
      </c>
      <c r="C461" s="7" t="str">
        <f t="shared" si="180"/>
        <v/>
      </c>
      <c r="D461" s="6"/>
      <c r="E461" s="6"/>
      <c r="F461" s="6"/>
      <c r="H461" s="8"/>
      <c r="I461" s="9"/>
      <c r="K461" s="11"/>
      <c r="L461" s="11"/>
      <c r="N461" s="8"/>
      <c r="O461" s="9"/>
      <c r="Q461" s="11"/>
      <c r="R461" s="11"/>
      <c r="T461" s="8"/>
      <c r="U461" s="9"/>
      <c r="W461" s="11"/>
      <c r="X461" s="11"/>
    </row>
    <row r="462">
      <c r="B462" s="6" t="str">
        <f t="shared" ref="B462:C462" si="181">H462</f>
        <v/>
      </c>
      <c r="C462" s="7" t="str">
        <f t="shared" si="181"/>
        <v/>
      </c>
      <c r="D462" s="6"/>
      <c r="E462" s="6"/>
      <c r="F462" s="6"/>
      <c r="H462" s="8"/>
      <c r="I462" s="9"/>
      <c r="K462" s="11"/>
      <c r="L462" s="11"/>
      <c r="N462" s="8"/>
      <c r="O462" s="9"/>
      <c r="Q462" s="11"/>
      <c r="R462" s="11"/>
      <c r="T462" s="8"/>
      <c r="U462" s="9"/>
      <c r="W462" s="11"/>
      <c r="X462" s="11"/>
    </row>
    <row r="463">
      <c r="B463" s="6" t="str">
        <f t="shared" ref="B463:C463" si="182">H463</f>
        <v/>
      </c>
      <c r="C463" s="7" t="str">
        <f t="shared" si="182"/>
        <v/>
      </c>
      <c r="D463" s="6"/>
      <c r="E463" s="6"/>
      <c r="F463" s="6"/>
      <c r="H463" s="8"/>
      <c r="I463" s="9"/>
      <c r="K463" s="11"/>
      <c r="L463" s="11"/>
      <c r="N463" s="8"/>
      <c r="O463" s="9"/>
      <c r="Q463" s="11"/>
      <c r="R463" s="11"/>
    </row>
    <row r="464">
      <c r="B464" s="6" t="str">
        <f t="shared" ref="B464:C464" si="183">H464</f>
        <v/>
      </c>
      <c r="C464" s="7" t="str">
        <f t="shared" si="183"/>
        <v/>
      </c>
      <c r="D464" s="6"/>
      <c r="E464" s="6"/>
      <c r="F464" s="6"/>
      <c r="H464" s="8"/>
      <c r="I464" s="8"/>
      <c r="K464" s="11"/>
      <c r="L464" s="11"/>
      <c r="N464" s="8"/>
      <c r="O464" s="8"/>
      <c r="Q464" s="11"/>
      <c r="R464" s="11"/>
    </row>
    <row r="465">
      <c r="B465" s="6" t="str">
        <f t="shared" ref="B465:C465" si="184">H465</f>
        <v/>
      </c>
      <c r="C465" s="7" t="str">
        <f t="shared" si="184"/>
        <v/>
      </c>
      <c r="D465" s="6"/>
      <c r="E465" s="6"/>
      <c r="F465" s="6"/>
      <c r="H465" s="8"/>
      <c r="I465" s="8"/>
      <c r="K465" s="11"/>
      <c r="L465" s="11"/>
      <c r="N465" s="8"/>
      <c r="O465" s="8"/>
      <c r="Q465" s="11"/>
      <c r="R465" s="11"/>
    </row>
    <row r="466">
      <c r="B466" s="6" t="str">
        <f t="shared" ref="B466:C466" si="185">H466</f>
        <v/>
      </c>
      <c r="C466" s="7" t="str">
        <f t="shared" si="185"/>
        <v/>
      </c>
      <c r="D466" s="6"/>
      <c r="E466" s="6"/>
      <c r="F466" s="6"/>
      <c r="H466" s="8"/>
      <c r="I466" s="8"/>
      <c r="K466" s="11"/>
      <c r="L466" s="11"/>
      <c r="N466" s="8"/>
      <c r="O466" s="8"/>
      <c r="Q466" s="11"/>
      <c r="R466" s="11"/>
    </row>
    <row r="467">
      <c r="B467" s="6" t="str">
        <f t="shared" ref="B467:C467" si="186">H467</f>
        <v/>
      </c>
      <c r="C467" s="7" t="str">
        <f t="shared" si="186"/>
        <v/>
      </c>
      <c r="D467" s="6"/>
      <c r="E467" s="6"/>
      <c r="F467" s="6"/>
      <c r="H467" s="8"/>
      <c r="I467" s="8"/>
      <c r="K467" s="11"/>
      <c r="L467" s="11"/>
      <c r="N467" s="8"/>
      <c r="O467" s="8"/>
      <c r="Q467" s="11"/>
      <c r="R467" s="11"/>
    </row>
    <row r="468">
      <c r="B468" s="6" t="str">
        <f t="shared" ref="B468:C468" si="187">H468</f>
        <v/>
      </c>
      <c r="C468" s="7" t="str">
        <f t="shared" si="187"/>
        <v/>
      </c>
      <c r="D468" s="6"/>
      <c r="E468" s="6"/>
      <c r="F468" s="6"/>
      <c r="H468" s="8"/>
      <c r="I468" s="8"/>
      <c r="K468" s="11"/>
      <c r="L468" s="11"/>
      <c r="N468" s="8"/>
      <c r="O468" s="8"/>
      <c r="Q468" s="11"/>
      <c r="R468" s="11"/>
    </row>
    <row r="469">
      <c r="B469" s="6" t="str">
        <f t="shared" ref="B469:C469" si="188">H469</f>
        <v/>
      </c>
      <c r="C469" s="7" t="str">
        <f t="shared" si="188"/>
        <v/>
      </c>
      <c r="D469" s="6"/>
      <c r="E469" s="6"/>
      <c r="F469" s="6"/>
      <c r="H469" s="8"/>
      <c r="I469" s="8"/>
      <c r="K469" s="11"/>
      <c r="L469" s="11"/>
      <c r="N469" s="8"/>
      <c r="O469" s="8"/>
      <c r="Q469" s="11"/>
      <c r="R469" s="11"/>
    </row>
    <row r="470">
      <c r="B470" s="6" t="str">
        <f t="shared" ref="B470:C470" si="189">H470</f>
        <v/>
      </c>
      <c r="C470" s="7" t="str">
        <f t="shared" si="189"/>
        <v/>
      </c>
      <c r="D470" s="6"/>
      <c r="E470" s="6"/>
      <c r="F470" s="6"/>
      <c r="H470" s="8"/>
      <c r="I470" s="8"/>
      <c r="K470" s="11"/>
      <c r="L470" s="11"/>
      <c r="N470" s="8"/>
      <c r="O470" s="8"/>
      <c r="Q470" s="11"/>
      <c r="R470" s="11"/>
    </row>
    <row r="471">
      <c r="B471" s="6" t="str">
        <f t="shared" ref="B471:C471" si="190">H471</f>
        <v/>
      </c>
      <c r="C471" s="7" t="str">
        <f t="shared" si="190"/>
        <v/>
      </c>
      <c r="D471" s="6"/>
      <c r="E471" s="6"/>
      <c r="F471" s="6"/>
      <c r="H471" s="8"/>
      <c r="I471" s="9"/>
      <c r="K471" s="11"/>
      <c r="L471" s="11"/>
      <c r="N471" s="8"/>
      <c r="O471" s="9"/>
      <c r="Q471" s="11"/>
      <c r="R471" s="11"/>
      <c r="T471" s="8"/>
      <c r="U471" s="9"/>
      <c r="W471" s="11"/>
      <c r="X471" s="11"/>
    </row>
    <row r="472">
      <c r="B472" s="6" t="str">
        <f t="shared" ref="B472:C472" si="191">H472</f>
        <v/>
      </c>
      <c r="C472" s="12" t="str">
        <f t="shared" si="191"/>
        <v/>
      </c>
      <c r="D472" s="6"/>
      <c r="E472" s="6"/>
      <c r="F472" s="6"/>
      <c r="H472" s="8"/>
      <c r="I472" s="13"/>
      <c r="K472" s="11"/>
      <c r="L472" s="11"/>
      <c r="N472" s="8"/>
      <c r="O472" s="13"/>
      <c r="Q472" s="11"/>
      <c r="R472" s="11"/>
      <c r="T472" s="8"/>
      <c r="U472" s="13"/>
      <c r="W472" s="11"/>
      <c r="X472" s="11"/>
    </row>
    <row r="473">
      <c r="B473" s="6" t="str">
        <f t="shared" ref="B473:C473" si="192">H473</f>
        <v/>
      </c>
      <c r="C473" s="12" t="str">
        <f t="shared" si="192"/>
        <v/>
      </c>
      <c r="D473" s="6"/>
      <c r="E473" s="6"/>
      <c r="F473" s="6"/>
      <c r="H473" s="8"/>
      <c r="I473" s="13"/>
      <c r="K473" s="11"/>
      <c r="L473" s="11"/>
      <c r="N473" s="8"/>
      <c r="O473" s="13"/>
      <c r="Q473" s="11"/>
      <c r="R473" s="11"/>
      <c r="T473" s="8"/>
      <c r="U473" s="13"/>
      <c r="W473" s="11"/>
      <c r="X473" s="11"/>
    </row>
    <row r="474">
      <c r="B474" s="6" t="str">
        <f t="shared" ref="B474:C474" si="193">H474</f>
        <v/>
      </c>
      <c r="C474" s="7" t="str">
        <f t="shared" si="193"/>
        <v/>
      </c>
      <c r="D474" s="6"/>
      <c r="E474" s="6"/>
      <c r="F474" s="6"/>
      <c r="H474" s="8"/>
      <c r="I474" s="9"/>
      <c r="K474" s="11"/>
      <c r="L474" s="11"/>
      <c r="N474" s="8"/>
      <c r="O474" s="9"/>
      <c r="Q474" s="11"/>
      <c r="R474" s="11"/>
      <c r="T474" s="8"/>
      <c r="U474" s="9"/>
      <c r="W474" s="11"/>
      <c r="X474" s="11"/>
    </row>
    <row r="475">
      <c r="B475" s="6" t="str">
        <f t="shared" ref="B475:C475" si="194">H475</f>
        <v/>
      </c>
      <c r="C475" s="7" t="str">
        <f t="shared" si="194"/>
        <v/>
      </c>
      <c r="D475" s="6"/>
      <c r="E475" s="6"/>
      <c r="F475" s="6"/>
      <c r="H475" s="8"/>
      <c r="I475" s="9"/>
      <c r="K475" s="11"/>
      <c r="L475" s="11"/>
      <c r="N475" s="8"/>
      <c r="O475" s="9"/>
      <c r="Q475" s="11"/>
      <c r="R475" s="11"/>
      <c r="T475" s="8"/>
      <c r="U475" s="9"/>
      <c r="W475" s="11"/>
      <c r="X475" s="11"/>
    </row>
    <row r="476">
      <c r="B476" s="6" t="str">
        <f t="shared" ref="B476:C476" si="195">H476</f>
        <v/>
      </c>
      <c r="C476" s="7" t="str">
        <f t="shared" si="195"/>
        <v/>
      </c>
      <c r="D476" s="6"/>
      <c r="E476" s="6"/>
      <c r="F476" s="6"/>
      <c r="H476" s="8"/>
      <c r="I476" s="9"/>
      <c r="K476" s="11"/>
      <c r="L476" s="11"/>
      <c r="N476" s="8"/>
      <c r="O476" s="9"/>
      <c r="Q476" s="11"/>
      <c r="R476" s="11"/>
    </row>
    <row r="477">
      <c r="B477" s="6" t="str">
        <f t="shared" ref="B477:C477" si="196">H477</f>
        <v/>
      </c>
      <c r="C477" s="7" t="str">
        <f t="shared" si="196"/>
        <v/>
      </c>
      <c r="D477" s="6"/>
      <c r="E477" s="6"/>
      <c r="F477" s="6"/>
      <c r="H477" s="8"/>
      <c r="I477" s="8"/>
      <c r="K477" s="11"/>
      <c r="L477" s="11"/>
      <c r="N477" s="8"/>
      <c r="O477" s="8"/>
      <c r="Q477" s="11"/>
      <c r="R477" s="11"/>
    </row>
    <row r="478">
      <c r="B478" s="6" t="str">
        <f t="shared" ref="B478:C478" si="197">H478</f>
        <v/>
      </c>
      <c r="C478" s="7" t="str">
        <f t="shared" si="197"/>
        <v/>
      </c>
      <c r="D478" s="6"/>
      <c r="E478" s="6"/>
      <c r="F478" s="6"/>
      <c r="H478" s="8"/>
      <c r="I478" s="8"/>
      <c r="K478" s="11"/>
      <c r="L478" s="11"/>
      <c r="N478" s="8"/>
      <c r="O478" s="8"/>
      <c r="Q478" s="11"/>
      <c r="R478" s="11"/>
    </row>
    <row r="479">
      <c r="B479" s="6" t="str">
        <f t="shared" ref="B479:C479" si="198">H479</f>
        <v/>
      </c>
      <c r="C479" s="7" t="str">
        <f t="shared" si="198"/>
        <v/>
      </c>
      <c r="D479" s="6"/>
      <c r="E479" s="6"/>
      <c r="F479" s="6"/>
      <c r="H479" s="8"/>
      <c r="I479" s="8"/>
      <c r="K479" s="11"/>
      <c r="L479" s="11"/>
      <c r="N479" s="8"/>
      <c r="O479" s="8"/>
      <c r="Q479" s="11"/>
      <c r="R479" s="11"/>
    </row>
    <row r="480">
      <c r="B480" s="6" t="str">
        <f t="shared" ref="B480:C480" si="199">H480</f>
        <v/>
      </c>
      <c r="C480" s="7" t="str">
        <f t="shared" si="199"/>
        <v/>
      </c>
      <c r="D480" s="6"/>
      <c r="E480" s="6"/>
      <c r="F480" s="6"/>
      <c r="H480" s="8"/>
      <c r="I480" s="8"/>
      <c r="K480" s="11"/>
      <c r="L480" s="11"/>
      <c r="N480" s="8"/>
      <c r="O480" s="8"/>
      <c r="Q480" s="11"/>
      <c r="R480" s="11"/>
    </row>
    <row r="481">
      <c r="B481" s="6" t="str">
        <f t="shared" ref="B481:C481" si="200">H481</f>
        <v/>
      </c>
      <c r="C481" s="7" t="str">
        <f t="shared" si="200"/>
        <v/>
      </c>
      <c r="D481" s="6"/>
      <c r="E481" s="6"/>
      <c r="F481" s="6"/>
      <c r="H481" s="8"/>
      <c r="I481" s="8"/>
      <c r="K481" s="11"/>
      <c r="L481" s="11"/>
      <c r="N481" s="8"/>
      <c r="O481" s="8"/>
      <c r="Q481" s="11"/>
      <c r="R481" s="11"/>
    </row>
    <row r="482">
      <c r="B482" s="6" t="str">
        <f t="shared" ref="B482:C482" si="201">H482</f>
        <v/>
      </c>
      <c r="C482" s="7" t="str">
        <f t="shared" si="201"/>
        <v/>
      </c>
      <c r="D482" s="6"/>
      <c r="E482" s="6"/>
      <c r="F482" s="6"/>
      <c r="H482" s="8"/>
      <c r="I482" s="8"/>
      <c r="K482" s="11"/>
      <c r="L482" s="11"/>
      <c r="N482" s="8"/>
      <c r="O482" s="8"/>
      <c r="Q482" s="11"/>
      <c r="R482" s="11"/>
    </row>
    <row r="483">
      <c r="B483" s="6" t="str">
        <f t="shared" ref="B483:C483" si="202">H483</f>
        <v/>
      </c>
      <c r="C483" s="7" t="str">
        <f t="shared" si="202"/>
        <v/>
      </c>
      <c r="D483" s="6"/>
      <c r="E483" s="6"/>
      <c r="F483" s="6"/>
      <c r="H483" s="8"/>
      <c r="I483" s="8"/>
      <c r="K483" s="11"/>
      <c r="L483" s="11"/>
      <c r="N483" s="8"/>
      <c r="O483" s="8"/>
      <c r="Q483" s="11"/>
      <c r="R483" s="11"/>
    </row>
  </sheetData>
  <drawing r:id="rId1"/>
</worksheet>
</file>