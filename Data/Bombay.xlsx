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bay_1891" sheetId="1" r:id="rId5"/>
  </sheets>
  <definedNames/>
  <calcPr/>
</workbook>
</file>

<file path=xl/sharedStrings.xml><?xml version="1.0" encoding="utf-8"?>
<sst xmlns="http://schemas.openxmlformats.org/spreadsheetml/2006/main" count="1504" uniqueCount="53">
  <si>
    <t>Total</t>
  </si>
  <si>
    <t>Unmarried</t>
  </si>
  <si>
    <t>Married</t>
  </si>
  <si>
    <t>Widowed</t>
  </si>
  <si>
    <t>District</t>
  </si>
  <si>
    <t>Age</t>
  </si>
  <si>
    <t>Persons</t>
  </si>
  <si>
    <t>Males</t>
  </si>
  <si>
    <t>Females</t>
  </si>
  <si>
    <t>Cutch</t>
  </si>
  <si>
    <t>0–4</t>
  </si>
  <si>
    <t>0-4</t>
  </si>
  <si>
    <t>5–9</t>
  </si>
  <si>
    <t>10–14</t>
  </si>
  <si>
    <t>15–19</t>
  </si>
  <si>
    <t>15-19</t>
  </si>
  <si>
    <t>20–24</t>
  </si>
  <si>
    <t>20-24</t>
  </si>
  <si>
    <t>25–29</t>
  </si>
  <si>
    <t>25-29</t>
  </si>
  <si>
    <t>30–34</t>
  </si>
  <si>
    <t>30-34</t>
  </si>
  <si>
    <t>35–39</t>
  </si>
  <si>
    <t>35-39</t>
  </si>
  <si>
    <t>40–44</t>
  </si>
  <si>
    <t>40-44</t>
  </si>
  <si>
    <t>45–49</t>
  </si>
  <si>
    <t>45-49</t>
  </si>
  <si>
    <t>50–54</t>
  </si>
  <si>
    <t>50-54</t>
  </si>
  <si>
    <t>55–59</t>
  </si>
  <si>
    <t>55-59</t>
  </si>
  <si>
    <t>60 and over</t>
  </si>
  <si>
    <t>Palanpur</t>
  </si>
  <si>
    <t>Mahi Kantha</t>
  </si>
  <si>
    <t>Kathiawar</t>
  </si>
  <si>
    <t>Rewa Kantha</t>
  </si>
  <si>
    <t>Cambay</t>
  </si>
  <si>
    <t>Surat Agency</t>
  </si>
  <si>
    <t>Jawhar</t>
  </si>
  <si>
    <t>Janjira</t>
  </si>
  <si>
    <t>Sawantwadi</t>
  </si>
  <si>
    <t>The Dangs</t>
  </si>
  <si>
    <t>Surgana</t>
  </si>
  <si>
    <t>Bhor</t>
  </si>
  <si>
    <t>Akalkot</t>
  </si>
  <si>
    <t>Satara Agency</t>
  </si>
  <si>
    <t>Jat</t>
  </si>
  <si>
    <t>Kolhapur</t>
  </si>
  <si>
    <t>Southern Maratha Jaghirs</t>
  </si>
  <si>
    <t>Southern Maratha Jaghira</t>
  </si>
  <si>
    <t>Sawanur</t>
  </si>
  <si>
    <t>Khairpur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</si>
</sst>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  <c r="H1" s="1" t="s">
        <v>1</v>
      </c>
      <c r="N1" s="1" t="s">
        <v>2</v>
      </c>
      <c r="T1" s="1" t="s">
        <v>3</v>
      </c>
    </row>
    <row r="2">
      <c r="B2" s="2" t="s">
        <v>4</v>
      </c>
      <c r="C2" s="2" t="s">
        <v>5</v>
      </c>
      <c r="D2" s="3" t="s">
        <v>6</v>
      </c>
      <c r="E2" s="3" t="s">
        <v>7</v>
      </c>
      <c r="F2" s="3" t="s">
        <v>8</v>
      </c>
      <c r="G2" s="4"/>
      <c r="H2" s="2" t="s">
        <v>4</v>
      </c>
      <c r="I2" s="2" t="s">
        <v>5</v>
      </c>
      <c r="J2" s="3" t="s">
        <v>6</v>
      </c>
      <c r="K2" s="3" t="s">
        <v>7</v>
      </c>
      <c r="L2" s="3" t="s">
        <v>8</v>
      </c>
      <c r="M2" s="5"/>
      <c r="N2" s="2" t="s">
        <v>4</v>
      </c>
      <c r="O2" s="2" t="s">
        <v>5</v>
      </c>
      <c r="P2" s="3" t="s">
        <v>6</v>
      </c>
      <c r="Q2" s="3" t="s">
        <v>7</v>
      </c>
      <c r="R2" s="3" t="s">
        <v>8</v>
      </c>
      <c r="T2" s="2" t="s">
        <v>4</v>
      </c>
      <c r="U2" s="2" t="s">
        <v>5</v>
      </c>
      <c r="V2" s="3" t="s">
        <v>6</v>
      </c>
      <c r="W2" s="3" t="s">
        <v>7</v>
      </c>
      <c r="X2" s="3" t="s">
        <v>8</v>
      </c>
    </row>
    <row r="3">
      <c r="B3" s="6" t="str">
        <f t="shared" ref="B3:C3" si="1">H3</f>
        <v>Cutch</v>
      </c>
      <c r="C3" s="6" t="str">
        <f t="shared" si="1"/>
        <v>0–4</v>
      </c>
      <c r="D3" s="6">
        <f t="shared" ref="D3:F3" si="2">J3+P3+V3</f>
        <v>78920</v>
      </c>
      <c r="E3" s="6">
        <f t="shared" si="2"/>
        <v>38820</v>
      </c>
      <c r="F3" s="6">
        <f t="shared" si="2"/>
        <v>40100</v>
      </c>
      <c r="G3" s="6"/>
      <c r="H3" s="6" t="s">
        <v>9</v>
      </c>
      <c r="I3" s="6" t="s">
        <v>10</v>
      </c>
      <c r="J3" s="5">
        <f t="shared" ref="J3:J262" si="5">sum(K3:L3)</f>
        <v>77848</v>
      </c>
      <c r="K3" s="7">
        <v>38399.0</v>
      </c>
      <c r="L3" s="7">
        <v>39449.0</v>
      </c>
      <c r="M3" s="5"/>
      <c r="N3" s="8" t="s">
        <v>9</v>
      </c>
      <c r="O3" s="9" t="s">
        <v>11</v>
      </c>
      <c r="P3" s="5">
        <f t="shared" ref="P3:P262" si="6">sum(Q3:R3)</f>
        <v>1066</v>
      </c>
      <c r="Q3" s="10">
        <v>420.0</v>
      </c>
      <c r="R3" s="10">
        <v>646.0</v>
      </c>
      <c r="T3" s="1" t="s">
        <v>9</v>
      </c>
      <c r="U3" s="11" t="s">
        <v>11</v>
      </c>
      <c r="V3" s="5">
        <f t="shared" ref="V3:V262" si="7">sum(W3:X3)</f>
        <v>6</v>
      </c>
      <c r="W3" s="1">
        <v>1.0</v>
      </c>
      <c r="X3" s="1">
        <v>5.0</v>
      </c>
    </row>
    <row r="4">
      <c r="B4" s="6" t="str">
        <f t="shared" ref="B4:C4" si="3">H4</f>
        <v>Cutch</v>
      </c>
      <c r="C4" s="6" t="str">
        <f t="shared" si="3"/>
        <v>5–9</v>
      </c>
      <c r="D4" s="6">
        <f t="shared" ref="D4:F4" si="4">J4+P4+V4</f>
        <v>81114</v>
      </c>
      <c r="E4" s="6">
        <f t="shared" si="4"/>
        <v>40533</v>
      </c>
      <c r="F4" s="6">
        <f t="shared" si="4"/>
        <v>40581</v>
      </c>
      <c r="G4" s="6"/>
      <c r="H4" s="6" t="s">
        <v>9</v>
      </c>
      <c r="I4" s="6" t="s">
        <v>12</v>
      </c>
      <c r="J4" s="5">
        <f t="shared" si="5"/>
        <v>77094</v>
      </c>
      <c r="K4" s="7">
        <v>39034.0</v>
      </c>
      <c r="L4" s="7">
        <v>38060.0</v>
      </c>
      <c r="M4" s="5"/>
      <c r="N4" s="8" t="s">
        <v>9</v>
      </c>
      <c r="O4" s="12">
        <v>45786.0</v>
      </c>
      <c r="P4" s="5">
        <f t="shared" si="6"/>
        <v>3980</v>
      </c>
      <c r="Q4" s="10">
        <v>1479.0</v>
      </c>
      <c r="R4" s="10">
        <v>2501.0</v>
      </c>
      <c r="T4" s="1" t="s">
        <v>9</v>
      </c>
      <c r="U4" s="13">
        <v>45786.0</v>
      </c>
      <c r="V4" s="5">
        <f t="shared" si="7"/>
        <v>40</v>
      </c>
      <c r="W4" s="1">
        <v>20.0</v>
      </c>
      <c r="X4" s="1">
        <v>20.0</v>
      </c>
    </row>
    <row r="5">
      <c r="B5" s="6" t="str">
        <f t="shared" ref="B5:C5" si="8">H5</f>
        <v>Cutch</v>
      </c>
      <c r="C5" s="6" t="str">
        <f t="shared" si="8"/>
        <v>10–14</v>
      </c>
      <c r="D5" s="6">
        <f t="shared" ref="D5:F5" si="9">J5+P5+V5</f>
        <v>59639</v>
      </c>
      <c r="E5" s="6">
        <f t="shared" si="9"/>
        <v>32103</v>
      </c>
      <c r="F5" s="6">
        <f t="shared" si="9"/>
        <v>27536</v>
      </c>
      <c r="G5" s="6"/>
      <c r="H5" s="6" t="s">
        <v>9</v>
      </c>
      <c r="I5" s="6" t="s">
        <v>13</v>
      </c>
      <c r="J5" s="5">
        <f t="shared" si="5"/>
        <v>47297</v>
      </c>
      <c r="K5" s="7">
        <v>27698.0</v>
      </c>
      <c r="L5" s="7">
        <v>19599.0</v>
      </c>
      <c r="M5" s="5"/>
      <c r="N5" s="8" t="s">
        <v>9</v>
      </c>
      <c r="O5" s="12">
        <v>45944.0</v>
      </c>
      <c r="P5" s="5">
        <f t="shared" si="6"/>
        <v>12201</v>
      </c>
      <c r="Q5" s="10">
        <v>4332.0</v>
      </c>
      <c r="R5" s="10">
        <v>7869.0</v>
      </c>
      <c r="T5" s="1" t="s">
        <v>9</v>
      </c>
      <c r="U5" s="13">
        <v>45944.0</v>
      </c>
      <c r="V5" s="5">
        <f t="shared" si="7"/>
        <v>141</v>
      </c>
      <c r="W5" s="1">
        <v>73.0</v>
      </c>
      <c r="X5" s="1">
        <v>68.0</v>
      </c>
    </row>
    <row r="6">
      <c r="B6" s="6" t="str">
        <f t="shared" ref="B6:C6" si="10">H6</f>
        <v>Cutch</v>
      </c>
      <c r="C6" s="6" t="str">
        <f t="shared" si="10"/>
        <v>15–19</v>
      </c>
      <c r="D6" s="6">
        <f t="shared" ref="D6:F6" si="11">J6+P6+V6</f>
        <v>43156</v>
      </c>
      <c r="E6" s="6">
        <f t="shared" si="11"/>
        <v>22611</v>
      </c>
      <c r="F6" s="6">
        <f t="shared" si="11"/>
        <v>20545</v>
      </c>
      <c r="G6" s="6"/>
      <c r="H6" s="6" t="s">
        <v>9</v>
      </c>
      <c r="I6" s="6" t="s">
        <v>14</v>
      </c>
      <c r="J6" s="5">
        <f t="shared" si="5"/>
        <v>17477</v>
      </c>
      <c r="K6" s="7">
        <v>14280.0</v>
      </c>
      <c r="L6" s="7">
        <v>3197.0</v>
      </c>
      <c r="M6" s="5"/>
      <c r="N6" s="8" t="s">
        <v>9</v>
      </c>
      <c r="O6" s="9" t="s">
        <v>15</v>
      </c>
      <c r="P6" s="5">
        <f t="shared" si="6"/>
        <v>25182</v>
      </c>
      <c r="Q6" s="10">
        <v>8174.0</v>
      </c>
      <c r="R6" s="10">
        <v>17008.0</v>
      </c>
      <c r="T6" s="1" t="s">
        <v>9</v>
      </c>
      <c r="U6" s="11" t="s">
        <v>15</v>
      </c>
      <c r="V6" s="5">
        <f t="shared" si="7"/>
        <v>497</v>
      </c>
      <c r="W6" s="1">
        <v>157.0</v>
      </c>
      <c r="X6" s="1">
        <v>340.0</v>
      </c>
    </row>
    <row r="7">
      <c r="B7" s="6" t="str">
        <f t="shared" ref="B7:C7" si="12">H7</f>
        <v>Cutch</v>
      </c>
      <c r="C7" s="6" t="str">
        <f t="shared" si="12"/>
        <v>20–24</v>
      </c>
      <c r="D7" s="6">
        <f t="shared" ref="D7:F7" si="13">J7+P7+V7</f>
        <v>49434</v>
      </c>
      <c r="E7" s="6">
        <f t="shared" si="13"/>
        <v>23274</v>
      </c>
      <c r="F7" s="6">
        <f t="shared" si="13"/>
        <v>26160</v>
      </c>
      <c r="G7" s="6"/>
      <c r="H7" s="6" t="s">
        <v>9</v>
      </c>
      <c r="I7" s="6" t="s">
        <v>16</v>
      </c>
      <c r="J7" s="5">
        <f t="shared" si="5"/>
        <v>9004</v>
      </c>
      <c r="K7" s="7">
        <v>8313.0</v>
      </c>
      <c r="L7" s="7">
        <v>691.0</v>
      </c>
      <c r="M7" s="5"/>
      <c r="N7" s="8" t="s">
        <v>9</v>
      </c>
      <c r="O7" s="9" t="s">
        <v>17</v>
      </c>
      <c r="P7" s="5">
        <f t="shared" si="6"/>
        <v>39003</v>
      </c>
      <c r="Q7" s="10">
        <v>14525.0</v>
      </c>
      <c r="R7" s="10">
        <v>24478.0</v>
      </c>
      <c r="T7" s="1" t="s">
        <v>9</v>
      </c>
      <c r="U7" s="11" t="s">
        <v>17</v>
      </c>
      <c r="V7" s="5">
        <f t="shared" si="7"/>
        <v>1427</v>
      </c>
      <c r="W7" s="1">
        <v>436.0</v>
      </c>
      <c r="X7" s="1">
        <v>991.0</v>
      </c>
    </row>
    <row r="8">
      <c r="B8" s="6" t="str">
        <f t="shared" ref="B8:C8" si="14">H8</f>
        <v>Cutch</v>
      </c>
      <c r="C8" s="6" t="str">
        <f t="shared" si="14"/>
        <v>25–29</v>
      </c>
      <c r="D8" s="6">
        <f t="shared" ref="D8:F8" si="15">J8+P8+V8</f>
        <v>45553</v>
      </c>
      <c r="E8" s="6">
        <f t="shared" si="15"/>
        <v>21877</v>
      </c>
      <c r="F8" s="6">
        <f t="shared" si="15"/>
        <v>23676</v>
      </c>
      <c r="G8" s="6"/>
      <c r="H8" s="6" t="s">
        <v>9</v>
      </c>
      <c r="I8" s="6" t="s">
        <v>18</v>
      </c>
      <c r="J8" s="5">
        <f t="shared" si="5"/>
        <v>4437</v>
      </c>
      <c r="K8" s="7">
        <v>4149.0</v>
      </c>
      <c r="L8" s="7">
        <v>288.0</v>
      </c>
      <c r="M8" s="5"/>
      <c r="N8" s="8" t="s">
        <v>9</v>
      </c>
      <c r="O8" s="9" t="s">
        <v>19</v>
      </c>
      <c r="P8" s="5">
        <f t="shared" si="6"/>
        <v>38894</v>
      </c>
      <c r="Q8" s="8">
        <v>17007.0</v>
      </c>
      <c r="R8" s="8">
        <v>21887.0</v>
      </c>
      <c r="T8" s="1" t="s">
        <v>9</v>
      </c>
      <c r="U8" s="11" t="s">
        <v>19</v>
      </c>
      <c r="V8" s="5">
        <f t="shared" si="7"/>
        <v>2222</v>
      </c>
      <c r="W8" s="1">
        <v>721.0</v>
      </c>
      <c r="X8" s="1">
        <v>1501.0</v>
      </c>
    </row>
    <row r="9">
      <c r="B9" s="6" t="str">
        <f t="shared" ref="B9:C9" si="16">H9</f>
        <v>Cutch</v>
      </c>
      <c r="C9" s="6" t="str">
        <f t="shared" si="16"/>
        <v>30–34</v>
      </c>
      <c r="D9" s="6">
        <f t="shared" ref="D9:F9" si="17">J9+P9+V9</f>
        <v>47981</v>
      </c>
      <c r="E9" s="6">
        <f t="shared" si="17"/>
        <v>23699</v>
      </c>
      <c r="F9" s="6">
        <f t="shared" si="17"/>
        <v>24282</v>
      </c>
      <c r="G9" s="6"/>
      <c r="H9" s="6" t="s">
        <v>9</v>
      </c>
      <c r="I9" s="6" t="s">
        <v>20</v>
      </c>
      <c r="J9" s="5">
        <f t="shared" si="5"/>
        <v>2770</v>
      </c>
      <c r="K9" s="7">
        <v>2505.0</v>
      </c>
      <c r="L9" s="7">
        <v>265.0</v>
      </c>
      <c r="M9" s="5"/>
      <c r="N9" s="8" t="s">
        <v>9</v>
      </c>
      <c r="O9" s="9" t="s">
        <v>21</v>
      </c>
      <c r="P9" s="5">
        <f t="shared" si="6"/>
        <v>41019</v>
      </c>
      <c r="Q9" s="8">
        <v>20018.0</v>
      </c>
      <c r="R9" s="8">
        <v>21001.0</v>
      </c>
      <c r="T9" s="1" t="s">
        <v>9</v>
      </c>
      <c r="U9" s="11" t="s">
        <v>21</v>
      </c>
      <c r="V9" s="5">
        <f t="shared" si="7"/>
        <v>4192</v>
      </c>
      <c r="W9" s="1">
        <v>1176.0</v>
      </c>
      <c r="X9" s="1">
        <v>3016.0</v>
      </c>
    </row>
    <row r="10">
      <c r="B10" s="6" t="str">
        <f t="shared" ref="B10:C10" si="18">H10</f>
        <v>Cutch</v>
      </c>
      <c r="C10" s="6" t="str">
        <f t="shared" si="18"/>
        <v>35–39</v>
      </c>
      <c r="D10" s="6">
        <f t="shared" ref="D10:F10" si="19">J10+P10+V10</f>
        <v>28883</v>
      </c>
      <c r="E10" s="6">
        <f t="shared" si="19"/>
        <v>15046</v>
      </c>
      <c r="F10" s="6">
        <f t="shared" si="19"/>
        <v>13837</v>
      </c>
      <c r="G10" s="6"/>
      <c r="H10" s="6" t="s">
        <v>9</v>
      </c>
      <c r="I10" s="6" t="s">
        <v>22</v>
      </c>
      <c r="J10" s="5">
        <f t="shared" si="5"/>
        <v>1176</v>
      </c>
      <c r="K10" s="7">
        <v>1044.0</v>
      </c>
      <c r="L10" s="7">
        <v>132.0</v>
      </c>
      <c r="M10" s="5"/>
      <c r="N10" s="8" t="s">
        <v>9</v>
      </c>
      <c r="O10" s="9" t="s">
        <v>23</v>
      </c>
      <c r="P10" s="5">
        <f t="shared" si="6"/>
        <v>24138</v>
      </c>
      <c r="Q10" s="8">
        <v>13062.0</v>
      </c>
      <c r="R10" s="8">
        <v>11076.0</v>
      </c>
      <c r="T10" s="1" t="s">
        <v>9</v>
      </c>
      <c r="U10" s="11" t="s">
        <v>23</v>
      </c>
      <c r="V10" s="5">
        <f t="shared" si="7"/>
        <v>3569</v>
      </c>
      <c r="W10" s="1">
        <v>940.0</v>
      </c>
      <c r="X10" s="1">
        <v>2629.0</v>
      </c>
    </row>
    <row r="11">
      <c r="B11" s="6" t="str">
        <f t="shared" ref="B11:C11" si="20">H11</f>
        <v>Cutch</v>
      </c>
      <c r="C11" s="6" t="str">
        <f t="shared" si="20"/>
        <v>40–44</v>
      </c>
      <c r="D11" s="6">
        <f t="shared" ref="D11:F11" si="21">J11+P11+V11</f>
        <v>38327</v>
      </c>
      <c r="E11" s="6">
        <f t="shared" si="21"/>
        <v>17050</v>
      </c>
      <c r="F11" s="6">
        <f t="shared" si="21"/>
        <v>21277</v>
      </c>
      <c r="G11" s="6"/>
      <c r="H11" s="6" t="s">
        <v>9</v>
      </c>
      <c r="I11" s="6" t="s">
        <v>24</v>
      </c>
      <c r="J11" s="5">
        <f t="shared" si="5"/>
        <v>1138</v>
      </c>
      <c r="K11" s="7">
        <v>1000.0</v>
      </c>
      <c r="L11" s="7">
        <v>138.0</v>
      </c>
      <c r="M11" s="5"/>
      <c r="N11" s="8" t="s">
        <v>9</v>
      </c>
      <c r="O11" s="9" t="s">
        <v>25</v>
      </c>
      <c r="P11" s="5">
        <f t="shared" si="6"/>
        <v>29289</v>
      </c>
      <c r="Q11" s="8">
        <v>14442.0</v>
      </c>
      <c r="R11" s="8">
        <v>14847.0</v>
      </c>
      <c r="T11" s="1" t="s">
        <v>9</v>
      </c>
      <c r="U11" s="11" t="s">
        <v>25</v>
      </c>
      <c r="V11" s="5">
        <f t="shared" si="7"/>
        <v>7900</v>
      </c>
      <c r="W11" s="1">
        <v>1608.0</v>
      </c>
      <c r="X11" s="1">
        <v>6292.0</v>
      </c>
    </row>
    <row r="12">
      <c r="B12" s="6" t="str">
        <f t="shared" ref="B12:C12" si="22">H12</f>
        <v>Cutch</v>
      </c>
      <c r="C12" s="6" t="str">
        <f t="shared" si="22"/>
        <v>45–49</v>
      </c>
      <c r="D12" s="6">
        <f t="shared" ref="D12:F12" si="23">J12+P12+V12</f>
        <v>14761</v>
      </c>
      <c r="E12" s="6">
        <f t="shared" si="23"/>
        <v>8011</v>
      </c>
      <c r="F12" s="6">
        <f t="shared" si="23"/>
        <v>6750</v>
      </c>
      <c r="G12" s="6"/>
      <c r="H12" s="6" t="s">
        <v>9</v>
      </c>
      <c r="I12" s="6" t="s">
        <v>26</v>
      </c>
      <c r="J12" s="5">
        <f t="shared" si="5"/>
        <v>462</v>
      </c>
      <c r="K12" s="7">
        <v>418.0</v>
      </c>
      <c r="L12" s="7">
        <v>44.0</v>
      </c>
      <c r="M12" s="5"/>
      <c r="N12" s="8" t="s">
        <v>9</v>
      </c>
      <c r="O12" s="9" t="s">
        <v>27</v>
      </c>
      <c r="P12" s="5">
        <f t="shared" si="6"/>
        <v>10884</v>
      </c>
      <c r="Q12" s="8">
        <v>6655.0</v>
      </c>
      <c r="R12" s="8">
        <v>4229.0</v>
      </c>
      <c r="T12" s="1" t="s">
        <v>9</v>
      </c>
      <c r="U12" s="11" t="s">
        <v>27</v>
      </c>
      <c r="V12" s="5">
        <f t="shared" si="7"/>
        <v>3415</v>
      </c>
      <c r="W12" s="1">
        <v>938.0</v>
      </c>
      <c r="X12" s="1">
        <v>2477.0</v>
      </c>
    </row>
    <row r="13">
      <c r="B13" s="6" t="str">
        <f t="shared" ref="B13:C13" si="24">H13</f>
        <v>Cutch</v>
      </c>
      <c r="C13" s="6" t="str">
        <f t="shared" si="24"/>
        <v>50–54</v>
      </c>
      <c r="D13" s="6">
        <f t="shared" ref="D13:F13" si="25">J13+P13+V13</f>
        <v>28209</v>
      </c>
      <c r="E13" s="6">
        <f t="shared" si="25"/>
        <v>13687</v>
      </c>
      <c r="F13" s="6">
        <f t="shared" si="25"/>
        <v>14522</v>
      </c>
      <c r="G13" s="6"/>
      <c r="H13" s="6" t="s">
        <v>9</v>
      </c>
      <c r="I13" s="6" t="s">
        <v>28</v>
      </c>
      <c r="J13" s="5">
        <f t="shared" si="5"/>
        <v>680</v>
      </c>
      <c r="K13" s="7">
        <v>614.0</v>
      </c>
      <c r="L13" s="7">
        <v>66.0</v>
      </c>
      <c r="M13" s="5"/>
      <c r="N13" s="8" t="s">
        <v>9</v>
      </c>
      <c r="O13" s="9" t="s">
        <v>29</v>
      </c>
      <c r="P13" s="5">
        <f t="shared" si="6"/>
        <v>17218</v>
      </c>
      <c r="Q13" s="8">
        <v>10753.0</v>
      </c>
      <c r="R13" s="8">
        <v>6465.0</v>
      </c>
      <c r="T13" s="1" t="s">
        <v>9</v>
      </c>
      <c r="U13" s="11" t="s">
        <v>29</v>
      </c>
      <c r="V13" s="5">
        <f t="shared" si="7"/>
        <v>10311</v>
      </c>
      <c r="W13" s="1">
        <v>2320.0</v>
      </c>
      <c r="X13" s="1">
        <v>7991.0</v>
      </c>
    </row>
    <row r="14">
      <c r="B14" s="6" t="str">
        <f t="shared" ref="B14:C14" si="26">H14</f>
        <v>Cutch</v>
      </c>
      <c r="C14" s="6" t="str">
        <f t="shared" si="26"/>
        <v>55–59</v>
      </c>
      <c r="D14" s="6">
        <f t="shared" ref="D14:F14" si="27">J14+P14+V14</f>
        <v>9506</v>
      </c>
      <c r="E14" s="6">
        <f t="shared" si="27"/>
        <v>5289</v>
      </c>
      <c r="F14" s="6">
        <f t="shared" si="27"/>
        <v>4217</v>
      </c>
      <c r="G14" s="6"/>
      <c r="H14" s="6" t="s">
        <v>9</v>
      </c>
      <c r="I14" s="6" t="s">
        <v>30</v>
      </c>
      <c r="J14" s="5">
        <f t="shared" si="5"/>
        <v>260</v>
      </c>
      <c r="K14" s="7">
        <v>239.0</v>
      </c>
      <c r="L14" s="7">
        <v>21.0</v>
      </c>
      <c r="M14" s="5"/>
      <c r="N14" s="8" t="s">
        <v>9</v>
      </c>
      <c r="O14" s="9" t="s">
        <v>31</v>
      </c>
      <c r="P14" s="5">
        <f t="shared" si="6"/>
        <v>5801</v>
      </c>
      <c r="Q14" s="8">
        <v>3932.0</v>
      </c>
      <c r="R14" s="8">
        <v>1869.0</v>
      </c>
      <c r="T14" s="1" t="s">
        <v>9</v>
      </c>
      <c r="U14" s="11" t="s">
        <v>31</v>
      </c>
      <c r="V14" s="5">
        <f t="shared" si="7"/>
        <v>3445</v>
      </c>
      <c r="W14" s="1">
        <v>1118.0</v>
      </c>
      <c r="X14" s="1">
        <v>2327.0</v>
      </c>
    </row>
    <row r="15">
      <c r="B15" s="6" t="str">
        <f t="shared" ref="B15:C15" si="28">H15</f>
        <v>Cutch</v>
      </c>
      <c r="C15" s="6" t="str">
        <f t="shared" si="28"/>
        <v>60 and over</v>
      </c>
      <c r="D15" s="6">
        <f t="shared" ref="D15:F15" si="29">J15+P15+V15</f>
        <v>35327</v>
      </c>
      <c r="E15" s="6">
        <f t="shared" si="29"/>
        <v>16647</v>
      </c>
      <c r="F15" s="6">
        <f t="shared" si="29"/>
        <v>18680</v>
      </c>
      <c r="G15" s="6"/>
      <c r="H15" s="6" t="s">
        <v>9</v>
      </c>
      <c r="I15" s="6" t="s">
        <v>32</v>
      </c>
      <c r="J15" s="5">
        <f t="shared" si="5"/>
        <v>768</v>
      </c>
      <c r="K15" s="7">
        <v>707.0</v>
      </c>
      <c r="L15" s="7">
        <v>61.0</v>
      </c>
      <c r="M15" s="5"/>
      <c r="N15" s="8" t="s">
        <v>9</v>
      </c>
      <c r="O15" s="6" t="s">
        <v>32</v>
      </c>
      <c r="P15" s="5">
        <f t="shared" si="6"/>
        <v>13955</v>
      </c>
      <c r="Q15" s="8">
        <v>10262.0</v>
      </c>
      <c r="R15" s="8">
        <v>3693.0</v>
      </c>
      <c r="T15" s="1" t="s">
        <v>9</v>
      </c>
      <c r="U15" s="6" t="s">
        <v>32</v>
      </c>
      <c r="V15" s="5">
        <f t="shared" si="7"/>
        <v>20604</v>
      </c>
      <c r="W15" s="1">
        <v>5678.0</v>
      </c>
      <c r="X15" s="1">
        <v>14926.0</v>
      </c>
    </row>
    <row r="16">
      <c r="B16" s="6" t="str">
        <f t="shared" ref="B16:C16" si="30">H16</f>
        <v>Palanpur</v>
      </c>
      <c r="C16" s="6" t="str">
        <f t="shared" si="30"/>
        <v>0–4</v>
      </c>
      <c r="D16" s="6">
        <f t="shared" ref="D16:F16" si="31">J16+P16+V16</f>
        <v>96693</v>
      </c>
      <c r="E16" s="6">
        <f t="shared" si="31"/>
        <v>46935</v>
      </c>
      <c r="F16" s="6">
        <f t="shared" si="31"/>
        <v>49758</v>
      </c>
      <c r="G16" s="6"/>
      <c r="H16" s="6" t="s">
        <v>33</v>
      </c>
      <c r="I16" s="6" t="s">
        <v>10</v>
      </c>
      <c r="J16" s="5">
        <f t="shared" si="5"/>
        <v>93976</v>
      </c>
      <c r="K16" s="7">
        <v>46117.0</v>
      </c>
      <c r="L16" s="7">
        <v>47859.0</v>
      </c>
      <c r="M16" s="5"/>
      <c r="N16" s="8" t="s">
        <v>33</v>
      </c>
      <c r="O16" s="9" t="s">
        <v>11</v>
      </c>
      <c r="P16" s="5">
        <f t="shared" si="6"/>
        <v>2656</v>
      </c>
      <c r="Q16" s="10">
        <v>792.0</v>
      </c>
      <c r="R16" s="10">
        <v>1864.0</v>
      </c>
      <c r="T16" s="1" t="s">
        <v>33</v>
      </c>
      <c r="U16" s="11" t="s">
        <v>11</v>
      </c>
      <c r="V16" s="5">
        <f t="shared" si="7"/>
        <v>61</v>
      </c>
      <c r="W16" s="1">
        <v>26.0</v>
      </c>
      <c r="X16" s="1">
        <v>35.0</v>
      </c>
    </row>
    <row r="17">
      <c r="B17" s="6" t="str">
        <f t="shared" ref="B17:C17" si="32">H17</f>
        <v>Palanpur</v>
      </c>
      <c r="C17" s="6" t="str">
        <f t="shared" si="32"/>
        <v>5–9</v>
      </c>
      <c r="D17" s="6">
        <f t="shared" ref="D17:F17" si="33">J17+P17+V17</f>
        <v>93831</v>
      </c>
      <c r="E17" s="6">
        <f t="shared" si="33"/>
        <v>45517</v>
      </c>
      <c r="F17" s="6">
        <f t="shared" si="33"/>
        <v>48314</v>
      </c>
      <c r="G17" s="6"/>
      <c r="H17" s="6" t="s">
        <v>33</v>
      </c>
      <c r="I17" s="6" t="s">
        <v>12</v>
      </c>
      <c r="J17" s="5">
        <f t="shared" si="5"/>
        <v>83853</v>
      </c>
      <c r="K17" s="7">
        <v>42169.0</v>
      </c>
      <c r="L17" s="7">
        <v>41684.0</v>
      </c>
      <c r="M17" s="5"/>
      <c r="N17" s="8" t="s">
        <v>33</v>
      </c>
      <c r="O17" s="12">
        <v>45786.0</v>
      </c>
      <c r="P17" s="5">
        <f t="shared" si="6"/>
        <v>9769</v>
      </c>
      <c r="Q17" s="10">
        <v>3231.0</v>
      </c>
      <c r="R17" s="10">
        <v>6538.0</v>
      </c>
      <c r="T17" s="1" t="s">
        <v>33</v>
      </c>
      <c r="U17" s="13">
        <v>45786.0</v>
      </c>
      <c r="V17" s="5">
        <f t="shared" si="7"/>
        <v>209</v>
      </c>
      <c r="W17" s="1">
        <v>117.0</v>
      </c>
      <c r="X17" s="1">
        <v>92.0</v>
      </c>
    </row>
    <row r="18">
      <c r="B18" s="6" t="str">
        <f t="shared" ref="B18:C18" si="34">H18</f>
        <v>Palanpur</v>
      </c>
      <c r="C18" s="6" t="str">
        <f t="shared" si="34"/>
        <v>10–14</v>
      </c>
      <c r="D18" s="6">
        <f t="shared" ref="D18:F18" si="35">J18+P18+V18</f>
        <v>71956</v>
      </c>
      <c r="E18" s="6">
        <f t="shared" si="35"/>
        <v>39919</v>
      </c>
      <c r="F18" s="6">
        <f t="shared" si="35"/>
        <v>32037</v>
      </c>
      <c r="G18" s="6"/>
      <c r="H18" s="6" t="s">
        <v>33</v>
      </c>
      <c r="I18" s="6" t="s">
        <v>13</v>
      </c>
      <c r="J18" s="5">
        <f t="shared" si="5"/>
        <v>52600</v>
      </c>
      <c r="K18" s="7">
        <v>32471.0</v>
      </c>
      <c r="L18" s="7">
        <v>20129.0</v>
      </c>
      <c r="M18" s="5"/>
      <c r="N18" s="8" t="s">
        <v>33</v>
      </c>
      <c r="O18" s="12">
        <v>45944.0</v>
      </c>
      <c r="P18" s="5">
        <f t="shared" si="6"/>
        <v>18900</v>
      </c>
      <c r="Q18" s="10">
        <v>7184.0</v>
      </c>
      <c r="R18" s="10">
        <v>11716.0</v>
      </c>
      <c r="T18" s="1" t="s">
        <v>33</v>
      </c>
      <c r="U18" s="13">
        <v>45944.0</v>
      </c>
      <c r="V18" s="5">
        <f t="shared" si="7"/>
        <v>456</v>
      </c>
      <c r="W18" s="1">
        <v>264.0</v>
      </c>
      <c r="X18" s="1">
        <v>192.0</v>
      </c>
    </row>
    <row r="19">
      <c r="B19" s="6" t="str">
        <f t="shared" ref="B19:C19" si="36">H19</f>
        <v>Palanpur</v>
      </c>
      <c r="C19" s="6" t="str">
        <f t="shared" si="36"/>
        <v>15–19</v>
      </c>
      <c r="D19" s="6">
        <f t="shared" ref="D19:F19" si="37">J19+P19+V19</f>
        <v>55711</v>
      </c>
      <c r="E19" s="6">
        <f t="shared" si="37"/>
        <v>28775</v>
      </c>
      <c r="F19" s="6">
        <f t="shared" si="37"/>
        <v>26936</v>
      </c>
      <c r="G19" s="6"/>
      <c r="H19" s="6" t="s">
        <v>33</v>
      </c>
      <c r="I19" s="6" t="s">
        <v>14</v>
      </c>
      <c r="J19" s="5">
        <f t="shared" si="5"/>
        <v>25850</v>
      </c>
      <c r="K19" s="7">
        <v>17286.0</v>
      </c>
      <c r="L19" s="7">
        <v>8564.0</v>
      </c>
      <c r="M19" s="5"/>
      <c r="N19" s="8" t="s">
        <v>33</v>
      </c>
      <c r="O19" s="9" t="s">
        <v>15</v>
      </c>
      <c r="P19" s="5">
        <f t="shared" si="6"/>
        <v>29145</v>
      </c>
      <c r="Q19" s="10">
        <v>11133.0</v>
      </c>
      <c r="R19" s="10">
        <v>18012.0</v>
      </c>
      <c r="T19" s="1" t="s">
        <v>33</v>
      </c>
      <c r="U19" s="11" t="s">
        <v>15</v>
      </c>
      <c r="V19" s="5">
        <f t="shared" si="7"/>
        <v>716</v>
      </c>
      <c r="W19" s="1">
        <v>356.0</v>
      </c>
      <c r="X19" s="1">
        <v>360.0</v>
      </c>
    </row>
    <row r="20">
      <c r="B20" s="6" t="str">
        <f t="shared" ref="B20:C20" si="38">H20</f>
        <v>Palanpur</v>
      </c>
      <c r="C20" s="6" t="str">
        <f t="shared" si="38"/>
        <v>20–24</v>
      </c>
      <c r="D20" s="6">
        <f t="shared" ref="D20:F20" si="39">J20+P20+V20</f>
        <v>64619</v>
      </c>
      <c r="E20" s="6">
        <f t="shared" si="39"/>
        <v>28697</v>
      </c>
      <c r="F20" s="6">
        <f t="shared" si="39"/>
        <v>35922</v>
      </c>
      <c r="G20" s="6"/>
      <c r="H20" s="6" t="s">
        <v>33</v>
      </c>
      <c r="I20" s="6" t="s">
        <v>16</v>
      </c>
      <c r="J20" s="5">
        <f t="shared" si="5"/>
        <v>17471</v>
      </c>
      <c r="K20" s="7">
        <v>8741.0</v>
      </c>
      <c r="L20" s="7">
        <v>8730.0</v>
      </c>
      <c r="M20" s="5"/>
      <c r="N20" s="8" t="s">
        <v>33</v>
      </c>
      <c r="O20" s="9" t="s">
        <v>17</v>
      </c>
      <c r="P20" s="5">
        <f t="shared" si="6"/>
        <v>45627</v>
      </c>
      <c r="Q20" s="10">
        <v>19216.0</v>
      </c>
      <c r="R20" s="10">
        <v>26411.0</v>
      </c>
      <c r="T20" s="1" t="s">
        <v>33</v>
      </c>
      <c r="U20" s="11" t="s">
        <v>17</v>
      </c>
      <c r="V20" s="5">
        <f t="shared" si="7"/>
        <v>1521</v>
      </c>
      <c r="W20" s="1">
        <v>740.0</v>
      </c>
      <c r="X20" s="1">
        <v>781.0</v>
      </c>
    </row>
    <row r="21">
      <c r="B21" s="6" t="str">
        <f t="shared" ref="B21:C21" si="40">H21</f>
        <v>Palanpur</v>
      </c>
      <c r="C21" s="6" t="str">
        <f t="shared" si="40"/>
        <v>25–29</v>
      </c>
      <c r="D21" s="6">
        <f t="shared" ref="D21:F21" si="41">J21+P21+V21</f>
        <v>57685</v>
      </c>
      <c r="E21" s="6">
        <f t="shared" si="41"/>
        <v>30019</v>
      </c>
      <c r="F21" s="6">
        <f t="shared" si="41"/>
        <v>27666</v>
      </c>
      <c r="G21" s="6"/>
      <c r="H21" s="6" t="s">
        <v>33</v>
      </c>
      <c r="I21" s="6" t="s">
        <v>18</v>
      </c>
      <c r="J21" s="5">
        <f t="shared" si="5"/>
        <v>5087</v>
      </c>
      <c r="K21" s="7">
        <v>4710.0</v>
      </c>
      <c r="L21" s="7">
        <v>377.0</v>
      </c>
      <c r="M21" s="5"/>
      <c r="N21" s="8" t="s">
        <v>33</v>
      </c>
      <c r="O21" s="9" t="s">
        <v>19</v>
      </c>
      <c r="P21" s="5">
        <f t="shared" si="6"/>
        <v>49914</v>
      </c>
      <c r="Q21" s="8">
        <v>24087.0</v>
      </c>
      <c r="R21" s="8">
        <v>25827.0</v>
      </c>
      <c r="T21" s="1" t="s">
        <v>33</v>
      </c>
      <c r="U21" s="11" t="s">
        <v>19</v>
      </c>
      <c r="V21" s="5">
        <f t="shared" si="7"/>
        <v>2684</v>
      </c>
      <c r="W21" s="1">
        <v>1222.0</v>
      </c>
      <c r="X21" s="1">
        <v>1462.0</v>
      </c>
    </row>
    <row r="22">
      <c r="B22" s="6" t="str">
        <f t="shared" ref="B22:C22" si="42">H22</f>
        <v>Palanpur</v>
      </c>
      <c r="C22" s="6" t="str">
        <f t="shared" si="42"/>
        <v>30–34</v>
      </c>
      <c r="D22" s="6">
        <f t="shared" ref="D22:F22" si="43">J22+P22+V22</f>
        <v>58297</v>
      </c>
      <c r="E22" s="6">
        <f t="shared" si="43"/>
        <v>30927</v>
      </c>
      <c r="F22" s="6">
        <f t="shared" si="43"/>
        <v>27370</v>
      </c>
      <c r="G22" s="6"/>
      <c r="H22" s="6" t="s">
        <v>33</v>
      </c>
      <c r="I22" s="6" t="s">
        <v>20</v>
      </c>
      <c r="J22" s="5">
        <f t="shared" si="5"/>
        <v>2378</v>
      </c>
      <c r="K22" s="7">
        <v>2128.0</v>
      </c>
      <c r="L22" s="7">
        <v>250.0</v>
      </c>
      <c r="M22" s="5"/>
      <c r="N22" s="8" t="s">
        <v>33</v>
      </c>
      <c r="O22" s="9" t="s">
        <v>21</v>
      </c>
      <c r="P22" s="5">
        <f t="shared" si="6"/>
        <v>51133</v>
      </c>
      <c r="Q22" s="8">
        <v>27189.0</v>
      </c>
      <c r="R22" s="8">
        <v>23944.0</v>
      </c>
      <c r="T22" s="1" t="s">
        <v>33</v>
      </c>
      <c r="U22" s="11" t="s">
        <v>21</v>
      </c>
      <c r="V22" s="5">
        <f t="shared" si="7"/>
        <v>4786</v>
      </c>
      <c r="W22" s="1">
        <v>1610.0</v>
      </c>
      <c r="X22" s="1">
        <v>3176.0</v>
      </c>
    </row>
    <row r="23">
      <c r="B23" s="6" t="str">
        <f t="shared" ref="B23:C23" si="44">H23</f>
        <v>Palanpur</v>
      </c>
      <c r="C23" s="6" t="str">
        <f t="shared" si="44"/>
        <v>35–39</v>
      </c>
      <c r="D23" s="6">
        <f t="shared" ref="D23:F23" si="45">J23+P23+V23</f>
        <v>30302</v>
      </c>
      <c r="E23" s="6">
        <f t="shared" si="45"/>
        <v>15866</v>
      </c>
      <c r="F23" s="6">
        <f t="shared" si="45"/>
        <v>14436</v>
      </c>
      <c r="G23" s="6"/>
      <c r="H23" s="6" t="s">
        <v>33</v>
      </c>
      <c r="I23" s="6" t="s">
        <v>22</v>
      </c>
      <c r="J23" s="5">
        <f t="shared" si="5"/>
        <v>926</v>
      </c>
      <c r="K23" s="7">
        <v>786.0</v>
      </c>
      <c r="L23" s="7">
        <v>140.0</v>
      </c>
      <c r="M23" s="5"/>
      <c r="N23" s="8" t="s">
        <v>33</v>
      </c>
      <c r="O23" s="9" t="s">
        <v>23</v>
      </c>
      <c r="P23" s="5">
        <f t="shared" si="6"/>
        <v>25873</v>
      </c>
      <c r="Q23" s="8">
        <v>14048.0</v>
      </c>
      <c r="R23" s="8">
        <v>11825.0</v>
      </c>
      <c r="T23" s="1" t="s">
        <v>33</v>
      </c>
      <c r="U23" s="11" t="s">
        <v>23</v>
      </c>
      <c r="V23" s="5">
        <f t="shared" si="7"/>
        <v>3503</v>
      </c>
      <c r="W23" s="1">
        <v>1032.0</v>
      </c>
      <c r="X23" s="1">
        <v>2471.0</v>
      </c>
    </row>
    <row r="24">
      <c r="B24" s="6" t="str">
        <f t="shared" ref="B24:C24" si="46">H24</f>
        <v>Palanpur</v>
      </c>
      <c r="C24" s="6" t="str">
        <f t="shared" si="46"/>
        <v>40–44</v>
      </c>
      <c r="D24" s="6">
        <f t="shared" ref="D24:F24" si="47">J24+P24+V24</f>
        <v>40355</v>
      </c>
      <c r="E24" s="6">
        <f t="shared" si="47"/>
        <v>20342</v>
      </c>
      <c r="F24" s="6">
        <f t="shared" si="47"/>
        <v>20013</v>
      </c>
      <c r="G24" s="6"/>
      <c r="H24" s="6" t="s">
        <v>33</v>
      </c>
      <c r="I24" s="6" t="s">
        <v>24</v>
      </c>
      <c r="J24" s="5">
        <f t="shared" si="5"/>
        <v>969</v>
      </c>
      <c r="K24" s="7">
        <v>797.0</v>
      </c>
      <c r="L24" s="7">
        <v>172.0</v>
      </c>
      <c r="M24" s="5"/>
      <c r="N24" s="8" t="s">
        <v>33</v>
      </c>
      <c r="O24" s="9" t="s">
        <v>25</v>
      </c>
      <c r="P24" s="5">
        <f t="shared" si="6"/>
        <v>30660</v>
      </c>
      <c r="Q24" s="8">
        <v>17727.0</v>
      </c>
      <c r="R24" s="8">
        <v>12933.0</v>
      </c>
      <c r="T24" s="1" t="s">
        <v>33</v>
      </c>
      <c r="U24" s="11" t="s">
        <v>25</v>
      </c>
      <c r="V24" s="5">
        <f t="shared" si="7"/>
        <v>8726</v>
      </c>
      <c r="W24" s="1">
        <v>1818.0</v>
      </c>
      <c r="X24" s="1">
        <v>6908.0</v>
      </c>
    </row>
    <row r="25">
      <c r="B25" s="6" t="str">
        <f t="shared" ref="B25:C25" si="48">H25</f>
        <v>Palanpur</v>
      </c>
      <c r="C25" s="6" t="str">
        <f t="shared" si="48"/>
        <v>45–49</v>
      </c>
      <c r="D25" s="6">
        <f t="shared" ref="D25:F25" si="49">J25+P25+V25</f>
        <v>15980</v>
      </c>
      <c r="E25" s="6">
        <f t="shared" si="49"/>
        <v>8193</v>
      </c>
      <c r="F25" s="6">
        <f t="shared" si="49"/>
        <v>7787</v>
      </c>
      <c r="G25" s="6"/>
      <c r="H25" s="6" t="s">
        <v>33</v>
      </c>
      <c r="I25" s="6" t="s">
        <v>26</v>
      </c>
      <c r="J25" s="5">
        <f t="shared" si="5"/>
        <v>359</v>
      </c>
      <c r="K25" s="7">
        <v>300.0</v>
      </c>
      <c r="L25" s="7">
        <v>59.0</v>
      </c>
      <c r="M25" s="5"/>
      <c r="N25" s="8" t="s">
        <v>33</v>
      </c>
      <c r="O25" s="9" t="s">
        <v>27</v>
      </c>
      <c r="P25" s="5">
        <f t="shared" si="6"/>
        <v>12107</v>
      </c>
      <c r="Q25" s="8">
        <v>7018.0</v>
      </c>
      <c r="R25" s="8">
        <v>5089.0</v>
      </c>
      <c r="T25" s="1" t="s">
        <v>33</v>
      </c>
      <c r="U25" s="11" t="s">
        <v>27</v>
      </c>
      <c r="V25" s="5">
        <f t="shared" si="7"/>
        <v>3514</v>
      </c>
      <c r="W25" s="1">
        <v>875.0</v>
      </c>
      <c r="X25" s="1">
        <v>2639.0</v>
      </c>
    </row>
    <row r="26">
      <c r="B26" s="6" t="str">
        <f t="shared" ref="B26:C26" si="50">H26</f>
        <v>Palanpur</v>
      </c>
      <c r="C26" s="6" t="str">
        <f t="shared" si="50"/>
        <v>50–54</v>
      </c>
      <c r="D26" s="6">
        <f t="shared" ref="D26:F26" si="51">J26+P26+V26</f>
        <v>26267</v>
      </c>
      <c r="E26" s="6">
        <f t="shared" si="51"/>
        <v>14379</v>
      </c>
      <c r="F26" s="6">
        <f t="shared" si="51"/>
        <v>11888</v>
      </c>
      <c r="G26" s="6"/>
      <c r="H26" s="6" t="s">
        <v>33</v>
      </c>
      <c r="I26" s="6" t="s">
        <v>28</v>
      </c>
      <c r="J26" s="5">
        <f t="shared" si="5"/>
        <v>535</v>
      </c>
      <c r="K26" s="7">
        <v>461.0</v>
      </c>
      <c r="L26" s="7">
        <v>74.0</v>
      </c>
      <c r="M26" s="5"/>
      <c r="N26" s="8" t="s">
        <v>33</v>
      </c>
      <c r="O26" s="9" t="s">
        <v>29</v>
      </c>
      <c r="P26" s="5">
        <f t="shared" si="6"/>
        <v>17928</v>
      </c>
      <c r="Q26" s="8">
        <v>11763.0</v>
      </c>
      <c r="R26" s="8">
        <v>6165.0</v>
      </c>
      <c r="T26" s="1" t="s">
        <v>33</v>
      </c>
      <c r="U26" s="11" t="s">
        <v>29</v>
      </c>
      <c r="V26" s="5">
        <f t="shared" si="7"/>
        <v>7804</v>
      </c>
      <c r="W26" s="1">
        <v>2155.0</v>
      </c>
      <c r="X26" s="1">
        <v>5649.0</v>
      </c>
    </row>
    <row r="27">
      <c r="B27" s="6" t="str">
        <f t="shared" ref="B27:C27" si="52">H27</f>
        <v>Palanpur</v>
      </c>
      <c r="C27" s="6" t="str">
        <f t="shared" si="52"/>
        <v>55–59</v>
      </c>
      <c r="D27" s="6">
        <f t="shared" ref="D27:F27" si="53">J27+P27+V27</f>
        <v>7882</v>
      </c>
      <c r="E27" s="6">
        <f t="shared" si="53"/>
        <v>4009</v>
      </c>
      <c r="F27" s="6">
        <f t="shared" si="53"/>
        <v>3873</v>
      </c>
      <c r="G27" s="6"/>
      <c r="H27" s="6" t="s">
        <v>33</v>
      </c>
      <c r="I27" s="6" t="s">
        <v>30</v>
      </c>
      <c r="J27" s="5">
        <f t="shared" si="5"/>
        <v>145</v>
      </c>
      <c r="K27" s="7">
        <v>124.0</v>
      </c>
      <c r="L27" s="7">
        <v>21.0</v>
      </c>
      <c r="M27" s="5"/>
      <c r="N27" s="8" t="s">
        <v>33</v>
      </c>
      <c r="O27" s="9" t="s">
        <v>31</v>
      </c>
      <c r="P27" s="5">
        <f t="shared" si="6"/>
        <v>4985</v>
      </c>
      <c r="Q27" s="8">
        <v>3116.0</v>
      </c>
      <c r="R27" s="8">
        <v>1869.0</v>
      </c>
      <c r="T27" s="1" t="s">
        <v>33</v>
      </c>
      <c r="U27" s="11" t="s">
        <v>31</v>
      </c>
      <c r="V27" s="5">
        <f t="shared" si="7"/>
        <v>2752</v>
      </c>
      <c r="W27" s="1">
        <v>769.0</v>
      </c>
      <c r="X27" s="1">
        <v>1983.0</v>
      </c>
    </row>
    <row r="28">
      <c r="B28" s="6" t="str">
        <f t="shared" ref="B28:C28" si="54">H28</f>
        <v>Palanpur</v>
      </c>
      <c r="C28" s="6" t="str">
        <f t="shared" si="54"/>
        <v>60 and over</v>
      </c>
      <c r="D28" s="6">
        <f t="shared" ref="D28:F28" si="55">J28+P28+V28</f>
        <v>33800</v>
      </c>
      <c r="E28" s="6">
        <f t="shared" si="55"/>
        <v>17051</v>
      </c>
      <c r="F28" s="6">
        <f t="shared" si="55"/>
        <v>16749</v>
      </c>
      <c r="G28" s="6"/>
      <c r="H28" s="6" t="s">
        <v>33</v>
      </c>
      <c r="I28" s="6" t="s">
        <v>32</v>
      </c>
      <c r="J28" s="5">
        <f t="shared" si="5"/>
        <v>469</v>
      </c>
      <c r="K28" s="7">
        <v>385.0</v>
      </c>
      <c r="L28" s="7">
        <v>84.0</v>
      </c>
      <c r="M28" s="5"/>
      <c r="N28" s="8" t="s">
        <v>33</v>
      </c>
      <c r="O28" s="6" t="s">
        <v>32</v>
      </c>
      <c r="P28" s="5">
        <f t="shared" si="6"/>
        <v>11679</v>
      </c>
      <c r="Q28" s="8">
        <v>8894.0</v>
      </c>
      <c r="R28" s="8">
        <v>2785.0</v>
      </c>
      <c r="T28" s="1" t="s">
        <v>33</v>
      </c>
      <c r="U28" s="6" t="s">
        <v>32</v>
      </c>
      <c r="V28" s="5">
        <f t="shared" si="7"/>
        <v>21652</v>
      </c>
      <c r="W28" s="1">
        <v>7772.0</v>
      </c>
      <c r="X28" s="1">
        <v>13880.0</v>
      </c>
    </row>
    <row r="29">
      <c r="B29" s="6" t="str">
        <f t="shared" ref="B29:C29" si="56">H29</f>
        <v>Mahi Kantha</v>
      </c>
      <c r="C29" s="6" t="str">
        <f t="shared" si="56"/>
        <v>0–4</v>
      </c>
      <c r="D29" s="6">
        <f t="shared" ref="D29:F29" si="57">J29+P29+V29</f>
        <v>81756</v>
      </c>
      <c r="E29" s="6">
        <f t="shared" si="57"/>
        <v>39151</v>
      </c>
      <c r="F29" s="6">
        <f t="shared" si="57"/>
        <v>42605</v>
      </c>
      <c r="G29" s="6"/>
      <c r="H29" s="6" t="s">
        <v>34</v>
      </c>
      <c r="I29" s="6" t="s">
        <v>10</v>
      </c>
      <c r="J29" s="5">
        <f t="shared" si="5"/>
        <v>76677</v>
      </c>
      <c r="K29" s="7">
        <v>37629.0</v>
      </c>
      <c r="L29" s="7">
        <v>39048.0</v>
      </c>
      <c r="M29" s="5"/>
      <c r="N29" s="8" t="s">
        <v>34</v>
      </c>
      <c r="O29" s="9" t="s">
        <v>11</v>
      </c>
      <c r="P29" s="5">
        <f t="shared" si="6"/>
        <v>4944</v>
      </c>
      <c r="Q29" s="10">
        <v>1450.0</v>
      </c>
      <c r="R29" s="10">
        <v>3494.0</v>
      </c>
      <c r="T29" s="1" t="s">
        <v>34</v>
      </c>
      <c r="U29" s="11" t="s">
        <v>11</v>
      </c>
      <c r="V29" s="5">
        <f t="shared" si="7"/>
        <v>135</v>
      </c>
      <c r="W29" s="1">
        <v>72.0</v>
      </c>
      <c r="X29" s="1">
        <v>63.0</v>
      </c>
    </row>
    <row r="30">
      <c r="B30" s="6" t="str">
        <f t="shared" ref="B30:C30" si="58">H30</f>
        <v>Mahi Kantha</v>
      </c>
      <c r="C30" s="6" t="str">
        <f t="shared" si="58"/>
        <v>5–9</v>
      </c>
      <c r="D30" s="6">
        <f t="shared" ref="D30:F30" si="59">J30+P30+V30</f>
        <v>89371</v>
      </c>
      <c r="E30" s="6">
        <f t="shared" si="59"/>
        <v>46684</v>
      </c>
      <c r="F30" s="6">
        <f t="shared" si="59"/>
        <v>42687</v>
      </c>
      <c r="G30" s="6"/>
      <c r="H30" s="6" t="s">
        <v>34</v>
      </c>
      <c r="I30" s="6" t="s">
        <v>12</v>
      </c>
      <c r="J30" s="5">
        <f t="shared" si="5"/>
        <v>77174</v>
      </c>
      <c r="K30" s="7">
        <v>42390.0</v>
      </c>
      <c r="L30" s="7">
        <v>34784.0</v>
      </c>
      <c r="M30" s="5"/>
      <c r="N30" s="8" t="s">
        <v>34</v>
      </c>
      <c r="O30" s="12">
        <v>45786.0</v>
      </c>
      <c r="P30" s="5">
        <f t="shared" si="6"/>
        <v>11888</v>
      </c>
      <c r="Q30" s="10">
        <v>4132.0</v>
      </c>
      <c r="R30" s="10">
        <v>7756.0</v>
      </c>
      <c r="T30" s="1" t="s">
        <v>34</v>
      </c>
      <c r="U30" s="13">
        <v>45786.0</v>
      </c>
      <c r="V30" s="5">
        <f t="shared" si="7"/>
        <v>309</v>
      </c>
      <c r="W30" s="1">
        <v>162.0</v>
      </c>
      <c r="X30" s="1">
        <v>147.0</v>
      </c>
    </row>
    <row r="31">
      <c r="B31" s="6" t="str">
        <f t="shared" ref="B31:C31" si="60">H31</f>
        <v>Mahi Kantha</v>
      </c>
      <c r="C31" s="6" t="str">
        <f t="shared" si="60"/>
        <v>10–14</v>
      </c>
      <c r="D31" s="6">
        <f t="shared" ref="D31:F31" si="61">J31+P31+V31</f>
        <v>65267</v>
      </c>
      <c r="E31" s="6">
        <f t="shared" si="61"/>
        <v>36651</v>
      </c>
      <c r="F31" s="6">
        <f t="shared" si="61"/>
        <v>28616</v>
      </c>
      <c r="G31" s="6"/>
      <c r="H31" s="6" t="s">
        <v>34</v>
      </c>
      <c r="I31" s="6" t="s">
        <v>13</v>
      </c>
      <c r="J31" s="5">
        <f t="shared" si="5"/>
        <v>44764</v>
      </c>
      <c r="K31" s="7">
        <v>29248.0</v>
      </c>
      <c r="L31" s="7">
        <v>15516.0</v>
      </c>
      <c r="M31" s="5"/>
      <c r="N31" s="8" t="s">
        <v>34</v>
      </c>
      <c r="O31" s="12">
        <v>45944.0</v>
      </c>
      <c r="P31" s="5">
        <f t="shared" si="6"/>
        <v>19956</v>
      </c>
      <c r="Q31" s="10">
        <v>7205.0</v>
      </c>
      <c r="R31" s="10">
        <v>12751.0</v>
      </c>
      <c r="T31" s="1" t="s">
        <v>34</v>
      </c>
      <c r="U31" s="13">
        <v>45944.0</v>
      </c>
      <c r="V31" s="5">
        <f t="shared" si="7"/>
        <v>547</v>
      </c>
      <c r="W31" s="1">
        <v>198.0</v>
      </c>
      <c r="X31" s="1">
        <v>349.0</v>
      </c>
    </row>
    <row r="32">
      <c r="B32" s="6" t="str">
        <f t="shared" ref="B32:C32" si="62">H32</f>
        <v>Mahi Kantha</v>
      </c>
      <c r="C32" s="6" t="str">
        <f t="shared" si="62"/>
        <v>15–19</v>
      </c>
      <c r="D32" s="6">
        <f t="shared" ref="D32:F32" si="63">J32+P32+V32</f>
        <v>49128</v>
      </c>
      <c r="E32" s="6">
        <f t="shared" si="63"/>
        <v>27794</v>
      </c>
      <c r="F32" s="6">
        <f t="shared" si="63"/>
        <v>21334</v>
      </c>
      <c r="G32" s="6"/>
      <c r="H32" s="6" t="s">
        <v>34</v>
      </c>
      <c r="I32" s="6" t="s">
        <v>14</v>
      </c>
      <c r="J32" s="5">
        <f t="shared" si="5"/>
        <v>19659</v>
      </c>
      <c r="K32" s="7">
        <v>16701.0</v>
      </c>
      <c r="L32" s="7">
        <v>2958.0</v>
      </c>
      <c r="M32" s="5"/>
      <c r="N32" s="8" t="s">
        <v>34</v>
      </c>
      <c r="O32" s="9" t="s">
        <v>15</v>
      </c>
      <c r="P32" s="5">
        <f t="shared" si="6"/>
        <v>28592</v>
      </c>
      <c r="Q32" s="10">
        <v>10776.0</v>
      </c>
      <c r="R32" s="10">
        <v>17816.0</v>
      </c>
      <c r="T32" s="1" t="s">
        <v>34</v>
      </c>
      <c r="U32" s="11" t="s">
        <v>15</v>
      </c>
      <c r="V32" s="5">
        <f t="shared" si="7"/>
        <v>877</v>
      </c>
      <c r="W32" s="1">
        <v>317.0</v>
      </c>
      <c r="X32" s="1">
        <v>560.0</v>
      </c>
    </row>
    <row r="33">
      <c r="B33" s="6" t="str">
        <f t="shared" ref="B33:C33" si="64">H33</f>
        <v>Mahi Kantha</v>
      </c>
      <c r="C33" s="6" t="str">
        <f t="shared" si="64"/>
        <v>20–24</v>
      </c>
      <c r="D33" s="6">
        <f t="shared" ref="D33:F33" si="65">J33+P33+V33</f>
        <v>60271</v>
      </c>
      <c r="E33" s="6">
        <f t="shared" si="65"/>
        <v>25576</v>
      </c>
      <c r="F33" s="6">
        <f t="shared" si="65"/>
        <v>34695</v>
      </c>
      <c r="G33" s="6"/>
      <c r="H33" s="6" t="s">
        <v>34</v>
      </c>
      <c r="I33" s="6" t="s">
        <v>16</v>
      </c>
      <c r="J33" s="5">
        <f t="shared" si="5"/>
        <v>17044</v>
      </c>
      <c r="K33" s="7">
        <v>8370.0</v>
      </c>
      <c r="L33" s="7">
        <v>8674.0</v>
      </c>
      <c r="M33" s="5"/>
      <c r="N33" s="8" t="s">
        <v>34</v>
      </c>
      <c r="O33" s="9" t="s">
        <v>17</v>
      </c>
      <c r="P33" s="5">
        <f t="shared" si="6"/>
        <v>41508</v>
      </c>
      <c r="Q33" s="10">
        <v>16624.0</v>
      </c>
      <c r="R33" s="10">
        <v>24884.0</v>
      </c>
      <c r="T33" s="1" t="s">
        <v>34</v>
      </c>
      <c r="U33" s="11" t="s">
        <v>17</v>
      </c>
      <c r="V33" s="5">
        <f t="shared" si="7"/>
        <v>1719</v>
      </c>
      <c r="W33" s="1">
        <v>582.0</v>
      </c>
      <c r="X33" s="1">
        <v>1137.0</v>
      </c>
    </row>
    <row r="34">
      <c r="B34" s="6" t="str">
        <f t="shared" ref="B34:C34" si="66">H34</f>
        <v>Mahi Kantha</v>
      </c>
      <c r="C34" s="6" t="str">
        <f t="shared" si="66"/>
        <v>25–29</v>
      </c>
      <c r="D34" s="6">
        <f t="shared" ref="D34:F34" si="67">J34+P34+V34</f>
        <v>50025</v>
      </c>
      <c r="E34" s="6">
        <f t="shared" si="67"/>
        <v>25785</v>
      </c>
      <c r="F34" s="6">
        <f t="shared" si="67"/>
        <v>24240</v>
      </c>
      <c r="G34" s="6"/>
      <c r="H34" s="6" t="s">
        <v>34</v>
      </c>
      <c r="I34" s="6" t="s">
        <v>18</v>
      </c>
      <c r="J34" s="5">
        <f t="shared" si="5"/>
        <v>4304</v>
      </c>
      <c r="K34" s="7">
        <v>3927.0</v>
      </c>
      <c r="L34" s="7">
        <v>377.0</v>
      </c>
      <c r="M34" s="5"/>
      <c r="N34" s="8" t="s">
        <v>34</v>
      </c>
      <c r="O34" s="9" t="s">
        <v>19</v>
      </c>
      <c r="P34" s="5">
        <f t="shared" si="6"/>
        <v>43457</v>
      </c>
      <c r="Q34" s="8">
        <v>20970.0</v>
      </c>
      <c r="R34" s="8">
        <v>22487.0</v>
      </c>
      <c r="T34" s="1" t="s">
        <v>34</v>
      </c>
      <c r="U34" s="11" t="s">
        <v>19</v>
      </c>
      <c r="V34" s="5">
        <f t="shared" si="7"/>
        <v>2264</v>
      </c>
      <c r="W34" s="1">
        <v>888.0</v>
      </c>
      <c r="X34" s="1">
        <v>1376.0</v>
      </c>
    </row>
    <row r="35">
      <c r="B35" s="6" t="str">
        <f t="shared" ref="B35:C35" si="68">H35</f>
        <v>Mahi Kantha</v>
      </c>
      <c r="C35" s="6" t="str">
        <f t="shared" si="68"/>
        <v>30–34</v>
      </c>
      <c r="D35" s="6">
        <f t="shared" ref="D35:F35" si="69">J35+P35+V35</f>
        <v>47082</v>
      </c>
      <c r="E35" s="6">
        <f t="shared" si="69"/>
        <v>24141</v>
      </c>
      <c r="F35" s="6">
        <f t="shared" si="69"/>
        <v>22941</v>
      </c>
      <c r="G35" s="6"/>
      <c r="H35" s="6" t="s">
        <v>34</v>
      </c>
      <c r="I35" s="6" t="s">
        <v>20</v>
      </c>
      <c r="J35" s="5">
        <f t="shared" si="5"/>
        <v>2192</v>
      </c>
      <c r="K35" s="7">
        <v>1901.0</v>
      </c>
      <c r="L35" s="7">
        <v>291.0</v>
      </c>
      <c r="M35" s="5"/>
      <c r="N35" s="8" t="s">
        <v>34</v>
      </c>
      <c r="O35" s="9" t="s">
        <v>21</v>
      </c>
      <c r="P35" s="5">
        <f t="shared" si="6"/>
        <v>39550</v>
      </c>
      <c r="Q35" s="8">
        <v>21091.0</v>
      </c>
      <c r="R35" s="8">
        <v>18459.0</v>
      </c>
      <c r="T35" s="1" t="s">
        <v>34</v>
      </c>
      <c r="U35" s="11" t="s">
        <v>21</v>
      </c>
      <c r="V35" s="5">
        <f t="shared" si="7"/>
        <v>5340</v>
      </c>
      <c r="W35" s="1">
        <v>1149.0</v>
      </c>
      <c r="X35" s="1">
        <v>4191.0</v>
      </c>
    </row>
    <row r="36">
      <c r="B36" s="6" t="str">
        <f t="shared" ref="B36:C36" si="70">H36</f>
        <v>Mahi Kantha</v>
      </c>
      <c r="C36" s="6" t="str">
        <f t="shared" si="70"/>
        <v>35–39</v>
      </c>
      <c r="D36" s="6">
        <f t="shared" ref="D36:F36" si="71">J36+P36+V36</f>
        <v>30680</v>
      </c>
      <c r="E36" s="6">
        <f t="shared" si="71"/>
        <v>15555</v>
      </c>
      <c r="F36" s="6">
        <f t="shared" si="71"/>
        <v>15125</v>
      </c>
      <c r="G36" s="6"/>
      <c r="H36" s="6" t="s">
        <v>34</v>
      </c>
      <c r="I36" s="6" t="s">
        <v>22</v>
      </c>
      <c r="J36" s="5">
        <f t="shared" si="5"/>
        <v>993</v>
      </c>
      <c r="K36" s="7">
        <v>836.0</v>
      </c>
      <c r="L36" s="7">
        <v>157.0</v>
      </c>
      <c r="M36" s="5"/>
      <c r="N36" s="8" t="s">
        <v>34</v>
      </c>
      <c r="O36" s="9" t="s">
        <v>23</v>
      </c>
      <c r="P36" s="5">
        <f t="shared" si="6"/>
        <v>24813</v>
      </c>
      <c r="Q36" s="8">
        <v>13769.0</v>
      </c>
      <c r="R36" s="8">
        <v>11044.0</v>
      </c>
      <c r="T36" s="1" t="s">
        <v>34</v>
      </c>
      <c r="U36" s="11" t="s">
        <v>23</v>
      </c>
      <c r="V36" s="5">
        <f t="shared" si="7"/>
        <v>4874</v>
      </c>
      <c r="W36" s="1">
        <v>950.0</v>
      </c>
      <c r="X36" s="1">
        <v>3924.0</v>
      </c>
    </row>
    <row r="37">
      <c r="B37" s="6" t="str">
        <f t="shared" ref="B37:C37" si="72">H37</f>
        <v>Mahi Kantha</v>
      </c>
      <c r="C37" s="6" t="str">
        <f t="shared" si="72"/>
        <v>40–44</v>
      </c>
      <c r="D37" s="6">
        <f t="shared" ref="D37:F37" si="73">J37+P37+V37</f>
        <v>33528</v>
      </c>
      <c r="E37" s="6">
        <f t="shared" si="73"/>
        <v>17164</v>
      </c>
      <c r="F37" s="6">
        <f t="shared" si="73"/>
        <v>16364</v>
      </c>
      <c r="G37" s="6"/>
      <c r="H37" s="6" t="s">
        <v>34</v>
      </c>
      <c r="I37" s="6" t="s">
        <v>24</v>
      </c>
      <c r="J37" s="5">
        <f t="shared" si="5"/>
        <v>957</v>
      </c>
      <c r="K37" s="7">
        <v>779.0</v>
      </c>
      <c r="L37" s="7">
        <v>178.0</v>
      </c>
      <c r="M37" s="5"/>
      <c r="N37" s="8" t="s">
        <v>34</v>
      </c>
      <c r="O37" s="9" t="s">
        <v>25</v>
      </c>
      <c r="P37" s="5">
        <f t="shared" si="6"/>
        <v>24115</v>
      </c>
      <c r="Q37" s="8">
        <v>14688.0</v>
      </c>
      <c r="R37" s="8">
        <v>9427.0</v>
      </c>
      <c r="T37" s="1" t="s">
        <v>34</v>
      </c>
      <c r="U37" s="11" t="s">
        <v>25</v>
      </c>
      <c r="V37" s="5">
        <f t="shared" si="7"/>
        <v>8456</v>
      </c>
      <c r="W37" s="1">
        <v>1697.0</v>
      </c>
      <c r="X37" s="1">
        <v>6759.0</v>
      </c>
    </row>
    <row r="38">
      <c r="B38" s="6" t="str">
        <f t="shared" ref="B38:C38" si="74">H38</f>
        <v>Mahi Kantha</v>
      </c>
      <c r="C38" s="6" t="str">
        <f t="shared" si="74"/>
        <v>45–49</v>
      </c>
      <c r="D38" s="6">
        <f t="shared" ref="D38:F38" si="75">J38+P38+V38</f>
        <v>15255</v>
      </c>
      <c r="E38" s="6">
        <f t="shared" si="75"/>
        <v>7503</v>
      </c>
      <c r="F38" s="6">
        <f t="shared" si="75"/>
        <v>7752</v>
      </c>
      <c r="G38" s="6"/>
      <c r="H38" s="6" t="s">
        <v>34</v>
      </c>
      <c r="I38" s="6" t="s">
        <v>26</v>
      </c>
      <c r="J38" s="5">
        <f t="shared" si="5"/>
        <v>353</v>
      </c>
      <c r="K38" s="7">
        <v>301.0</v>
      </c>
      <c r="L38" s="7">
        <v>52.0</v>
      </c>
      <c r="M38" s="5"/>
      <c r="N38" s="8" t="s">
        <v>34</v>
      </c>
      <c r="O38" s="9" t="s">
        <v>27</v>
      </c>
      <c r="P38" s="5">
        <f t="shared" si="6"/>
        <v>10137</v>
      </c>
      <c r="Q38" s="8">
        <v>6291.0</v>
      </c>
      <c r="R38" s="8">
        <v>3846.0</v>
      </c>
      <c r="T38" s="1" t="s">
        <v>34</v>
      </c>
      <c r="U38" s="11" t="s">
        <v>27</v>
      </c>
      <c r="V38" s="5">
        <f t="shared" si="7"/>
        <v>4765</v>
      </c>
      <c r="W38" s="1">
        <v>911.0</v>
      </c>
      <c r="X38" s="1">
        <v>3854.0</v>
      </c>
    </row>
    <row r="39">
      <c r="B39" s="6" t="str">
        <f t="shared" ref="B39:C39" si="76">H39</f>
        <v>Mahi Kantha</v>
      </c>
      <c r="C39" s="6" t="str">
        <f t="shared" si="76"/>
        <v>50–54</v>
      </c>
      <c r="D39" s="6">
        <f t="shared" ref="D39:F39" si="77">J39+P39+V39</f>
        <v>25777</v>
      </c>
      <c r="E39" s="6">
        <f t="shared" si="77"/>
        <v>10709</v>
      </c>
      <c r="F39" s="6">
        <f t="shared" si="77"/>
        <v>15068</v>
      </c>
      <c r="G39" s="6"/>
      <c r="H39" s="6" t="s">
        <v>34</v>
      </c>
      <c r="I39" s="6" t="s">
        <v>28</v>
      </c>
      <c r="J39" s="5">
        <f t="shared" si="5"/>
        <v>519</v>
      </c>
      <c r="K39" s="7">
        <v>455.0</v>
      </c>
      <c r="L39" s="7">
        <v>64.0</v>
      </c>
      <c r="M39" s="5"/>
      <c r="N39" s="8" t="s">
        <v>34</v>
      </c>
      <c r="O39" s="9" t="s">
        <v>29</v>
      </c>
      <c r="P39" s="5">
        <f t="shared" si="6"/>
        <v>13713</v>
      </c>
      <c r="Q39" s="8">
        <v>8347.0</v>
      </c>
      <c r="R39" s="8">
        <v>5366.0</v>
      </c>
      <c r="T39" s="1" t="s">
        <v>34</v>
      </c>
      <c r="U39" s="11" t="s">
        <v>29</v>
      </c>
      <c r="V39" s="5">
        <f t="shared" si="7"/>
        <v>11545</v>
      </c>
      <c r="W39" s="1">
        <v>1907.0</v>
      </c>
      <c r="X39" s="1">
        <v>9638.0</v>
      </c>
    </row>
    <row r="40">
      <c r="B40" s="6" t="str">
        <f t="shared" ref="B40:C40" si="78">H40</f>
        <v>Mahi Kantha</v>
      </c>
      <c r="C40" s="6" t="str">
        <f t="shared" si="78"/>
        <v>55–59</v>
      </c>
      <c r="D40" s="6">
        <f t="shared" ref="D40:F40" si="79">J40+P40+V40</f>
        <v>5666</v>
      </c>
      <c r="E40" s="6">
        <f t="shared" si="79"/>
        <v>2690</v>
      </c>
      <c r="F40" s="6">
        <f t="shared" si="79"/>
        <v>2976</v>
      </c>
      <c r="G40" s="6"/>
      <c r="H40" s="6" t="s">
        <v>34</v>
      </c>
      <c r="I40" s="6" t="s">
        <v>30</v>
      </c>
      <c r="J40" s="5">
        <f t="shared" si="5"/>
        <v>115</v>
      </c>
      <c r="K40" s="7">
        <v>105.0</v>
      </c>
      <c r="L40" s="7">
        <v>10.0</v>
      </c>
      <c r="M40" s="5"/>
      <c r="N40" s="8" t="s">
        <v>34</v>
      </c>
      <c r="O40" s="9" t="s">
        <v>31</v>
      </c>
      <c r="P40" s="5">
        <f t="shared" si="6"/>
        <v>2890</v>
      </c>
      <c r="Q40" s="8">
        <v>1999.0</v>
      </c>
      <c r="R40" s="8">
        <v>891.0</v>
      </c>
      <c r="T40" s="1" t="s">
        <v>34</v>
      </c>
      <c r="U40" s="11" t="s">
        <v>31</v>
      </c>
      <c r="V40" s="5">
        <f t="shared" si="7"/>
        <v>2661</v>
      </c>
      <c r="W40" s="1">
        <v>586.0</v>
      </c>
      <c r="X40" s="1">
        <v>2075.0</v>
      </c>
    </row>
    <row r="41">
      <c r="B41" s="6" t="str">
        <f t="shared" ref="B41:C41" si="80">H41</f>
        <v>Mahi Kantha</v>
      </c>
      <c r="C41" s="6" t="str">
        <f t="shared" si="80"/>
        <v>60 and over</v>
      </c>
      <c r="D41" s="6">
        <f t="shared" ref="D41:F41" si="81">J41+P41+V41</f>
        <v>16819</v>
      </c>
      <c r="E41" s="6">
        <f t="shared" si="81"/>
        <v>6625</v>
      </c>
      <c r="F41" s="6">
        <f t="shared" si="81"/>
        <v>10194</v>
      </c>
      <c r="G41" s="6"/>
      <c r="H41" s="6" t="s">
        <v>34</v>
      </c>
      <c r="I41" s="6" t="s">
        <v>32</v>
      </c>
      <c r="J41" s="5">
        <f t="shared" si="5"/>
        <v>330</v>
      </c>
      <c r="K41" s="7">
        <v>296.0</v>
      </c>
      <c r="L41" s="7">
        <v>34.0</v>
      </c>
      <c r="M41" s="5"/>
      <c r="N41" s="8" t="s">
        <v>34</v>
      </c>
      <c r="O41" s="6" t="s">
        <v>32</v>
      </c>
      <c r="P41" s="5">
        <f t="shared" si="6"/>
        <v>5335</v>
      </c>
      <c r="Q41" s="8">
        <v>4246.0</v>
      </c>
      <c r="R41" s="8">
        <v>1089.0</v>
      </c>
      <c r="T41" s="1" t="s">
        <v>34</v>
      </c>
      <c r="U41" s="6" t="s">
        <v>32</v>
      </c>
      <c r="V41" s="5">
        <f t="shared" si="7"/>
        <v>11154</v>
      </c>
      <c r="W41" s="1">
        <v>2083.0</v>
      </c>
      <c r="X41" s="1">
        <v>9071.0</v>
      </c>
    </row>
    <row r="42">
      <c r="B42" s="6" t="str">
        <f t="shared" ref="B42:C42" si="82">H42</f>
        <v>Kathiawar</v>
      </c>
      <c r="C42" s="6" t="str">
        <f t="shared" si="82"/>
        <v>0–4</v>
      </c>
      <c r="D42" s="6">
        <f t="shared" ref="D42:F42" si="83">J42+P42+V42</f>
        <v>397293</v>
      </c>
      <c r="E42" s="6">
        <f t="shared" si="83"/>
        <v>194595</v>
      </c>
      <c r="F42" s="6">
        <f t="shared" si="83"/>
        <v>202698</v>
      </c>
      <c r="G42" s="6"/>
      <c r="H42" s="6" t="s">
        <v>35</v>
      </c>
      <c r="I42" s="6" t="s">
        <v>10</v>
      </c>
      <c r="J42" s="5">
        <f t="shared" si="5"/>
        <v>379561</v>
      </c>
      <c r="K42" s="7">
        <v>187766.0</v>
      </c>
      <c r="L42" s="7">
        <v>191795.0</v>
      </c>
      <c r="M42" s="5"/>
      <c r="N42" s="8" t="s">
        <v>35</v>
      </c>
      <c r="O42" s="9" t="s">
        <v>11</v>
      </c>
      <c r="P42" s="5">
        <f t="shared" si="6"/>
        <v>17320</v>
      </c>
      <c r="Q42" s="10">
        <v>6564.0</v>
      </c>
      <c r="R42" s="10">
        <v>10756.0</v>
      </c>
      <c r="T42" s="1" t="s">
        <v>35</v>
      </c>
      <c r="U42" s="11" t="s">
        <v>11</v>
      </c>
      <c r="V42" s="5">
        <f t="shared" si="7"/>
        <v>412</v>
      </c>
      <c r="W42" s="1">
        <v>265.0</v>
      </c>
      <c r="X42" s="1">
        <v>147.0</v>
      </c>
    </row>
    <row r="43">
      <c r="B43" s="6" t="str">
        <f t="shared" ref="B43:C43" si="84">H43</f>
        <v>Kathiawar</v>
      </c>
      <c r="C43" s="6" t="str">
        <f t="shared" si="84"/>
        <v>5–9</v>
      </c>
      <c r="D43" s="6">
        <f t="shared" ref="D43:F43" si="85">J43+P43+V43</f>
        <v>388620</v>
      </c>
      <c r="E43" s="6">
        <f t="shared" si="85"/>
        <v>200776</v>
      </c>
      <c r="F43" s="6">
        <f t="shared" si="85"/>
        <v>187844</v>
      </c>
      <c r="G43" s="6"/>
      <c r="H43" s="6" t="s">
        <v>35</v>
      </c>
      <c r="I43" s="6" t="s">
        <v>12</v>
      </c>
      <c r="J43" s="5">
        <f t="shared" si="5"/>
        <v>347012</v>
      </c>
      <c r="K43" s="7">
        <v>183506.0</v>
      </c>
      <c r="L43" s="7">
        <v>163506.0</v>
      </c>
      <c r="M43" s="5"/>
      <c r="N43" s="8" t="s">
        <v>35</v>
      </c>
      <c r="O43" s="12">
        <v>45786.0</v>
      </c>
      <c r="P43" s="5">
        <f t="shared" si="6"/>
        <v>40922</v>
      </c>
      <c r="Q43" s="10">
        <v>16848.0</v>
      </c>
      <c r="R43" s="10">
        <v>24074.0</v>
      </c>
      <c r="T43" s="1" t="s">
        <v>35</v>
      </c>
      <c r="U43" s="13">
        <v>45786.0</v>
      </c>
      <c r="V43" s="5">
        <f t="shared" si="7"/>
        <v>686</v>
      </c>
      <c r="W43" s="1">
        <v>422.0</v>
      </c>
      <c r="X43" s="1">
        <v>264.0</v>
      </c>
    </row>
    <row r="44">
      <c r="B44" s="6" t="str">
        <f t="shared" ref="B44:C44" si="86">H44</f>
        <v>Kathiawar</v>
      </c>
      <c r="C44" s="6" t="str">
        <f t="shared" si="86"/>
        <v>10–14</v>
      </c>
      <c r="D44" s="6">
        <f t="shared" ref="D44:F44" si="87">J44+P44+V44</f>
        <v>265813</v>
      </c>
      <c r="E44" s="6">
        <f t="shared" si="87"/>
        <v>147489</v>
      </c>
      <c r="F44" s="6">
        <f t="shared" si="87"/>
        <v>118324</v>
      </c>
      <c r="G44" s="6"/>
      <c r="H44" s="6" t="s">
        <v>35</v>
      </c>
      <c r="I44" s="6" t="s">
        <v>13</v>
      </c>
      <c r="J44" s="5">
        <f t="shared" si="5"/>
        <v>194060</v>
      </c>
      <c r="K44" s="7">
        <v>118408.0</v>
      </c>
      <c r="L44" s="7">
        <v>75652.0</v>
      </c>
      <c r="M44" s="5"/>
      <c r="N44" s="8" t="s">
        <v>35</v>
      </c>
      <c r="O44" s="12">
        <v>45944.0</v>
      </c>
      <c r="P44" s="5">
        <f t="shared" si="6"/>
        <v>70680</v>
      </c>
      <c r="Q44" s="10">
        <v>28502.0</v>
      </c>
      <c r="R44" s="10">
        <v>42178.0</v>
      </c>
      <c r="T44" s="1" t="s">
        <v>35</v>
      </c>
      <c r="U44" s="13">
        <v>45944.0</v>
      </c>
      <c r="V44" s="5">
        <f t="shared" si="7"/>
        <v>1073</v>
      </c>
      <c r="W44" s="1">
        <v>579.0</v>
      </c>
      <c r="X44" s="1">
        <v>494.0</v>
      </c>
    </row>
    <row r="45">
      <c r="B45" s="6" t="str">
        <f t="shared" ref="B45:C45" si="88">H45</f>
        <v>Kathiawar</v>
      </c>
      <c r="C45" s="6" t="str">
        <f t="shared" si="88"/>
        <v>15–19</v>
      </c>
      <c r="D45" s="6">
        <f t="shared" ref="D45:F45" si="89">J45+P45+V45</f>
        <v>221021</v>
      </c>
      <c r="E45" s="6">
        <f t="shared" si="89"/>
        <v>121184</v>
      </c>
      <c r="F45" s="6">
        <f t="shared" si="89"/>
        <v>99837</v>
      </c>
      <c r="G45" s="6"/>
      <c r="H45" s="6" t="s">
        <v>35</v>
      </c>
      <c r="I45" s="6" t="s">
        <v>14</v>
      </c>
      <c r="J45" s="5">
        <f t="shared" si="5"/>
        <v>84126</v>
      </c>
      <c r="K45" s="7">
        <v>69608.0</v>
      </c>
      <c r="L45" s="7">
        <v>14518.0</v>
      </c>
      <c r="M45" s="5"/>
      <c r="N45" s="8" t="s">
        <v>35</v>
      </c>
      <c r="O45" s="9" t="s">
        <v>15</v>
      </c>
      <c r="P45" s="5">
        <f t="shared" si="6"/>
        <v>134313</v>
      </c>
      <c r="Q45" s="10">
        <v>50409.0</v>
      </c>
      <c r="R45" s="10">
        <v>83904.0</v>
      </c>
      <c r="T45" s="1" t="s">
        <v>35</v>
      </c>
      <c r="U45" s="11" t="s">
        <v>15</v>
      </c>
      <c r="V45" s="5">
        <f t="shared" si="7"/>
        <v>2582</v>
      </c>
      <c r="W45" s="1">
        <v>1167.0</v>
      </c>
      <c r="X45" s="1">
        <v>1415.0</v>
      </c>
    </row>
    <row r="46">
      <c r="B46" s="6" t="str">
        <f t="shared" ref="B46:C46" si="90">H46</f>
        <v>Kathiawar</v>
      </c>
      <c r="C46" s="6" t="str">
        <f t="shared" si="90"/>
        <v>20–24</v>
      </c>
      <c r="D46" s="6">
        <f t="shared" ref="D46:F46" si="91">J46+P46+V46</f>
        <v>336969</v>
      </c>
      <c r="E46" s="6">
        <f t="shared" si="91"/>
        <v>142093</v>
      </c>
      <c r="F46" s="6">
        <f t="shared" si="91"/>
        <v>194876</v>
      </c>
      <c r="G46" s="6"/>
      <c r="H46" s="6" t="s">
        <v>35</v>
      </c>
      <c r="I46" s="6" t="s">
        <v>16</v>
      </c>
      <c r="J46" s="5">
        <f t="shared" si="5"/>
        <v>46184</v>
      </c>
      <c r="K46" s="7">
        <v>43026.0</v>
      </c>
      <c r="L46" s="7">
        <v>3158.0</v>
      </c>
      <c r="M46" s="5"/>
      <c r="N46" s="8" t="s">
        <v>35</v>
      </c>
      <c r="O46" s="9" t="s">
        <v>17</v>
      </c>
      <c r="P46" s="5">
        <f t="shared" si="6"/>
        <v>281272</v>
      </c>
      <c r="Q46" s="10">
        <v>95508.0</v>
      </c>
      <c r="R46" s="10">
        <v>185764.0</v>
      </c>
      <c r="T46" s="1" t="s">
        <v>35</v>
      </c>
      <c r="U46" s="11" t="s">
        <v>17</v>
      </c>
      <c r="V46" s="5">
        <f t="shared" si="7"/>
        <v>9513</v>
      </c>
      <c r="W46" s="1">
        <v>3559.0</v>
      </c>
      <c r="X46" s="1">
        <v>5954.0</v>
      </c>
    </row>
    <row r="47">
      <c r="B47" s="6" t="str">
        <f t="shared" ref="B47:C47" si="92">H47</f>
        <v>Kathiawar</v>
      </c>
      <c r="C47" s="6" t="str">
        <f t="shared" si="92"/>
        <v>25–29</v>
      </c>
      <c r="D47" s="6">
        <f t="shared" ref="D47:F47" si="93">J47+P47+V47</f>
        <v>263751</v>
      </c>
      <c r="E47" s="6">
        <f t="shared" si="93"/>
        <v>36375</v>
      </c>
      <c r="F47" s="6">
        <f t="shared" si="93"/>
        <v>227376</v>
      </c>
      <c r="G47" s="6"/>
      <c r="H47" s="6" t="s">
        <v>35</v>
      </c>
      <c r="I47" s="6" t="s">
        <v>18</v>
      </c>
      <c r="J47" s="5">
        <f t="shared" si="5"/>
        <v>21082</v>
      </c>
      <c r="K47" s="7">
        <v>19659.0</v>
      </c>
      <c r="L47" s="7">
        <v>1423.0</v>
      </c>
      <c r="M47" s="5"/>
      <c r="N47" s="8" t="s">
        <v>35</v>
      </c>
      <c r="O47" s="9" t="s">
        <v>19</v>
      </c>
      <c r="P47" s="5">
        <f t="shared" si="6"/>
        <v>230562</v>
      </c>
      <c r="Q47" s="8">
        <v>11486.0</v>
      </c>
      <c r="R47" s="8">
        <v>219076.0</v>
      </c>
      <c r="T47" s="1" t="s">
        <v>35</v>
      </c>
      <c r="U47" s="11" t="s">
        <v>19</v>
      </c>
      <c r="V47" s="5">
        <f t="shared" si="7"/>
        <v>12107</v>
      </c>
      <c r="W47" s="1">
        <v>5230.0</v>
      </c>
      <c r="X47" s="1">
        <v>6877.0</v>
      </c>
    </row>
    <row r="48">
      <c r="B48" s="6" t="str">
        <f t="shared" ref="B48:C48" si="94">H48</f>
        <v>Kathiawar</v>
      </c>
      <c r="C48" s="6" t="str">
        <f t="shared" si="94"/>
        <v>30–34</v>
      </c>
      <c r="D48" s="6">
        <f t="shared" ref="D48:F48" si="95">J48+P48+V48</f>
        <v>247773</v>
      </c>
      <c r="E48" s="6">
        <f t="shared" si="95"/>
        <v>129915</v>
      </c>
      <c r="F48" s="6">
        <f t="shared" si="95"/>
        <v>117858</v>
      </c>
      <c r="G48" s="6"/>
      <c r="H48" s="6" t="s">
        <v>35</v>
      </c>
      <c r="I48" s="6" t="s">
        <v>20</v>
      </c>
      <c r="J48" s="5">
        <f t="shared" si="5"/>
        <v>10932</v>
      </c>
      <c r="K48" s="7">
        <v>9837.0</v>
      </c>
      <c r="L48" s="7">
        <v>1095.0</v>
      </c>
      <c r="M48" s="5"/>
      <c r="N48" s="8" t="s">
        <v>35</v>
      </c>
      <c r="O48" s="9" t="s">
        <v>21</v>
      </c>
      <c r="P48" s="5">
        <f t="shared" si="6"/>
        <v>215884</v>
      </c>
      <c r="Q48" s="8">
        <v>112590.0</v>
      </c>
      <c r="R48" s="8">
        <v>103294.0</v>
      </c>
      <c r="T48" s="1" t="s">
        <v>35</v>
      </c>
      <c r="U48" s="11" t="s">
        <v>21</v>
      </c>
      <c r="V48" s="5">
        <f t="shared" si="7"/>
        <v>20957</v>
      </c>
      <c r="W48" s="1">
        <v>7488.0</v>
      </c>
      <c r="X48" s="1">
        <v>13469.0</v>
      </c>
    </row>
    <row r="49">
      <c r="B49" s="6" t="str">
        <f t="shared" ref="B49:C49" si="96">H49</f>
        <v>Kathiawar</v>
      </c>
      <c r="C49" s="6" t="str">
        <f t="shared" si="96"/>
        <v>35–39</v>
      </c>
      <c r="D49" s="6">
        <f t="shared" ref="D49:F49" si="97">J49+P49+V49</f>
        <v>158325</v>
      </c>
      <c r="E49" s="6">
        <f t="shared" si="97"/>
        <v>84999</v>
      </c>
      <c r="F49" s="6">
        <f t="shared" si="97"/>
        <v>73326</v>
      </c>
      <c r="G49" s="6"/>
      <c r="H49" s="6" t="s">
        <v>35</v>
      </c>
      <c r="I49" s="6" t="s">
        <v>22</v>
      </c>
      <c r="J49" s="5">
        <f t="shared" si="5"/>
        <v>4676</v>
      </c>
      <c r="K49" s="7">
        <v>4194.0</v>
      </c>
      <c r="L49" s="7">
        <v>482.0</v>
      </c>
      <c r="M49" s="5"/>
      <c r="N49" s="8" t="s">
        <v>35</v>
      </c>
      <c r="O49" s="9" t="s">
        <v>23</v>
      </c>
      <c r="P49" s="5">
        <f t="shared" si="6"/>
        <v>133398</v>
      </c>
      <c r="Q49" s="8">
        <v>74406.0</v>
      </c>
      <c r="R49" s="8">
        <v>58992.0</v>
      </c>
      <c r="T49" s="1" t="s">
        <v>35</v>
      </c>
      <c r="U49" s="11" t="s">
        <v>23</v>
      </c>
      <c r="V49" s="5">
        <f t="shared" si="7"/>
        <v>20251</v>
      </c>
      <c r="W49" s="1">
        <v>6399.0</v>
      </c>
      <c r="X49" s="1">
        <v>13852.0</v>
      </c>
    </row>
    <row r="50">
      <c r="B50" s="6" t="str">
        <f t="shared" ref="B50:C50" si="98">H50</f>
        <v>Kathiawar</v>
      </c>
      <c r="C50" s="6" t="str">
        <f t="shared" si="98"/>
        <v>40–44</v>
      </c>
      <c r="D50" s="6">
        <f t="shared" ref="D50:F50" si="99">J50+P50+V50</f>
        <v>172093</v>
      </c>
      <c r="E50" s="6">
        <f t="shared" si="99"/>
        <v>85269</v>
      </c>
      <c r="F50" s="6">
        <f t="shared" si="99"/>
        <v>86824</v>
      </c>
      <c r="G50" s="6"/>
      <c r="H50" s="6" t="s">
        <v>35</v>
      </c>
      <c r="I50" s="6" t="s">
        <v>24</v>
      </c>
      <c r="J50" s="5">
        <f t="shared" si="5"/>
        <v>4302</v>
      </c>
      <c r="K50" s="7">
        <v>3791.0</v>
      </c>
      <c r="L50" s="7">
        <v>511.0</v>
      </c>
      <c r="M50" s="5"/>
      <c r="N50" s="8" t="s">
        <v>35</v>
      </c>
      <c r="O50" s="9" t="s">
        <v>25</v>
      </c>
      <c r="P50" s="5">
        <f t="shared" si="6"/>
        <v>131146</v>
      </c>
      <c r="Q50" s="8">
        <v>74478.0</v>
      </c>
      <c r="R50" s="8">
        <v>56668.0</v>
      </c>
      <c r="T50" s="1" t="s">
        <v>35</v>
      </c>
      <c r="U50" s="11" t="s">
        <v>25</v>
      </c>
      <c r="V50" s="5">
        <f t="shared" si="7"/>
        <v>36645</v>
      </c>
      <c r="W50" s="1">
        <v>7000.0</v>
      </c>
      <c r="X50" s="1">
        <v>29645.0</v>
      </c>
    </row>
    <row r="51">
      <c r="B51" s="6" t="str">
        <f t="shared" ref="B51:C51" si="100">H51</f>
        <v>Kathiawar</v>
      </c>
      <c r="C51" s="6" t="str">
        <f t="shared" si="100"/>
        <v>45–49</v>
      </c>
      <c r="D51" s="6">
        <f t="shared" ref="D51:F51" si="101">J51+P51+V51</f>
        <v>76004</v>
      </c>
      <c r="E51" s="6">
        <f t="shared" si="101"/>
        <v>41227</v>
      </c>
      <c r="F51" s="6">
        <f t="shared" si="101"/>
        <v>34777</v>
      </c>
      <c r="G51" s="6"/>
      <c r="H51" s="6" t="s">
        <v>35</v>
      </c>
      <c r="I51" s="6" t="s">
        <v>26</v>
      </c>
      <c r="J51" s="5">
        <f t="shared" si="5"/>
        <v>1462</v>
      </c>
      <c r="K51" s="7">
        <v>1318.0</v>
      </c>
      <c r="L51" s="7">
        <v>144.0</v>
      </c>
      <c r="M51" s="5"/>
      <c r="N51" s="8" t="s">
        <v>35</v>
      </c>
      <c r="O51" s="9" t="s">
        <v>27</v>
      </c>
      <c r="P51" s="5">
        <f t="shared" si="6"/>
        <v>55008</v>
      </c>
      <c r="Q51" s="8">
        <v>34181.0</v>
      </c>
      <c r="R51" s="8">
        <v>20827.0</v>
      </c>
      <c r="T51" s="1" t="s">
        <v>35</v>
      </c>
      <c r="U51" s="11" t="s">
        <v>27</v>
      </c>
      <c r="V51" s="5">
        <f t="shared" si="7"/>
        <v>19534</v>
      </c>
      <c r="W51" s="1">
        <v>5728.0</v>
      </c>
      <c r="X51" s="1">
        <v>13806.0</v>
      </c>
    </row>
    <row r="52">
      <c r="B52" s="6" t="str">
        <f t="shared" ref="B52:C52" si="102">H52</f>
        <v>Kathiawar</v>
      </c>
      <c r="C52" s="6" t="str">
        <f t="shared" si="102"/>
        <v>50–54</v>
      </c>
      <c r="D52" s="6">
        <f t="shared" ref="D52:F52" si="103">J52+P52+V52</f>
        <v>117533</v>
      </c>
      <c r="E52" s="6">
        <f t="shared" si="103"/>
        <v>59046</v>
      </c>
      <c r="F52" s="6">
        <f t="shared" si="103"/>
        <v>58487</v>
      </c>
      <c r="G52" s="6"/>
      <c r="H52" s="6" t="s">
        <v>35</v>
      </c>
      <c r="I52" s="6" t="s">
        <v>28</v>
      </c>
      <c r="J52" s="5">
        <f t="shared" si="5"/>
        <v>2093</v>
      </c>
      <c r="K52" s="7">
        <v>1883.0</v>
      </c>
      <c r="L52" s="7">
        <v>210.0</v>
      </c>
      <c r="M52" s="5"/>
      <c r="N52" s="8" t="s">
        <v>35</v>
      </c>
      <c r="O52" s="9" t="s">
        <v>29</v>
      </c>
      <c r="P52" s="5">
        <f t="shared" si="6"/>
        <v>68412</v>
      </c>
      <c r="Q52" s="8">
        <v>45323.0</v>
      </c>
      <c r="R52" s="8">
        <v>23089.0</v>
      </c>
      <c r="T52" s="1" t="s">
        <v>35</v>
      </c>
      <c r="U52" s="11" t="s">
        <v>29</v>
      </c>
      <c r="V52" s="5">
        <f t="shared" si="7"/>
        <v>47028</v>
      </c>
      <c r="W52" s="1">
        <v>11840.0</v>
      </c>
      <c r="X52" s="1">
        <v>35188.0</v>
      </c>
    </row>
    <row r="53">
      <c r="B53" s="6" t="str">
        <f t="shared" ref="B53:C53" si="104">H53</f>
        <v>Kathiawar</v>
      </c>
      <c r="C53" s="6" t="str">
        <f t="shared" si="104"/>
        <v>55–59</v>
      </c>
      <c r="D53" s="6">
        <f t="shared" ref="D53:F53" si="105">J53+P53+V53</f>
        <v>31072</v>
      </c>
      <c r="E53" s="6">
        <f t="shared" si="105"/>
        <v>16645</v>
      </c>
      <c r="F53" s="6">
        <f t="shared" si="105"/>
        <v>14427</v>
      </c>
      <c r="G53" s="6"/>
      <c r="H53" s="6" t="s">
        <v>35</v>
      </c>
      <c r="I53" s="6" t="s">
        <v>30</v>
      </c>
      <c r="J53" s="5">
        <f t="shared" si="5"/>
        <v>568</v>
      </c>
      <c r="K53" s="7">
        <v>520.0</v>
      </c>
      <c r="L53" s="7">
        <v>48.0</v>
      </c>
      <c r="M53" s="5"/>
      <c r="N53" s="8" t="s">
        <v>35</v>
      </c>
      <c r="O53" s="9" t="s">
        <v>31</v>
      </c>
      <c r="P53" s="5">
        <f t="shared" si="6"/>
        <v>18443</v>
      </c>
      <c r="Q53" s="8">
        <v>12125.0</v>
      </c>
      <c r="R53" s="8">
        <v>6318.0</v>
      </c>
      <c r="T53" s="1" t="s">
        <v>35</v>
      </c>
      <c r="U53" s="11" t="s">
        <v>31</v>
      </c>
      <c r="V53" s="5">
        <f t="shared" si="7"/>
        <v>12061</v>
      </c>
      <c r="W53" s="1">
        <v>4000.0</v>
      </c>
      <c r="X53" s="1">
        <v>8061.0</v>
      </c>
    </row>
    <row r="54">
      <c r="B54" s="6" t="str">
        <f t="shared" ref="B54:C54" si="106">H54</f>
        <v>Kathiawar</v>
      </c>
      <c r="C54" s="6" t="str">
        <f t="shared" si="106"/>
        <v>60 and over</v>
      </c>
      <c r="D54" s="6">
        <f t="shared" ref="D54:F54" si="107">J54+P54+V54</f>
        <v>123547</v>
      </c>
      <c r="E54" s="6">
        <f t="shared" si="107"/>
        <v>54870</v>
      </c>
      <c r="F54" s="6">
        <f t="shared" si="107"/>
        <v>68677</v>
      </c>
      <c r="G54" s="6"/>
      <c r="H54" s="6" t="s">
        <v>35</v>
      </c>
      <c r="I54" s="6" t="s">
        <v>32</v>
      </c>
      <c r="J54" s="5">
        <f t="shared" si="5"/>
        <v>1860</v>
      </c>
      <c r="K54" s="7">
        <v>1655.0</v>
      </c>
      <c r="L54" s="7">
        <v>205.0</v>
      </c>
      <c r="M54" s="5"/>
      <c r="N54" s="8" t="s">
        <v>35</v>
      </c>
      <c r="O54" s="6" t="s">
        <v>32</v>
      </c>
      <c r="P54" s="5">
        <f t="shared" si="6"/>
        <v>45487</v>
      </c>
      <c r="Q54" s="8">
        <v>33828.0</v>
      </c>
      <c r="R54" s="8">
        <v>11659.0</v>
      </c>
      <c r="T54" s="1" t="s">
        <v>35</v>
      </c>
      <c r="U54" s="6" t="s">
        <v>32</v>
      </c>
      <c r="V54" s="5">
        <f t="shared" si="7"/>
        <v>76200</v>
      </c>
      <c r="W54" s="1">
        <v>19387.0</v>
      </c>
      <c r="X54" s="1">
        <v>56813.0</v>
      </c>
    </row>
    <row r="55">
      <c r="B55" s="6" t="str">
        <f t="shared" ref="B55:C55" si="108">H55</f>
        <v>Rewa Kantha</v>
      </c>
      <c r="C55" s="6" t="str">
        <f t="shared" si="108"/>
        <v>0–4</v>
      </c>
      <c r="D55" s="6">
        <f t="shared" ref="D55:F55" si="109">J55+P55+V55</f>
        <v>116581</v>
      </c>
      <c r="E55" s="6">
        <f t="shared" si="109"/>
        <v>56101</v>
      </c>
      <c r="F55" s="6">
        <f t="shared" si="109"/>
        <v>60480</v>
      </c>
      <c r="G55" s="6"/>
      <c r="H55" s="6" t="s">
        <v>36</v>
      </c>
      <c r="I55" s="6" t="s">
        <v>10</v>
      </c>
      <c r="J55" s="5">
        <f t="shared" si="5"/>
        <v>114817</v>
      </c>
      <c r="K55" s="7">
        <v>55456.0</v>
      </c>
      <c r="L55" s="7">
        <v>59361.0</v>
      </c>
      <c r="M55" s="5"/>
      <c r="N55" s="8" t="s">
        <v>36</v>
      </c>
      <c r="O55" s="9" t="s">
        <v>11</v>
      </c>
      <c r="P55" s="5">
        <f t="shared" si="6"/>
        <v>1509</v>
      </c>
      <c r="Q55" s="10">
        <v>527.0</v>
      </c>
      <c r="R55" s="10">
        <v>982.0</v>
      </c>
      <c r="T55" s="1" t="s">
        <v>36</v>
      </c>
      <c r="U55" s="11" t="s">
        <v>11</v>
      </c>
      <c r="V55" s="5">
        <f t="shared" si="7"/>
        <v>255</v>
      </c>
      <c r="W55" s="1">
        <v>118.0</v>
      </c>
      <c r="X55" s="1">
        <v>137.0</v>
      </c>
    </row>
    <row r="56">
      <c r="B56" s="6" t="str">
        <f t="shared" ref="B56:C56" si="110">H56</f>
        <v>Rewa Kantha</v>
      </c>
      <c r="C56" s="6" t="str">
        <f t="shared" si="110"/>
        <v>5–9</v>
      </c>
      <c r="D56" s="6">
        <f t="shared" ref="D56:F56" si="111">J56+P56+V56</f>
        <v>136097</v>
      </c>
      <c r="E56" s="6">
        <f t="shared" si="111"/>
        <v>70404</v>
      </c>
      <c r="F56" s="6">
        <f t="shared" si="111"/>
        <v>65693</v>
      </c>
      <c r="G56" s="6"/>
      <c r="H56" s="6" t="s">
        <v>36</v>
      </c>
      <c r="I56" s="6" t="s">
        <v>12</v>
      </c>
      <c r="J56" s="5">
        <f t="shared" si="5"/>
        <v>130666</v>
      </c>
      <c r="K56" s="7">
        <v>68601.0</v>
      </c>
      <c r="L56" s="7">
        <v>62065.0</v>
      </c>
      <c r="M56" s="5"/>
      <c r="N56" s="8" t="s">
        <v>36</v>
      </c>
      <c r="O56" s="12">
        <v>45786.0</v>
      </c>
      <c r="P56" s="5">
        <f t="shared" si="6"/>
        <v>5179</v>
      </c>
      <c r="Q56" s="10">
        <v>1697.0</v>
      </c>
      <c r="R56" s="10">
        <v>3482.0</v>
      </c>
      <c r="T56" s="1" t="s">
        <v>36</v>
      </c>
      <c r="U56" s="13">
        <v>45786.0</v>
      </c>
      <c r="V56" s="5">
        <f t="shared" si="7"/>
        <v>252</v>
      </c>
      <c r="W56" s="1">
        <v>106.0</v>
      </c>
      <c r="X56" s="1">
        <v>146.0</v>
      </c>
    </row>
    <row r="57">
      <c r="B57" s="6" t="str">
        <f t="shared" ref="B57:C57" si="112">H57</f>
        <v>Rewa Kantha</v>
      </c>
      <c r="C57" s="6" t="str">
        <f t="shared" si="112"/>
        <v>10–14</v>
      </c>
      <c r="D57" s="6">
        <f t="shared" ref="D57:F57" si="113">J57+P57+V57</f>
        <v>72951</v>
      </c>
      <c r="E57" s="6">
        <f t="shared" si="113"/>
        <v>41411</v>
      </c>
      <c r="F57" s="6">
        <f t="shared" si="113"/>
        <v>31540</v>
      </c>
      <c r="G57" s="6"/>
      <c r="H57" s="6" t="s">
        <v>36</v>
      </c>
      <c r="I57" s="6" t="s">
        <v>13</v>
      </c>
      <c r="J57" s="5">
        <f t="shared" si="5"/>
        <v>58171</v>
      </c>
      <c r="K57" s="7">
        <v>36076.0</v>
      </c>
      <c r="L57" s="7">
        <v>22095.0</v>
      </c>
      <c r="M57" s="5"/>
      <c r="N57" s="8" t="s">
        <v>36</v>
      </c>
      <c r="O57" s="12">
        <v>45944.0</v>
      </c>
      <c r="P57" s="5">
        <f t="shared" si="6"/>
        <v>14445</v>
      </c>
      <c r="Q57" s="10">
        <v>5153.0</v>
      </c>
      <c r="R57" s="10">
        <v>9292.0</v>
      </c>
      <c r="T57" s="1" t="s">
        <v>36</v>
      </c>
      <c r="U57" s="13">
        <v>45944.0</v>
      </c>
      <c r="V57" s="5">
        <f t="shared" si="7"/>
        <v>335</v>
      </c>
      <c r="W57" s="1">
        <v>182.0</v>
      </c>
      <c r="X57" s="1">
        <v>153.0</v>
      </c>
    </row>
    <row r="58">
      <c r="B58" s="6" t="str">
        <f t="shared" ref="B58:C58" si="114">H58</f>
        <v>Rewa Kantha</v>
      </c>
      <c r="C58" s="6" t="str">
        <f t="shared" si="114"/>
        <v>15–19</v>
      </c>
      <c r="D58" s="6">
        <f t="shared" ref="D58:F58" si="115">J58+P58+V58</f>
        <v>43390</v>
      </c>
      <c r="E58" s="6">
        <f t="shared" si="115"/>
        <v>22926</v>
      </c>
      <c r="F58" s="6">
        <f t="shared" si="115"/>
        <v>20464</v>
      </c>
      <c r="G58" s="6"/>
      <c r="H58" s="6" t="s">
        <v>36</v>
      </c>
      <c r="I58" s="6" t="s">
        <v>14</v>
      </c>
      <c r="J58" s="5">
        <f t="shared" si="5"/>
        <v>12368</v>
      </c>
      <c r="K58" s="7">
        <v>11312.0</v>
      </c>
      <c r="L58" s="7">
        <v>1056.0</v>
      </c>
      <c r="M58" s="5"/>
      <c r="N58" s="8" t="s">
        <v>36</v>
      </c>
      <c r="O58" s="9" t="s">
        <v>15</v>
      </c>
      <c r="P58" s="5">
        <f t="shared" si="6"/>
        <v>30349</v>
      </c>
      <c r="Q58" s="10">
        <v>11359.0</v>
      </c>
      <c r="R58" s="10">
        <v>18990.0</v>
      </c>
      <c r="T58" s="1" t="s">
        <v>36</v>
      </c>
      <c r="U58" s="11" t="s">
        <v>15</v>
      </c>
      <c r="V58" s="5">
        <f t="shared" si="7"/>
        <v>673</v>
      </c>
      <c r="W58" s="1">
        <v>255.0</v>
      </c>
      <c r="X58" s="1">
        <v>418.0</v>
      </c>
    </row>
    <row r="59">
      <c r="B59" s="6" t="str">
        <f t="shared" ref="B59:C59" si="116">H59</f>
        <v>Rewa Kantha</v>
      </c>
      <c r="C59" s="6" t="str">
        <f t="shared" si="116"/>
        <v>20–24</v>
      </c>
      <c r="D59" s="6">
        <f t="shared" ref="D59:F59" si="117">J59+P59+V59</f>
        <v>72470</v>
      </c>
      <c r="E59" s="6">
        <f t="shared" si="117"/>
        <v>28449</v>
      </c>
      <c r="F59" s="6">
        <f t="shared" si="117"/>
        <v>44021</v>
      </c>
      <c r="G59" s="6"/>
      <c r="H59" s="6" t="s">
        <v>36</v>
      </c>
      <c r="I59" s="6" t="s">
        <v>16</v>
      </c>
      <c r="J59" s="5">
        <f t="shared" si="5"/>
        <v>14346</v>
      </c>
      <c r="K59" s="7">
        <v>7188.0</v>
      </c>
      <c r="L59" s="7">
        <v>7158.0</v>
      </c>
      <c r="M59" s="5"/>
      <c r="N59" s="8" t="s">
        <v>36</v>
      </c>
      <c r="O59" s="9" t="s">
        <v>17</v>
      </c>
      <c r="P59" s="5">
        <f t="shared" si="6"/>
        <v>56742</v>
      </c>
      <c r="Q59" s="10">
        <v>20658.0</v>
      </c>
      <c r="R59" s="10">
        <v>36084.0</v>
      </c>
      <c r="T59" s="1" t="s">
        <v>36</v>
      </c>
      <c r="U59" s="11" t="s">
        <v>17</v>
      </c>
      <c r="V59" s="5">
        <f t="shared" si="7"/>
        <v>1382</v>
      </c>
      <c r="W59" s="1">
        <v>603.0</v>
      </c>
      <c r="X59" s="1">
        <v>779.0</v>
      </c>
    </row>
    <row r="60">
      <c r="B60" s="6" t="str">
        <f t="shared" ref="B60:C60" si="118">H60</f>
        <v>Rewa Kantha</v>
      </c>
      <c r="C60" s="6" t="str">
        <f t="shared" si="118"/>
        <v>25–29</v>
      </c>
      <c r="D60" s="6">
        <f t="shared" ref="D60:F60" si="119">J60+P60+V60</f>
        <v>77871</v>
      </c>
      <c r="E60" s="6">
        <f t="shared" si="119"/>
        <v>45632</v>
      </c>
      <c r="F60" s="6">
        <f t="shared" si="119"/>
        <v>32239</v>
      </c>
      <c r="G60" s="6"/>
      <c r="H60" s="6" t="s">
        <v>36</v>
      </c>
      <c r="I60" s="6" t="s">
        <v>18</v>
      </c>
      <c r="J60" s="5">
        <f t="shared" si="5"/>
        <v>6276</v>
      </c>
      <c r="K60" s="7">
        <v>5637.0</v>
      </c>
      <c r="L60" s="7">
        <v>639.0</v>
      </c>
      <c r="M60" s="5"/>
      <c r="N60" s="8" t="s">
        <v>36</v>
      </c>
      <c r="O60" s="9" t="s">
        <v>19</v>
      </c>
      <c r="P60" s="5">
        <f t="shared" si="6"/>
        <v>69170</v>
      </c>
      <c r="Q60" s="8">
        <v>39009.0</v>
      </c>
      <c r="R60" s="8">
        <v>30161.0</v>
      </c>
      <c r="T60" s="1" t="s">
        <v>36</v>
      </c>
      <c r="U60" s="11" t="s">
        <v>19</v>
      </c>
      <c r="V60" s="5">
        <f t="shared" si="7"/>
        <v>2425</v>
      </c>
      <c r="W60" s="1">
        <v>986.0</v>
      </c>
      <c r="X60" s="1">
        <v>1439.0</v>
      </c>
    </row>
    <row r="61">
      <c r="B61" s="6" t="str">
        <f t="shared" ref="B61:C61" si="120">H61</f>
        <v>Rewa Kantha</v>
      </c>
      <c r="C61" s="6" t="str">
        <f t="shared" si="120"/>
        <v>30–34</v>
      </c>
      <c r="D61" s="6">
        <f t="shared" ref="D61:F61" si="121">J61+P61+V61</f>
        <v>62822</v>
      </c>
      <c r="E61" s="6">
        <f t="shared" si="121"/>
        <v>31908</v>
      </c>
      <c r="F61" s="6">
        <f t="shared" si="121"/>
        <v>30914</v>
      </c>
      <c r="G61" s="6"/>
      <c r="H61" s="6" t="s">
        <v>36</v>
      </c>
      <c r="I61" s="6" t="s">
        <v>20</v>
      </c>
      <c r="J61" s="5">
        <f t="shared" si="5"/>
        <v>2802</v>
      </c>
      <c r="K61" s="7">
        <v>2430.0</v>
      </c>
      <c r="L61" s="7">
        <v>372.0</v>
      </c>
      <c r="M61" s="5"/>
      <c r="N61" s="8" t="s">
        <v>36</v>
      </c>
      <c r="O61" s="9" t="s">
        <v>21</v>
      </c>
      <c r="P61" s="5">
        <f t="shared" si="6"/>
        <v>56060</v>
      </c>
      <c r="Q61" s="8">
        <v>28182.0</v>
      </c>
      <c r="R61" s="8">
        <v>27878.0</v>
      </c>
      <c r="T61" s="1" t="s">
        <v>36</v>
      </c>
      <c r="U61" s="11" t="s">
        <v>21</v>
      </c>
      <c r="V61" s="5">
        <f t="shared" si="7"/>
        <v>3960</v>
      </c>
      <c r="W61" s="1">
        <v>1296.0</v>
      </c>
      <c r="X61" s="1">
        <v>2664.0</v>
      </c>
    </row>
    <row r="62">
      <c r="B62" s="6" t="str">
        <f t="shared" ref="B62:C62" si="122">H62</f>
        <v>Rewa Kantha</v>
      </c>
      <c r="C62" s="6" t="str">
        <f t="shared" si="122"/>
        <v>35–39</v>
      </c>
      <c r="D62" s="6">
        <f t="shared" ref="D62:F62" si="123">J62+P62+V62</f>
        <v>46697</v>
      </c>
      <c r="E62" s="6">
        <f t="shared" si="123"/>
        <v>25150</v>
      </c>
      <c r="F62" s="6">
        <f t="shared" si="123"/>
        <v>21547</v>
      </c>
      <c r="G62" s="6"/>
      <c r="H62" s="6" t="s">
        <v>36</v>
      </c>
      <c r="I62" s="6" t="s">
        <v>22</v>
      </c>
      <c r="J62" s="5">
        <f t="shared" si="5"/>
        <v>1480</v>
      </c>
      <c r="K62" s="7">
        <v>1230.0</v>
      </c>
      <c r="L62" s="7">
        <v>250.0</v>
      </c>
      <c r="M62" s="5"/>
      <c r="N62" s="8" t="s">
        <v>36</v>
      </c>
      <c r="O62" s="9" t="s">
        <v>23</v>
      </c>
      <c r="P62" s="5">
        <f t="shared" si="6"/>
        <v>40720</v>
      </c>
      <c r="Q62" s="8">
        <v>22514.0</v>
      </c>
      <c r="R62" s="8">
        <v>18206.0</v>
      </c>
      <c r="T62" s="1" t="s">
        <v>36</v>
      </c>
      <c r="U62" s="11" t="s">
        <v>23</v>
      </c>
      <c r="V62" s="5">
        <f t="shared" si="7"/>
        <v>4497</v>
      </c>
      <c r="W62" s="1">
        <v>1406.0</v>
      </c>
      <c r="X62" s="1">
        <v>3091.0</v>
      </c>
    </row>
    <row r="63">
      <c r="B63" s="6" t="str">
        <f t="shared" ref="B63:C63" si="124">H63</f>
        <v>Rewa Kantha</v>
      </c>
      <c r="C63" s="6" t="str">
        <f t="shared" si="124"/>
        <v>40–44</v>
      </c>
      <c r="D63" s="6">
        <f t="shared" ref="D63:F63" si="125">J63+P63+V63</f>
        <v>44722</v>
      </c>
      <c r="E63" s="6">
        <f t="shared" si="125"/>
        <v>21871</v>
      </c>
      <c r="F63" s="6">
        <f t="shared" si="125"/>
        <v>22851</v>
      </c>
      <c r="G63" s="6"/>
      <c r="H63" s="6" t="s">
        <v>36</v>
      </c>
      <c r="I63" s="6" t="s">
        <v>24</v>
      </c>
      <c r="J63" s="5">
        <f t="shared" si="5"/>
        <v>1121</v>
      </c>
      <c r="K63" s="7">
        <v>933.0</v>
      </c>
      <c r="L63" s="7">
        <v>188.0</v>
      </c>
      <c r="M63" s="5"/>
      <c r="N63" s="8" t="s">
        <v>36</v>
      </c>
      <c r="O63" s="9" t="s">
        <v>25</v>
      </c>
      <c r="P63" s="5">
        <f t="shared" si="6"/>
        <v>35332</v>
      </c>
      <c r="Q63" s="8">
        <v>19260.0</v>
      </c>
      <c r="R63" s="8">
        <v>16072.0</v>
      </c>
      <c r="T63" s="1" t="s">
        <v>36</v>
      </c>
      <c r="U63" s="11" t="s">
        <v>25</v>
      </c>
      <c r="V63" s="5">
        <f t="shared" si="7"/>
        <v>8269</v>
      </c>
      <c r="W63" s="1">
        <v>1678.0</v>
      </c>
      <c r="X63" s="1">
        <v>6591.0</v>
      </c>
    </row>
    <row r="64">
      <c r="B64" s="6" t="str">
        <f t="shared" ref="B64:C64" si="126">H64</f>
        <v>Rewa Kantha</v>
      </c>
      <c r="C64" s="6" t="str">
        <f t="shared" si="126"/>
        <v>45–49</v>
      </c>
      <c r="D64" s="6">
        <f t="shared" ref="D64:F64" si="127">J64+P64+V64</f>
        <v>21852</v>
      </c>
      <c r="E64" s="6">
        <f t="shared" si="127"/>
        <v>12775</v>
      </c>
      <c r="F64" s="6">
        <f t="shared" si="127"/>
        <v>9077</v>
      </c>
      <c r="G64" s="6"/>
      <c r="H64" s="6" t="s">
        <v>36</v>
      </c>
      <c r="I64" s="6" t="s">
        <v>26</v>
      </c>
      <c r="J64" s="5">
        <f t="shared" si="5"/>
        <v>547</v>
      </c>
      <c r="K64" s="7">
        <v>448.0</v>
      </c>
      <c r="L64" s="7">
        <v>99.0</v>
      </c>
      <c r="M64" s="5"/>
      <c r="N64" s="8" t="s">
        <v>36</v>
      </c>
      <c r="O64" s="9" t="s">
        <v>27</v>
      </c>
      <c r="P64" s="5">
        <f t="shared" si="6"/>
        <v>18512</v>
      </c>
      <c r="Q64" s="8">
        <v>10973.0</v>
      </c>
      <c r="R64" s="8">
        <v>7539.0</v>
      </c>
      <c r="T64" s="1" t="s">
        <v>36</v>
      </c>
      <c r="U64" s="11" t="s">
        <v>27</v>
      </c>
      <c r="V64" s="5">
        <f t="shared" si="7"/>
        <v>2793</v>
      </c>
      <c r="W64" s="1">
        <v>1354.0</v>
      </c>
      <c r="X64" s="1">
        <v>1439.0</v>
      </c>
    </row>
    <row r="65">
      <c r="B65" s="6" t="str">
        <f t="shared" ref="B65:C65" si="128">H65</f>
        <v>Rewa Kantha</v>
      </c>
      <c r="C65" s="6" t="str">
        <f t="shared" si="128"/>
        <v>50–54</v>
      </c>
      <c r="D65" s="6">
        <f t="shared" ref="D65:F65" si="129">J65+P65+V65</f>
        <v>25398</v>
      </c>
      <c r="E65" s="6">
        <f t="shared" si="129"/>
        <v>12651</v>
      </c>
      <c r="F65" s="6">
        <f t="shared" si="129"/>
        <v>12747</v>
      </c>
      <c r="G65" s="6"/>
      <c r="H65" s="6" t="s">
        <v>36</v>
      </c>
      <c r="I65" s="6" t="s">
        <v>28</v>
      </c>
      <c r="J65" s="5">
        <f t="shared" si="5"/>
        <v>560</v>
      </c>
      <c r="K65" s="7">
        <v>449.0</v>
      </c>
      <c r="L65" s="7">
        <v>111.0</v>
      </c>
      <c r="M65" s="5"/>
      <c r="N65" s="8" t="s">
        <v>36</v>
      </c>
      <c r="O65" s="9" t="s">
        <v>29</v>
      </c>
      <c r="P65" s="5">
        <f t="shared" si="6"/>
        <v>14303</v>
      </c>
      <c r="Q65" s="8">
        <v>9995.0</v>
      </c>
      <c r="R65" s="8">
        <v>4308.0</v>
      </c>
      <c r="T65" s="1" t="s">
        <v>36</v>
      </c>
      <c r="U65" s="11" t="s">
        <v>29</v>
      </c>
      <c r="V65" s="5">
        <f t="shared" si="7"/>
        <v>10535</v>
      </c>
      <c r="W65" s="1">
        <v>2207.0</v>
      </c>
      <c r="X65" s="1">
        <v>8328.0</v>
      </c>
    </row>
    <row r="66">
      <c r="B66" s="6" t="str">
        <f t="shared" ref="B66:C66" si="130">H66</f>
        <v>Rewa Kantha</v>
      </c>
      <c r="C66" s="6" t="str">
        <f t="shared" si="130"/>
        <v>55–59</v>
      </c>
      <c r="D66" s="6">
        <f t="shared" ref="D66:F66" si="131">J66+P66+V66</f>
        <v>8793</v>
      </c>
      <c r="E66" s="6">
        <f t="shared" si="131"/>
        <v>4323</v>
      </c>
      <c r="F66" s="6">
        <f t="shared" si="131"/>
        <v>4470</v>
      </c>
      <c r="G66" s="6"/>
      <c r="H66" s="6" t="s">
        <v>36</v>
      </c>
      <c r="I66" s="6" t="s">
        <v>30</v>
      </c>
      <c r="J66" s="5">
        <f t="shared" si="5"/>
        <v>160</v>
      </c>
      <c r="K66" s="7">
        <v>124.0</v>
      </c>
      <c r="L66" s="7">
        <v>36.0</v>
      </c>
      <c r="M66" s="5"/>
      <c r="N66" s="8" t="s">
        <v>36</v>
      </c>
      <c r="O66" s="9" t="s">
        <v>31</v>
      </c>
      <c r="P66" s="5">
        <f t="shared" si="6"/>
        <v>5252</v>
      </c>
      <c r="Q66" s="8">
        <v>3332.0</v>
      </c>
      <c r="R66" s="8">
        <v>1920.0</v>
      </c>
      <c r="T66" s="1" t="s">
        <v>36</v>
      </c>
      <c r="U66" s="11" t="s">
        <v>31</v>
      </c>
      <c r="V66" s="5">
        <f t="shared" si="7"/>
        <v>3381</v>
      </c>
      <c r="W66" s="1">
        <v>867.0</v>
      </c>
      <c r="X66" s="1">
        <v>2514.0</v>
      </c>
    </row>
    <row r="67">
      <c r="B67" s="6" t="str">
        <f t="shared" ref="B67:C67" si="132">H67</f>
        <v>Rewa Kantha</v>
      </c>
      <c r="C67" s="6" t="str">
        <f t="shared" si="132"/>
        <v>60 and over</v>
      </c>
      <c r="D67" s="6">
        <f t="shared" ref="D67:F67" si="133">J67+P67+V67</f>
        <v>21751</v>
      </c>
      <c r="E67" s="6">
        <f t="shared" si="133"/>
        <v>8744</v>
      </c>
      <c r="F67" s="6">
        <f t="shared" si="133"/>
        <v>13007</v>
      </c>
      <c r="G67" s="6"/>
      <c r="H67" s="6" t="s">
        <v>36</v>
      </c>
      <c r="I67" s="6" t="s">
        <v>32</v>
      </c>
      <c r="J67" s="5">
        <f t="shared" si="5"/>
        <v>403</v>
      </c>
      <c r="K67" s="7">
        <v>329.0</v>
      </c>
      <c r="L67" s="7">
        <v>74.0</v>
      </c>
      <c r="M67" s="5"/>
      <c r="N67" s="8" t="s">
        <v>36</v>
      </c>
      <c r="O67" s="6" t="s">
        <v>32</v>
      </c>
      <c r="P67" s="5">
        <f t="shared" si="6"/>
        <v>7972</v>
      </c>
      <c r="Q67" s="8">
        <v>5748.0</v>
      </c>
      <c r="R67" s="8">
        <v>2224.0</v>
      </c>
      <c r="T67" s="1" t="s">
        <v>36</v>
      </c>
      <c r="U67" s="6" t="s">
        <v>32</v>
      </c>
      <c r="V67" s="5">
        <f t="shared" si="7"/>
        <v>13376</v>
      </c>
      <c r="W67" s="1">
        <v>2667.0</v>
      </c>
      <c r="X67" s="1">
        <v>10709.0</v>
      </c>
    </row>
    <row r="68">
      <c r="B68" s="6" t="str">
        <f t="shared" ref="B68:C68" si="134">H68</f>
        <v>Cambay</v>
      </c>
      <c r="C68" s="6" t="str">
        <f t="shared" si="134"/>
        <v>0–4</v>
      </c>
      <c r="D68" s="6">
        <f t="shared" ref="D68:F68" si="135">J68+P68+V68</f>
        <v>11198</v>
      </c>
      <c r="E68" s="6">
        <f t="shared" si="135"/>
        <v>5515</v>
      </c>
      <c r="F68" s="6">
        <f t="shared" si="135"/>
        <v>5683</v>
      </c>
      <c r="G68" s="6"/>
      <c r="H68" s="6" t="s">
        <v>37</v>
      </c>
      <c r="I68" s="6" t="s">
        <v>10</v>
      </c>
      <c r="J68" s="5">
        <f t="shared" si="5"/>
        <v>10474</v>
      </c>
      <c r="K68" s="7">
        <v>5295.0</v>
      </c>
      <c r="L68" s="7">
        <v>5179.0</v>
      </c>
      <c r="M68" s="5"/>
      <c r="N68" s="8" t="s">
        <v>37</v>
      </c>
      <c r="O68" s="9" t="s">
        <v>11</v>
      </c>
      <c r="P68" s="5">
        <f t="shared" si="6"/>
        <v>707</v>
      </c>
      <c r="Q68" s="10">
        <v>211.0</v>
      </c>
      <c r="R68" s="10">
        <v>496.0</v>
      </c>
      <c r="T68" s="1" t="s">
        <v>37</v>
      </c>
      <c r="U68" s="11" t="s">
        <v>11</v>
      </c>
      <c r="V68" s="5">
        <f t="shared" si="7"/>
        <v>17</v>
      </c>
      <c r="W68" s="1">
        <v>9.0</v>
      </c>
      <c r="X68" s="1">
        <v>8.0</v>
      </c>
    </row>
    <row r="69">
      <c r="B69" s="6" t="str">
        <f t="shared" ref="B69:C69" si="136">H69</f>
        <v>Cambay</v>
      </c>
      <c r="C69" s="6" t="str">
        <f t="shared" si="136"/>
        <v>5–9</v>
      </c>
      <c r="D69" s="6">
        <f t="shared" ref="D69:F69" si="137">J69+P69+V69</f>
        <v>11026</v>
      </c>
      <c r="E69" s="6">
        <f t="shared" si="137"/>
        <v>5945</v>
      </c>
      <c r="F69" s="6">
        <f t="shared" si="137"/>
        <v>5081</v>
      </c>
      <c r="G69" s="6"/>
      <c r="H69" s="6" t="s">
        <v>37</v>
      </c>
      <c r="I69" s="6" t="s">
        <v>12</v>
      </c>
      <c r="J69" s="5">
        <f t="shared" si="5"/>
        <v>8703</v>
      </c>
      <c r="K69" s="7">
        <v>5057.0</v>
      </c>
      <c r="L69" s="7">
        <v>3646.0</v>
      </c>
      <c r="M69" s="5"/>
      <c r="N69" s="8" t="s">
        <v>37</v>
      </c>
      <c r="O69" s="12">
        <v>45786.0</v>
      </c>
      <c r="P69" s="5">
        <f t="shared" si="6"/>
        <v>2266</v>
      </c>
      <c r="Q69" s="10">
        <v>865.0</v>
      </c>
      <c r="R69" s="10">
        <v>1401.0</v>
      </c>
      <c r="T69" s="1" t="s">
        <v>37</v>
      </c>
      <c r="U69" s="13">
        <v>45786.0</v>
      </c>
      <c r="V69" s="5">
        <f t="shared" si="7"/>
        <v>57</v>
      </c>
      <c r="W69" s="1">
        <v>23.0</v>
      </c>
      <c r="X69" s="1">
        <v>34.0</v>
      </c>
    </row>
    <row r="70">
      <c r="B70" s="6" t="str">
        <f t="shared" ref="B70:C70" si="138">H70</f>
        <v>Cambay</v>
      </c>
      <c r="C70" s="6" t="str">
        <f t="shared" si="138"/>
        <v>10–14</v>
      </c>
      <c r="D70" s="6">
        <f t="shared" ref="D70:F70" si="139">J70+P70+V70</f>
        <v>8559</v>
      </c>
      <c r="E70" s="6">
        <f t="shared" si="139"/>
        <v>4865</v>
      </c>
      <c r="F70" s="6">
        <f t="shared" si="139"/>
        <v>3694</v>
      </c>
      <c r="G70" s="6"/>
      <c r="H70" s="6" t="s">
        <v>37</v>
      </c>
      <c r="I70" s="6" t="s">
        <v>13</v>
      </c>
      <c r="J70" s="5">
        <f t="shared" si="5"/>
        <v>4491</v>
      </c>
      <c r="K70" s="7">
        <v>3220.0</v>
      </c>
      <c r="L70" s="7">
        <v>1271.0</v>
      </c>
      <c r="M70" s="5"/>
      <c r="N70" s="8" t="s">
        <v>37</v>
      </c>
      <c r="O70" s="12">
        <v>45944.0</v>
      </c>
      <c r="P70" s="5">
        <f t="shared" si="6"/>
        <v>3946</v>
      </c>
      <c r="Q70" s="10">
        <v>1587.0</v>
      </c>
      <c r="R70" s="10">
        <v>2359.0</v>
      </c>
      <c r="T70" s="1" t="s">
        <v>37</v>
      </c>
      <c r="U70" s="13">
        <v>45944.0</v>
      </c>
      <c r="V70" s="5">
        <f t="shared" si="7"/>
        <v>122</v>
      </c>
      <c r="W70" s="1">
        <v>58.0</v>
      </c>
      <c r="X70" s="1">
        <v>64.0</v>
      </c>
    </row>
    <row r="71">
      <c r="B71" s="6" t="str">
        <f t="shared" ref="B71:C71" si="140">H71</f>
        <v>Cambay</v>
      </c>
      <c r="C71" s="6" t="str">
        <f t="shared" si="140"/>
        <v>15–19</v>
      </c>
      <c r="D71" s="6">
        <f t="shared" ref="D71:F71" si="141">J71+P71+V71</f>
        <v>7874</v>
      </c>
      <c r="E71" s="6">
        <f t="shared" si="141"/>
        <v>4240</v>
      </c>
      <c r="F71" s="6">
        <f t="shared" si="141"/>
        <v>3634</v>
      </c>
      <c r="G71" s="6"/>
      <c r="H71" s="6" t="s">
        <v>37</v>
      </c>
      <c r="I71" s="6" t="s">
        <v>14</v>
      </c>
      <c r="J71" s="5">
        <f t="shared" si="5"/>
        <v>2121</v>
      </c>
      <c r="K71" s="7">
        <v>1871.0</v>
      </c>
      <c r="L71" s="7">
        <v>250.0</v>
      </c>
      <c r="M71" s="5"/>
      <c r="N71" s="8" t="s">
        <v>37</v>
      </c>
      <c r="O71" s="9" t="s">
        <v>15</v>
      </c>
      <c r="P71" s="5">
        <f t="shared" si="6"/>
        <v>5599</v>
      </c>
      <c r="Q71" s="10">
        <v>2311.0</v>
      </c>
      <c r="R71" s="10">
        <v>3288.0</v>
      </c>
      <c r="T71" s="1" t="s">
        <v>37</v>
      </c>
      <c r="U71" s="11" t="s">
        <v>15</v>
      </c>
      <c r="V71" s="5">
        <f t="shared" si="7"/>
        <v>154</v>
      </c>
      <c r="W71" s="1">
        <v>58.0</v>
      </c>
      <c r="X71" s="1">
        <v>96.0</v>
      </c>
    </row>
    <row r="72">
      <c r="B72" s="6" t="str">
        <f t="shared" ref="B72:C72" si="142">H72</f>
        <v>Cambay</v>
      </c>
      <c r="C72" s="6" t="str">
        <f t="shared" si="142"/>
        <v>20–24</v>
      </c>
      <c r="D72" s="6">
        <f t="shared" ref="D72:F72" si="143">J72+P72+V72</f>
        <v>10075</v>
      </c>
      <c r="E72" s="6">
        <f t="shared" si="143"/>
        <v>4774</v>
      </c>
      <c r="F72" s="6">
        <f t="shared" si="143"/>
        <v>5301</v>
      </c>
      <c r="G72" s="6"/>
      <c r="H72" s="6" t="s">
        <v>37</v>
      </c>
      <c r="I72" s="6" t="s">
        <v>16</v>
      </c>
      <c r="J72" s="5">
        <f t="shared" si="5"/>
        <v>1221</v>
      </c>
      <c r="K72" s="7">
        <v>1131.0</v>
      </c>
      <c r="L72" s="7">
        <v>90.0</v>
      </c>
      <c r="M72" s="5"/>
      <c r="N72" s="8" t="s">
        <v>37</v>
      </c>
      <c r="O72" s="9" t="s">
        <v>17</v>
      </c>
      <c r="P72" s="5">
        <f t="shared" si="6"/>
        <v>8483</v>
      </c>
      <c r="Q72" s="10">
        <v>3498.0</v>
      </c>
      <c r="R72" s="10">
        <v>4985.0</v>
      </c>
      <c r="T72" s="1" t="s">
        <v>37</v>
      </c>
      <c r="U72" s="11" t="s">
        <v>17</v>
      </c>
      <c r="V72" s="5">
        <f t="shared" si="7"/>
        <v>371</v>
      </c>
      <c r="W72" s="1">
        <v>145.0</v>
      </c>
      <c r="X72" s="1">
        <v>226.0</v>
      </c>
    </row>
    <row r="73">
      <c r="B73" s="6" t="str">
        <f t="shared" ref="B73:C73" si="144">H73</f>
        <v>Cambay</v>
      </c>
      <c r="C73" s="6" t="str">
        <f t="shared" si="144"/>
        <v>25–29</v>
      </c>
      <c r="D73" s="6">
        <f t="shared" ref="D73:F73" si="145">J73+P73+V73</f>
        <v>7987</v>
      </c>
      <c r="E73" s="6">
        <f t="shared" si="145"/>
        <v>3989</v>
      </c>
      <c r="F73" s="6">
        <f t="shared" si="145"/>
        <v>3998</v>
      </c>
      <c r="G73" s="6"/>
      <c r="H73" s="6" t="s">
        <v>37</v>
      </c>
      <c r="I73" s="6" t="s">
        <v>18</v>
      </c>
      <c r="J73" s="5">
        <f t="shared" si="5"/>
        <v>652</v>
      </c>
      <c r="K73" s="7">
        <v>620.0</v>
      </c>
      <c r="L73" s="7">
        <v>32.0</v>
      </c>
      <c r="M73" s="5"/>
      <c r="N73" s="8" t="s">
        <v>37</v>
      </c>
      <c r="O73" s="9" t="s">
        <v>19</v>
      </c>
      <c r="P73" s="5">
        <f t="shared" si="6"/>
        <v>6787</v>
      </c>
      <c r="Q73" s="8">
        <v>3169.0</v>
      </c>
      <c r="R73" s="8">
        <v>3618.0</v>
      </c>
      <c r="T73" s="1" t="s">
        <v>37</v>
      </c>
      <c r="U73" s="11" t="s">
        <v>19</v>
      </c>
      <c r="V73" s="5">
        <f t="shared" si="7"/>
        <v>548</v>
      </c>
      <c r="W73" s="1">
        <v>200.0</v>
      </c>
      <c r="X73" s="1">
        <v>348.0</v>
      </c>
    </row>
    <row r="74">
      <c r="B74" s="6" t="str">
        <f t="shared" ref="B74:C74" si="146">H74</f>
        <v>Cambay</v>
      </c>
      <c r="C74" s="6" t="str">
        <f t="shared" si="146"/>
        <v>30–34</v>
      </c>
      <c r="D74" s="6">
        <f t="shared" ref="D74:F74" si="147">J74+P74+V74</f>
        <v>12785</v>
      </c>
      <c r="E74" s="6">
        <f t="shared" si="147"/>
        <v>9090</v>
      </c>
      <c r="F74" s="6">
        <f t="shared" si="147"/>
        <v>3695</v>
      </c>
      <c r="G74" s="6"/>
      <c r="H74" s="6" t="s">
        <v>37</v>
      </c>
      <c r="I74" s="6" t="s">
        <v>20</v>
      </c>
      <c r="J74" s="5">
        <f t="shared" si="5"/>
        <v>375</v>
      </c>
      <c r="K74" s="7">
        <v>344.0</v>
      </c>
      <c r="L74" s="7">
        <v>31.0</v>
      </c>
      <c r="M74" s="5"/>
      <c r="N74" s="8" t="s">
        <v>37</v>
      </c>
      <c r="O74" s="9" t="s">
        <v>21</v>
      </c>
      <c r="P74" s="5">
        <f t="shared" si="6"/>
        <v>11566</v>
      </c>
      <c r="Q74" s="8">
        <v>8509.0</v>
      </c>
      <c r="R74" s="8">
        <v>3057.0</v>
      </c>
      <c r="T74" s="1" t="s">
        <v>37</v>
      </c>
      <c r="U74" s="11" t="s">
        <v>21</v>
      </c>
      <c r="V74" s="5">
        <f t="shared" si="7"/>
        <v>844</v>
      </c>
      <c r="W74" s="1">
        <v>237.0</v>
      </c>
      <c r="X74" s="1">
        <v>607.0</v>
      </c>
    </row>
    <row r="75">
      <c r="B75" s="6" t="str">
        <f t="shared" ref="B75:C75" si="148">H75</f>
        <v>Cambay</v>
      </c>
      <c r="C75" s="6" t="str">
        <f t="shared" si="148"/>
        <v>35–39</v>
      </c>
      <c r="D75" s="6">
        <f t="shared" ref="D75:F75" si="149">J75+P75+V75</f>
        <v>5811</v>
      </c>
      <c r="E75" s="6">
        <f t="shared" si="149"/>
        <v>3104</v>
      </c>
      <c r="F75" s="6">
        <f t="shared" si="149"/>
        <v>2707</v>
      </c>
      <c r="G75" s="6"/>
      <c r="H75" s="6" t="s">
        <v>37</v>
      </c>
      <c r="I75" s="6" t="s">
        <v>22</v>
      </c>
      <c r="J75" s="5">
        <f t="shared" si="5"/>
        <v>205</v>
      </c>
      <c r="K75" s="7">
        <v>190.0</v>
      </c>
      <c r="L75" s="7">
        <v>15.0</v>
      </c>
      <c r="M75" s="5"/>
      <c r="N75" s="8" t="s">
        <v>37</v>
      </c>
      <c r="O75" s="9" t="s">
        <v>23</v>
      </c>
      <c r="P75" s="5">
        <f t="shared" si="6"/>
        <v>4591</v>
      </c>
      <c r="Q75" s="8">
        <v>2501.0</v>
      </c>
      <c r="R75" s="8">
        <v>2090.0</v>
      </c>
      <c r="T75" s="1" t="s">
        <v>37</v>
      </c>
      <c r="U75" s="11" t="s">
        <v>23</v>
      </c>
      <c r="V75" s="5">
        <f t="shared" si="7"/>
        <v>1015</v>
      </c>
      <c r="W75" s="1">
        <v>413.0</v>
      </c>
      <c r="X75" s="1">
        <v>602.0</v>
      </c>
    </row>
    <row r="76">
      <c r="B76" s="6" t="str">
        <f t="shared" ref="B76:C76" si="150">H76</f>
        <v>Cambay</v>
      </c>
      <c r="C76" s="6" t="str">
        <f t="shared" si="150"/>
        <v>40–44</v>
      </c>
      <c r="D76" s="6">
        <f t="shared" ref="D76:F76" si="151">J76+P76+V76</f>
        <v>6063</v>
      </c>
      <c r="E76" s="6">
        <f t="shared" si="151"/>
        <v>3178</v>
      </c>
      <c r="F76" s="6">
        <f t="shared" si="151"/>
        <v>2885</v>
      </c>
      <c r="G76" s="6"/>
      <c r="H76" s="6" t="s">
        <v>37</v>
      </c>
      <c r="I76" s="6" t="s">
        <v>24</v>
      </c>
      <c r="J76" s="5">
        <f t="shared" si="5"/>
        <v>179</v>
      </c>
      <c r="K76" s="7">
        <v>159.0</v>
      </c>
      <c r="L76" s="7">
        <v>20.0</v>
      </c>
      <c r="M76" s="5"/>
      <c r="N76" s="8" t="s">
        <v>37</v>
      </c>
      <c r="O76" s="9" t="s">
        <v>25</v>
      </c>
      <c r="P76" s="5">
        <f t="shared" si="6"/>
        <v>4523</v>
      </c>
      <c r="Q76" s="8">
        <v>2616.0</v>
      </c>
      <c r="R76" s="8">
        <v>1907.0</v>
      </c>
      <c r="T76" s="1" t="s">
        <v>37</v>
      </c>
      <c r="U76" s="11" t="s">
        <v>25</v>
      </c>
      <c r="V76" s="5">
        <f t="shared" si="7"/>
        <v>1361</v>
      </c>
      <c r="W76" s="1">
        <v>403.0</v>
      </c>
      <c r="X76" s="1">
        <v>958.0</v>
      </c>
    </row>
    <row r="77">
      <c r="B77" s="6" t="str">
        <f t="shared" ref="B77:C77" si="152">H77</f>
        <v>Cambay</v>
      </c>
      <c r="C77" s="6" t="str">
        <f t="shared" si="152"/>
        <v>45–49</v>
      </c>
      <c r="D77" s="6">
        <f t="shared" ref="D77:F77" si="153">J77+P77+V77</f>
        <v>3620</v>
      </c>
      <c r="E77" s="6">
        <f t="shared" si="153"/>
        <v>1713</v>
      </c>
      <c r="F77" s="6">
        <f t="shared" si="153"/>
        <v>1907</v>
      </c>
      <c r="G77" s="6"/>
      <c r="H77" s="6" t="s">
        <v>37</v>
      </c>
      <c r="I77" s="6" t="s">
        <v>26</v>
      </c>
      <c r="J77" s="5">
        <f t="shared" si="5"/>
        <v>76</v>
      </c>
      <c r="K77" s="7">
        <v>70.0</v>
      </c>
      <c r="L77" s="7">
        <v>6.0</v>
      </c>
      <c r="M77" s="5"/>
      <c r="N77" s="8" t="s">
        <v>37</v>
      </c>
      <c r="O77" s="9" t="s">
        <v>27</v>
      </c>
      <c r="P77" s="5">
        <f t="shared" si="6"/>
        <v>2068</v>
      </c>
      <c r="Q77" s="8">
        <v>1198.0</v>
      </c>
      <c r="R77" s="8">
        <v>870.0</v>
      </c>
      <c r="T77" s="1" t="s">
        <v>37</v>
      </c>
      <c r="U77" s="11" t="s">
        <v>27</v>
      </c>
      <c r="V77" s="5">
        <f t="shared" si="7"/>
        <v>1476</v>
      </c>
      <c r="W77" s="1">
        <v>445.0</v>
      </c>
      <c r="X77" s="1">
        <v>1031.0</v>
      </c>
    </row>
    <row r="78">
      <c r="B78" s="6" t="str">
        <f t="shared" ref="B78:C78" si="154">H78</f>
        <v>Cambay</v>
      </c>
      <c r="C78" s="6" t="str">
        <f t="shared" si="154"/>
        <v>50–54</v>
      </c>
      <c r="D78" s="6">
        <f t="shared" ref="D78:F78" si="155">J78+P78+V78</f>
        <v>4344</v>
      </c>
      <c r="E78" s="6">
        <f t="shared" si="155"/>
        <v>2236</v>
      </c>
      <c r="F78" s="6">
        <f t="shared" si="155"/>
        <v>2108</v>
      </c>
      <c r="G78" s="6"/>
      <c r="H78" s="6" t="s">
        <v>37</v>
      </c>
      <c r="I78" s="6" t="s">
        <v>28</v>
      </c>
      <c r="J78" s="5">
        <f t="shared" si="5"/>
        <v>110</v>
      </c>
      <c r="K78" s="7">
        <v>99.0</v>
      </c>
      <c r="L78" s="7">
        <v>11.0</v>
      </c>
      <c r="M78" s="5"/>
      <c r="N78" s="8" t="s">
        <v>37</v>
      </c>
      <c r="O78" s="9" t="s">
        <v>29</v>
      </c>
      <c r="P78" s="5">
        <f t="shared" si="6"/>
        <v>2440</v>
      </c>
      <c r="Q78" s="8">
        <v>1669.0</v>
      </c>
      <c r="R78" s="8">
        <v>771.0</v>
      </c>
      <c r="T78" s="1" t="s">
        <v>37</v>
      </c>
      <c r="U78" s="11" t="s">
        <v>29</v>
      </c>
      <c r="V78" s="5">
        <f t="shared" si="7"/>
        <v>1794</v>
      </c>
      <c r="W78" s="1">
        <v>468.0</v>
      </c>
      <c r="X78" s="1">
        <v>1326.0</v>
      </c>
    </row>
    <row r="79">
      <c r="B79" s="6" t="str">
        <f t="shared" ref="B79:C79" si="156">H79</f>
        <v>Cambay</v>
      </c>
      <c r="C79" s="6" t="str">
        <f t="shared" si="156"/>
        <v>55–59</v>
      </c>
      <c r="D79" s="6">
        <f t="shared" ref="D79:F79" si="157">J79+P79+V79</f>
        <v>1862</v>
      </c>
      <c r="E79" s="6">
        <f t="shared" si="157"/>
        <v>828</v>
      </c>
      <c r="F79" s="6">
        <f t="shared" si="157"/>
        <v>1034</v>
      </c>
      <c r="G79" s="6"/>
      <c r="H79" s="6" t="s">
        <v>37</v>
      </c>
      <c r="I79" s="6" t="s">
        <v>30</v>
      </c>
      <c r="J79" s="5">
        <f t="shared" si="5"/>
        <v>34</v>
      </c>
      <c r="K79" s="7">
        <v>30.0</v>
      </c>
      <c r="L79" s="7">
        <v>4.0</v>
      </c>
      <c r="M79" s="5"/>
      <c r="N79" s="8" t="s">
        <v>37</v>
      </c>
      <c r="O79" s="9" t="s">
        <v>31</v>
      </c>
      <c r="P79" s="5">
        <f t="shared" si="6"/>
        <v>730</v>
      </c>
      <c r="Q79" s="8">
        <v>469.0</v>
      </c>
      <c r="R79" s="8">
        <v>261.0</v>
      </c>
      <c r="T79" s="1" t="s">
        <v>37</v>
      </c>
      <c r="U79" s="11" t="s">
        <v>31</v>
      </c>
      <c r="V79" s="5">
        <f t="shared" si="7"/>
        <v>1098</v>
      </c>
      <c r="W79" s="1">
        <v>329.0</v>
      </c>
      <c r="X79" s="1">
        <v>769.0</v>
      </c>
    </row>
    <row r="80">
      <c r="B80" s="6" t="str">
        <f t="shared" ref="B80:C80" si="158">H80</f>
        <v>Cambay</v>
      </c>
      <c r="C80" s="6" t="str">
        <f t="shared" si="158"/>
        <v>60 and over</v>
      </c>
      <c r="D80" s="6">
        <f t="shared" ref="D80:F80" si="159">J80+P80+V80</f>
        <v>5241</v>
      </c>
      <c r="E80" s="6">
        <f t="shared" si="159"/>
        <v>2057</v>
      </c>
      <c r="F80" s="6">
        <f t="shared" si="159"/>
        <v>3184</v>
      </c>
      <c r="G80" s="6"/>
      <c r="H80" s="6" t="s">
        <v>37</v>
      </c>
      <c r="I80" s="6" t="s">
        <v>32</v>
      </c>
      <c r="J80" s="5">
        <f t="shared" si="5"/>
        <v>108</v>
      </c>
      <c r="K80" s="7">
        <v>104.0</v>
      </c>
      <c r="L80" s="7">
        <v>4.0</v>
      </c>
      <c r="M80" s="5"/>
      <c r="N80" s="8" t="s">
        <v>37</v>
      </c>
      <c r="O80" s="6" t="s">
        <v>32</v>
      </c>
      <c r="P80" s="5">
        <f t="shared" si="6"/>
        <v>1437</v>
      </c>
      <c r="Q80" s="8">
        <v>1053.0</v>
      </c>
      <c r="R80" s="8">
        <v>384.0</v>
      </c>
      <c r="T80" s="1" t="s">
        <v>37</v>
      </c>
      <c r="U80" s="6" t="s">
        <v>32</v>
      </c>
      <c r="V80" s="5">
        <f t="shared" si="7"/>
        <v>3696</v>
      </c>
      <c r="W80" s="1">
        <v>900.0</v>
      </c>
      <c r="X80" s="1">
        <v>2796.0</v>
      </c>
    </row>
    <row r="81">
      <c r="B81" s="6" t="str">
        <f t="shared" ref="B81:C81" si="160">H81</f>
        <v>Surat Agency</v>
      </c>
      <c r="C81" s="6" t="str">
        <f t="shared" si="160"/>
        <v>0–4</v>
      </c>
      <c r="D81" s="6">
        <f t="shared" ref="D81:F81" si="161">J81+P81+V81</f>
        <v>28451</v>
      </c>
      <c r="E81" s="6">
        <f t="shared" si="161"/>
        <v>13699</v>
      </c>
      <c r="F81" s="6">
        <f t="shared" si="161"/>
        <v>14752</v>
      </c>
      <c r="G81" s="6"/>
      <c r="H81" s="6" t="s">
        <v>38</v>
      </c>
      <c r="I81" s="6" t="s">
        <v>10</v>
      </c>
      <c r="J81" s="5">
        <f t="shared" si="5"/>
        <v>28223</v>
      </c>
      <c r="K81" s="7">
        <v>13606.0</v>
      </c>
      <c r="L81" s="7">
        <v>14617.0</v>
      </c>
      <c r="M81" s="5"/>
      <c r="N81" s="8" t="s">
        <v>38</v>
      </c>
      <c r="O81" s="9" t="s">
        <v>11</v>
      </c>
      <c r="P81" s="5">
        <f t="shared" si="6"/>
        <v>225</v>
      </c>
      <c r="Q81" s="10">
        <v>91.0</v>
      </c>
      <c r="R81" s="10">
        <v>134.0</v>
      </c>
      <c r="T81" s="1" t="s">
        <v>38</v>
      </c>
      <c r="U81" s="11" t="s">
        <v>11</v>
      </c>
      <c r="V81" s="5">
        <f t="shared" si="7"/>
        <v>3</v>
      </c>
      <c r="W81" s="1">
        <v>2.0</v>
      </c>
      <c r="X81" s="1">
        <v>1.0</v>
      </c>
    </row>
    <row r="82">
      <c r="B82" s="6" t="str">
        <f t="shared" ref="B82:C82" si="162">H82</f>
        <v>Surat Agency</v>
      </c>
      <c r="C82" s="6" t="str">
        <f t="shared" si="162"/>
        <v>5–9</v>
      </c>
      <c r="D82" s="6">
        <f t="shared" ref="D82:F82" si="163">J82+P82+V82</f>
        <v>28734</v>
      </c>
      <c r="E82" s="6">
        <f t="shared" si="163"/>
        <v>14832</v>
      </c>
      <c r="F82" s="6">
        <f t="shared" si="163"/>
        <v>13902</v>
      </c>
      <c r="G82" s="6"/>
      <c r="H82" s="6" t="s">
        <v>38</v>
      </c>
      <c r="I82" s="6" t="s">
        <v>12</v>
      </c>
      <c r="J82" s="5">
        <f t="shared" si="5"/>
        <v>27761</v>
      </c>
      <c r="K82" s="7">
        <v>14467.0</v>
      </c>
      <c r="L82" s="7">
        <v>13294.0</v>
      </c>
      <c r="M82" s="5"/>
      <c r="N82" s="8" t="s">
        <v>38</v>
      </c>
      <c r="O82" s="12">
        <v>45786.0</v>
      </c>
      <c r="P82" s="5">
        <f t="shared" si="6"/>
        <v>951</v>
      </c>
      <c r="Q82" s="10">
        <v>356.0</v>
      </c>
      <c r="R82" s="10">
        <v>595.0</v>
      </c>
      <c r="T82" s="1" t="s">
        <v>38</v>
      </c>
      <c r="U82" s="13">
        <v>45786.0</v>
      </c>
      <c r="V82" s="5">
        <f t="shared" si="7"/>
        <v>22</v>
      </c>
      <c r="W82" s="1">
        <v>9.0</v>
      </c>
      <c r="X82" s="1">
        <v>13.0</v>
      </c>
    </row>
    <row r="83">
      <c r="B83" s="6" t="str">
        <f t="shared" ref="B83:C83" si="164">H83</f>
        <v>Surat Agency</v>
      </c>
      <c r="C83" s="6" t="str">
        <f t="shared" si="164"/>
        <v>10–14</v>
      </c>
      <c r="D83" s="6">
        <f t="shared" ref="D83:F83" si="165">J83+P83+V83</f>
        <v>20281</v>
      </c>
      <c r="E83" s="6">
        <f t="shared" si="165"/>
        <v>10991</v>
      </c>
      <c r="F83" s="6">
        <f t="shared" si="165"/>
        <v>9290</v>
      </c>
      <c r="G83" s="6"/>
      <c r="H83" s="6" t="s">
        <v>38</v>
      </c>
      <c r="I83" s="6" t="s">
        <v>13</v>
      </c>
      <c r="J83" s="5">
        <f t="shared" si="5"/>
        <v>17598</v>
      </c>
      <c r="K83" s="7">
        <v>10018.0</v>
      </c>
      <c r="L83" s="7">
        <v>7580.0</v>
      </c>
      <c r="M83" s="5"/>
      <c r="N83" s="8" t="s">
        <v>38</v>
      </c>
      <c r="O83" s="12">
        <v>45944.0</v>
      </c>
      <c r="P83" s="5">
        <f t="shared" si="6"/>
        <v>2639</v>
      </c>
      <c r="Q83" s="10">
        <v>950.0</v>
      </c>
      <c r="R83" s="10">
        <v>1689.0</v>
      </c>
      <c r="T83" s="1" t="s">
        <v>38</v>
      </c>
      <c r="U83" s="13">
        <v>45944.0</v>
      </c>
      <c r="V83" s="5">
        <f t="shared" si="7"/>
        <v>44</v>
      </c>
      <c r="W83" s="1">
        <v>23.0</v>
      </c>
      <c r="X83" s="1">
        <v>21.0</v>
      </c>
    </row>
    <row r="84">
      <c r="B84" s="6" t="str">
        <f t="shared" ref="B84:C84" si="166">H84</f>
        <v>Surat Agency</v>
      </c>
      <c r="C84" s="6" t="str">
        <f t="shared" si="166"/>
        <v>15–19</v>
      </c>
      <c r="D84" s="6">
        <f t="shared" ref="D84:F84" si="167">J84+P84+V84</f>
        <v>13583</v>
      </c>
      <c r="E84" s="6">
        <f t="shared" si="167"/>
        <v>7072</v>
      </c>
      <c r="F84" s="6">
        <f t="shared" si="167"/>
        <v>6511</v>
      </c>
      <c r="G84" s="6"/>
      <c r="H84" s="6" t="s">
        <v>38</v>
      </c>
      <c r="I84" s="6" t="s">
        <v>14</v>
      </c>
      <c r="J84" s="5">
        <f t="shared" si="5"/>
        <v>7789</v>
      </c>
      <c r="K84" s="7">
        <v>5029.0</v>
      </c>
      <c r="L84" s="7">
        <v>2760.0</v>
      </c>
      <c r="M84" s="5"/>
      <c r="N84" s="8" t="s">
        <v>38</v>
      </c>
      <c r="O84" s="9" t="s">
        <v>15</v>
      </c>
      <c r="P84" s="5">
        <f t="shared" si="6"/>
        <v>5695</v>
      </c>
      <c r="Q84" s="10">
        <v>2010.0</v>
      </c>
      <c r="R84" s="10">
        <v>3685.0</v>
      </c>
      <c r="T84" s="1" t="s">
        <v>38</v>
      </c>
      <c r="U84" s="11" t="s">
        <v>15</v>
      </c>
      <c r="V84" s="5">
        <f t="shared" si="7"/>
        <v>99</v>
      </c>
      <c r="W84" s="1">
        <v>33.0</v>
      </c>
      <c r="X84" s="1">
        <v>66.0</v>
      </c>
    </row>
    <row r="85">
      <c r="B85" s="6" t="str">
        <f t="shared" ref="B85:C85" si="168">H85</f>
        <v>Surat Agency</v>
      </c>
      <c r="C85" s="6" t="str">
        <f t="shared" si="168"/>
        <v>20–24</v>
      </c>
      <c r="D85" s="6">
        <f t="shared" ref="D85:F85" si="169">J85+P85+V85</f>
        <v>14763</v>
      </c>
      <c r="E85" s="6">
        <f t="shared" si="169"/>
        <v>7103</v>
      </c>
      <c r="F85" s="6">
        <f t="shared" si="169"/>
        <v>7660</v>
      </c>
      <c r="G85" s="6"/>
      <c r="H85" s="6" t="s">
        <v>38</v>
      </c>
      <c r="I85" s="6" t="s">
        <v>16</v>
      </c>
      <c r="J85" s="5">
        <f t="shared" si="5"/>
        <v>3599</v>
      </c>
      <c r="K85" s="7">
        <v>2751.0</v>
      </c>
      <c r="L85" s="7">
        <v>848.0</v>
      </c>
      <c r="M85" s="5"/>
      <c r="N85" s="8" t="s">
        <v>38</v>
      </c>
      <c r="O85" s="9" t="s">
        <v>17</v>
      </c>
      <c r="P85" s="5">
        <f t="shared" si="6"/>
        <v>10876</v>
      </c>
      <c r="Q85" s="10">
        <v>4222.0</v>
      </c>
      <c r="R85" s="10">
        <v>6654.0</v>
      </c>
      <c r="T85" s="1" t="s">
        <v>38</v>
      </c>
      <c r="U85" s="11" t="s">
        <v>17</v>
      </c>
      <c r="V85" s="5">
        <f t="shared" si="7"/>
        <v>288</v>
      </c>
      <c r="W85" s="1">
        <v>130.0</v>
      </c>
      <c r="X85" s="1">
        <v>158.0</v>
      </c>
    </row>
    <row r="86">
      <c r="B86" s="6" t="str">
        <f t="shared" ref="B86:C86" si="170">H86</f>
        <v>Surat Agency</v>
      </c>
      <c r="C86" s="6" t="str">
        <f t="shared" si="170"/>
        <v>25–29</v>
      </c>
      <c r="D86" s="6">
        <f t="shared" ref="D86:F86" si="171">J86+P86+V86</f>
        <v>18872</v>
      </c>
      <c r="E86" s="6">
        <f t="shared" si="171"/>
        <v>10434</v>
      </c>
      <c r="F86" s="6">
        <f t="shared" si="171"/>
        <v>8438</v>
      </c>
      <c r="G86" s="6"/>
      <c r="H86" s="6" t="s">
        <v>38</v>
      </c>
      <c r="I86" s="6" t="s">
        <v>18</v>
      </c>
      <c r="J86" s="5">
        <f t="shared" si="5"/>
        <v>1568</v>
      </c>
      <c r="K86" s="7">
        <v>1261.0</v>
      </c>
      <c r="L86" s="7">
        <v>307.0</v>
      </c>
      <c r="M86" s="5"/>
      <c r="N86" s="8" t="s">
        <v>38</v>
      </c>
      <c r="O86" s="9" t="s">
        <v>19</v>
      </c>
      <c r="P86" s="5">
        <f t="shared" si="6"/>
        <v>15723</v>
      </c>
      <c r="Q86" s="8">
        <v>8244.0</v>
      </c>
      <c r="R86" s="8">
        <v>7479.0</v>
      </c>
      <c r="T86" s="1" t="s">
        <v>38</v>
      </c>
      <c r="U86" s="11" t="s">
        <v>19</v>
      </c>
      <c r="V86" s="5">
        <f t="shared" si="7"/>
        <v>1581</v>
      </c>
      <c r="W86" s="1">
        <v>929.0</v>
      </c>
      <c r="X86" s="1">
        <v>652.0</v>
      </c>
    </row>
    <row r="87">
      <c r="B87" s="6" t="str">
        <f t="shared" ref="B87:C87" si="172">H87</f>
        <v>Surat Agency</v>
      </c>
      <c r="C87" s="6" t="str">
        <f t="shared" si="172"/>
        <v>30–34</v>
      </c>
      <c r="D87" s="6">
        <f t="shared" ref="D87:F87" si="173">J87+P87+V87</f>
        <v>14298</v>
      </c>
      <c r="E87" s="6">
        <f t="shared" si="173"/>
        <v>7209</v>
      </c>
      <c r="F87" s="6">
        <f t="shared" si="173"/>
        <v>7089</v>
      </c>
      <c r="G87" s="6"/>
      <c r="H87" s="6" t="s">
        <v>38</v>
      </c>
      <c r="I87" s="6" t="s">
        <v>20</v>
      </c>
      <c r="J87" s="5">
        <f t="shared" si="5"/>
        <v>794</v>
      </c>
      <c r="K87" s="7">
        <v>623.0</v>
      </c>
      <c r="L87" s="7">
        <v>171.0</v>
      </c>
      <c r="M87" s="5"/>
      <c r="N87" s="8" t="s">
        <v>38</v>
      </c>
      <c r="O87" s="9" t="s">
        <v>21</v>
      </c>
      <c r="P87" s="5">
        <f t="shared" si="6"/>
        <v>12790</v>
      </c>
      <c r="Q87" s="8">
        <v>6285.0</v>
      </c>
      <c r="R87" s="8">
        <v>6505.0</v>
      </c>
      <c r="T87" s="1" t="s">
        <v>38</v>
      </c>
      <c r="U87" s="11" t="s">
        <v>21</v>
      </c>
      <c r="V87" s="5">
        <f t="shared" si="7"/>
        <v>714</v>
      </c>
      <c r="W87" s="1">
        <v>301.0</v>
      </c>
      <c r="X87" s="1">
        <v>413.0</v>
      </c>
    </row>
    <row r="88">
      <c r="B88" s="6" t="str">
        <f t="shared" ref="B88:C88" si="174">H88</f>
        <v>Surat Agency</v>
      </c>
      <c r="C88" s="6" t="str">
        <f t="shared" si="174"/>
        <v>35–39</v>
      </c>
      <c r="D88" s="6">
        <f t="shared" ref="D88:F88" si="175">J88+P88+V88</f>
        <v>13087</v>
      </c>
      <c r="E88" s="6">
        <f t="shared" si="175"/>
        <v>7201</v>
      </c>
      <c r="F88" s="6">
        <f t="shared" si="175"/>
        <v>5886</v>
      </c>
      <c r="G88" s="6"/>
      <c r="H88" s="6" t="s">
        <v>38</v>
      </c>
      <c r="I88" s="6" t="s">
        <v>22</v>
      </c>
      <c r="J88" s="5">
        <f t="shared" si="5"/>
        <v>450</v>
      </c>
      <c r="K88" s="8">
        <v>333.0</v>
      </c>
      <c r="L88" s="7">
        <v>117.0</v>
      </c>
      <c r="M88" s="5"/>
      <c r="N88" s="8" t="s">
        <v>38</v>
      </c>
      <c r="O88" s="9" t="s">
        <v>23</v>
      </c>
      <c r="P88" s="5">
        <f t="shared" si="6"/>
        <v>11598</v>
      </c>
      <c r="Q88" s="8">
        <v>6431.0</v>
      </c>
      <c r="R88" s="8">
        <v>5167.0</v>
      </c>
      <c r="T88" s="1" t="s">
        <v>38</v>
      </c>
      <c r="U88" s="11" t="s">
        <v>23</v>
      </c>
      <c r="V88" s="5">
        <f t="shared" si="7"/>
        <v>1039</v>
      </c>
      <c r="W88" s="1">
        <v>437.0</v>
      </c>
      <c r="X88" s="1">
        <v>602.0</v>
      </c>
    </row>
    <row r="89">
      <c r="B89" s="6" t="str">
        <f t="shared" ref="B89:C89" si="176">H89</f>
        <v>Surat Agency</v>
      </c>
      <c r="C89" s="6" t="str">
        <f t="shared" si="176"/>
        <v>40–44</v>
      </c>
      <c r="D89" s="6">
        <f t="shared" ref="D89:F89" si="177">J89+P89+V89</f>
        <v>9514</v>
      </c>
      <c r="E89" s="6">
        <f t="shared" si="177"/>
        <v>4863</v>
      </c>
      <c r="F89" s="6">
        <f t="shared" si="177"/>
        <v>4651</v>
      </c>
      <c r="G89" s="6"/>
      <c r="H89" s="6" t="s">
        <v>38</v>
      </c>
      <c r="I89" s="6" t="s">
        <v>24</v>
      </c>
      <c r="J89" s="5">
        <f t="shared" si="5"/>
        <v>259</v>
      </c>
      <c r="K89" s="7">
        <v>179.0</v>
      </c>
      <c r="L89" s="7">
        <v>80.0</v>
      </c>
      <c r="M89" s="5"/>
      <c r="N89" s="8" t="s">
        <v>38</v>
      </c>
      <c r="O89" s="9" t="s">
        <v>25</v>
      </c>
      <c r="P89" s="5">
        <f t="shared" si="6"/>
        <v>7894</v>
      </c>
      <c r="Q89" s="8">
        <v>4281.0</v>
      </c>
      <c r="R89" s="8">
        <v>3613.0</v>
      </c>
      <c r="T89" s="1" t="s">
        <v>38</v>
      </c>
      <c r="U89" s="11" t="s">
        <v>25</v>
      </c>
      <c r="V89" s="5">
        <f t="shared" si="7"/>
        <v>1361</v>
      </c>
      <c r="W89" s="1">
        <v>403.0</v>
      </c>
      <c r="X89" s="1">
        <v>958.0</v>
      </c>
    </row>
    <row r="90">
      <c r="B90" s="6" t="str">
        <f t="shared" ref="B90:C90" si="178">H90</f>
        <v>Surat Agency</v>
      </c>
      <c r="C90" s="6" t="str">
        <f t="shared" si="178"/>
        <v>45–49</v>
      </c>
      <c r="D90" s="6">
        <f t="shared" ref="D90:F90" si="179">J90+P90+V90</f>
        <v>7571</v>
      </c>
      <c r="E90" s="6">
        <f t="shared" si="179"/>
        <v>4234</v>
      </c>
      <c r="F90" s="6">
        <f t="shared" si="179"/>
        <v>3337</v>
      </c>
      <c r="G90" s="6"/>
      <c r="H90" s="6" t="s">
        <v>38</v>
      </c>
      <c r="I90" s="6" t="s">
        <v>26</v>
      </c>
      <c r="J90" s="5">
        <f t="shared" si="5"/>
        <v>177</v>
      </c>
      <c r="K90" s="7">
        <v>123.0</v>
      </c>
      <c r="L90" s="7">
        <v>54.0</v>
      </c>
      <c r="M90" s="5"/>
      <c r="N90" s="8" t="s">
        <v>38</v>
      </c>
      <c r="O90" s="9" t="s">
        <v>27</v>
      </c>
      <c r="P90" s="5">
        <f t="shared" si="6"/>
        <v>5918</v>
      </c>
      <c r="Q90" s="8">
        <v>3666.0</v>
      </c>
      <c r="R90" s="8">
        <v>2252.0</v>
      </c>
      <c r="T90" s="1" t="s">
        <v>38</v>
      </c>
      <c r="U90" s="11" t="s">
        <v>27</v>
      </c>
      <c r="V90" s="5">
        <f t="shared" si="7"/>
        <v>1476</v>
      </c>
      <c r="W90" s="1">
        <v>445.0</v>
      </c>
      <c r="X90" s="1">
        <v>1031.0</v>
      </c>
    </row>
    <row r="91">
      <c r="B91" s="6" t="str">
        <f t="shared" ref="B91:C91" si="180">H91</f>
        <v>Surat Agency</v>
      </c>
      <c r="C91" s="6" t="str">
        <f t="shared" si="180"/>
        <v>50–54</v>
      </c>
      <c r="D91" s="6">
        <f t="shared" ref="D91:F91" si="181">J91+P91+V91</f>
        <v>5674</v>
      </c>
      <c r="E91" s="6">
        <f t="shared" si="181"/>
        <v>2790</v>
      </c>
      <c r="F91" s="6">
        <f t="shared" si="181"/>
        <v>2884</v>
      </c>
      <c r="G91" s="6"/>
      <c r="H91" s="6" t="s">
        <v>38</v>
      </c>
      <c r="I91" s="6" t="s">
        <v>28</v>
      </c>
      <c r="J91" s="5">
        <f t="shared" si="5"/>
        <v>109</v>
      </c>
      <c r="K91" s="7">
        <v>78.0</v>
      </c>
      <c r="L91" s="7">
        <v>31.0</v>
      </c>
      <c r="M91" s="5"/>
      <c r="N91" s="8" t="s">
        <v>38</v>
      </c>
      <c r="O91" s="9" t="s">
        <v>29</v>
      </c>
      <c r="P91" s="5">
        <f t="shared" si="6"/>
        <v>3771</v>
      </c>
      <c r="Q91" s="8">
        <v>2244.0</v>
      </c>
      <c r="R91" s="8">
        <v>1527.0</v>
      </c>
      <c r="T91" s="1" t="s">
        <v>38</v>
      </c>
      <c r="U91" s="11" t="s">
        <v>29</v>
      </c>
      <c r="V91" s="5">
        <f t="shared" si="7"/>
        <v>1794</v>
      </c>
      <c r="W91" s="1">
        <v>468.0</v>
      </c>
      <c r="X91" s="1">
        <v>1326.0</v>
      </c>
    </row>
    <row r="92">
      <c r="B92" s="6" t="str">
        <f t="shared" ref="B92:C92" si="182">H92</f>
        <v>Surat Agency</v>
      </c>
      <c r="C92" s="6" t="str">
        <f t="shared" si="182"/>
        <v>55–59</v>
      </c>
      <c r="D92" s="6">
        <f t="shared" ref="D92:F92" si="183">J92+P92+V92</f>
        <v>3226</v>
      </c>
      <c r="E92" s="6">
        <f t="shared" si="183"/>
        <v>1659</v>
      </c>
      <c r="F92" s="6">
        <f t="shared" si="183"/>
        <v>1567</v>
      </c>
      <c r="G92" s="6"/>
      <c r="H92" s="6" t="s">
        <v>38</v>
      </c>
      <c r="I92" s="6" t="s">
        <v>30</v>
      </c>
      <c r="J92" s="5">
        <f t="shared" si="5"/>
        <v>59</v>
      </c>
      <c r="K92" s="7">
        <v>46.0</v>
      </c>
      <c r="L92" s="7">
        <v>13.0</v>
      </c>
      <c r="M92" s="5"/>
      <c r="N92" s="8" t="s">
        <v>38</v>
      </c>
      <c r="O92" s="9" t="s">
        <v>31</v>
      </c>
      <c r="P92" s="5">
        <f t="shared" si="6"/>
        <v>2069</v>
      </c>
      <c r="Q92" s="8">
        <v>1284.0</v>
      </c>
      <c r="R92" s="8">
        <v>785.0</v>
      </c>
      <c r="T92" s="1" t="s">
        <v>38</v>
      </c>
      <c r="U92" s="11" t="s">
        <v>31</v>
      </c>
      <c r="V92" s="5">
        <f t="shared" si="7"/>
        <v>1098</v>
      </c>
      <c r="W92" s="1">
        <v>329.0</v>
      </c>
      <c r="X92" s="1">
        <v>769.0</v>
      </c>
    </row>
    <row r="93">
      <c r="B93" s="6" t="str">
        <f t="shared" ref="B93:C93" si="184">H93</f>
        <v>Surat Agency</v>
      </c>
      <c r="C93" s="6" t="str">
        <f t="shared" si="184"/>
        <v>60 and over</v>
      </c>
      <c r="D93" s="6">
        <f t="shared" ref="D93:F93" si="185">J93+P93+V93</f>
        <v>6987</v>
      </c>
      <c r="E93" s="6">
        <f t="shared" si="185"/>
        <v>3100</v>
      </c>
      <c r="F93" s="6">
        <f t="shared" si="185"/>
        <v>3887</v>
      </c>
      <c r="G93" s="6"/>
      <c r="H93" s="6" t="s">
        <v>38</v>
      </c>
      <c r="I93" s="6" t="s">
        <v>32</v>
      </c>
      <c r="J93" s="5">
        <f t="shared" si="5"/>
        <v>128</v>
      </c>
      <c r="K93" s="7">
        <v>94.0</v>
      </c>
      <c r="L93" s="7">
        <v>34.0</v>
      </c>
      <c r="M93" s="5"/>
      <c r="N93" s="8" t="s">
        <v>38</v>
      </c>
      <c r="O93" s="6" t="s">
        <v>32</v>
      </c>
      <c r="P93" s="5">
        <f t="shared" si="6"/>
        <v>3163</v>
      </c>
      <c r="Q93" s="8">
        <v>2106.0</v>
      </c>
      <c r="R93" s="8">
        <v>1057.0</v>
      </c>
      <c r="T93" s="1" t="s">
        <v>38</v>
      </c>
      <c r="U93" s="6" t="s">
        <v>32</v>
      </c>
      <c r="V93" s="5">
        <f t="shared" si="7"/>
        <v>3696</v>
      </c>
      <c r="W93" s="1">
        <v>900.0</v>
      </c>
      <c r="X93" s="1">
        <v>2796.0</v>
      </c>
    </row>
    <row r="94">
      <c r="B94" s="6" t="str">
        <f t="shared" ref="B94:C94" si="186">H94</f>
        <v>Jawhar</v>
      </c>
      <c r="C94" s="6" t="str">
        <f t="shared" si="186"/>
        <v>0–4</v>
      </c>
      <c r="D94" s="6">
        <f t="shared" ref="D94:F94" si="187">J94+P94+V94</f>
        <v>8561</v>
      </c>
      <c r="E94" s="6">
        <f t="shared" si="187"/>
        <v>4105</v>
      </c>
      <c r="F94" s="6">
        <f t="shared" si="187"/>
        <v>4456</v>
      </c>
      <c r="G94" s="6"/>
      <c r="H94" s="6" t="s">
        <v>39</v>
      </c>
      <c r="I94" s="6" t="s">
        <v>10</v>
      </c>
      <c r="J94" s="5">
        <f t="shared" si="5"/>
        <v>8497</v>
      </c>
      <c r="K94" s="7">
        <v>4082.0</v>
      </c>
      <c r="L94" s="7">
        <v>4415.0</v>
      </c>
      <c r="M94" s="5"/>
      <c r="N94" s="8" t="s">
        <v>39</v>
      </c>
      <c r="O94" s="9" t="s">
        <v>11</v>
      </c>
      <c r="P94" s="5">
        <f t="shared" si="6"/>
        <v>63</v>
      </c>
      <c r="Q94" s="10">
        <v>23.0</v>
      </c>
      <c r="R94" s="10">
        <v>40.0</v>
      </c>
      <c r="T94" s="1" t="s">
        <v>39</v>
      </c>
      <c r="U94" s="11" t="s">
        <v>11</v>
      </c>
      <c r="V94" s="5">
        <f t="shared" si="7"/>
        <v>1</v>
      </c>
      <c r="W94" s="1">
        <v>0.0</v>
      </c>
      <c r="X94" s="1">
        <v>1.0</v>
      </c>
    </row>
    <row r="95">
      <c r="B95" s="6" t="str">
        <f t="shared" ref="B95:C95" si="188">H95</f>
        <v>Jawhar</v>
      </c>
      <c r="C95" s="6" t="str">
        <f t="shared" si="188"/>
        <v>5–9</v>
      </c>
      <c r="D95" s="6">
        <f t="shared" ref="D95:F95" si="189">J95+P95+V95</f>
        <v>8644</v>
      </c>
      <c r="E95" s="6">
        <f t="shared" si="189"/>
        <v>4384</v>
      </c>
      <c r="F95" s="6">
        <f t="shared" si="189"/>
        <v>4260</v>
      </c>
      <c r="G95" s="6"/>
      <c r="H95" s="6" t="s">
        <v>39</v>
      </c>
      <c r="I95" s="6" t="s">
        <v>12</v>
      </c>
      <c r="J95" s="5">
        <f t="shared" si="5"/>
        <v>8479</v>
      </c>
      <c r="K95" s="7">
        <v>4326.0</v>
      </c>
      <c r="L95" s="7">
        <v>4153.0</v>
      </c>
      <c r="M95" s="5"/>
      <c r="N95" s="8" t="s">
        <v>39</v>
      </c>
      <c r="O95" s="12">
        <v>45786.0</v>
      </c>
      <c r="P95" s="5">
        <f t="shared" si="6"/>
        <v>161</v>
      </c>
      <c r="Q95" s="10">
        <v>57.0</v>
      </c>
      <c r="R95" s="10">
        <v>104.0</v>
      </c>
      <c r="T95" s="1" t="s">
        <v>39</v>
      </c>
      <c r="U95" s="13">
        <v>45786.0</v>
      </c>
      <c r="V95" s="5">
        <f t="shared" si="7"/>
        <v>4</v>
      </c>
      <c r="W95" s="1">
        <v>1.0</v>
      </c>
      <c r="X95" s="1">
        <v>3.0</v>
      </c>
    </row>
    <row r="96">
      <c r="B96" s="6" t="str">
        <f t="shared" ref="B96:C96" si="190">H96</f>
        <v>Jawhar</v>
      </c>
      <c r="C96" s="6" t="str">
        <f t="shared" si="190"/>
        <v>10–14</v>
      </c>
      <c r="D96" s="6">
        <f t="shared" ref="D96:F96" si="191">J96+P96+V96</f>
        <v>5243</v>
      </c>
      <c r="E96" s="6">
        <f t="shared" si="191"/>
        <v>2969</v>
      </c>
      <c r="F96" s="6">
        <f t="shared" si="191"/>
        <v>2274</v>
      </c>
      <c r="G96" s="6"/>
      <c r="H96" s="6" t="s">
        <v>39</v>
      </c>
      <c r="I96" s="6" t="s">
        <v>13</v>
      </c>
      <c r="J96" s="5">
        <f t="shared" si="5"/>
        <v>4696</v>
      </c>
      <c r="K96" s="7">
        <v>2824.0</v>
      </c>
      <c r="L96" s="7">
        <v>1872.0</v>
      </c>
      <c r="M96" s="5"/>
      <c r="N96" s="8" t="s">
        <v>39</v>
      </c>
      <c r="O96" s="12">
        <v>45944.0</v>
      </c>
      <c r="P96" s="5">
        <f t="shared" si="6"/>
        <v>544</v>
      </c>
      <c r="Q96" s="10">
        <v>145.0</v>
      </c>
      <c r="R96" s="10">
        <v>399.0</v>
      </c>
      <c r="T96" s="1" t="s">
        <v>39</v>
      </c>
      <c r="U96" s="13">
        <v>45944.0</v>
      </c>
      <c r="V96" s="5">
        <f t="shared" si="7"/>
        <v>3</v>
      </c>
      <c r="W96" s="1">
        <v>0.0</v>
      </c>
      <c r="X96" s="1">
        <v>3.0</v>
      </c>
    </row>
    <row r="97">
      <c r="B97" s="6" t="str">
        <f t="shared" ref="B97:C97" si="192">H97</f>
        <v>Jawhar</v>
      </c>
      <c r="C97" s="6" t="str">
        <f t="shared" si="192"/>
        <v>15–19</v>
      </c>
      <c r="D97" s="6">
        <f t="shared" ref="D97:F97" si="193">J97+P97+V97</f>
        <v>4052</v>
      </c>
      <c r="E97" s="6">
        <f t="shared" si="193"/>
        <v>2099</v>
      </c>
      <c r="F97" s="6">
        <f t="shared" si="193"/>
        <v>1953</v>
      </c>
      <c r="G97" s="6"/>
      <c r="H97" s="6" t="s">
        <v>39</v>
      </c>
      <c r="I97" s="6" t="s">
        <v>14</v>
      </c>
      <c r="J97" s="5">
        <f t="shared" si="5"/>
        <v>2235</v>
      </c>
      <c r="K97" s="7">
        <v>1610.0</v>
      </c>
      <c r="L97" s="7">
        <v>625.0</v>
      </c>
      <c r="M97" s="5"/>
      <c r="N97" s="8" t="s">
        <v>39</v>
      </c>
      <c r="O97" s="9" t="s">
        <v>15</v>
      </c>
      <c r="P97" s="5">
        <f t="shared" si="6"/>
        <v>1791</v>
      </c>
      <c r="Q97" s="10">
        <v>481.0</v>
      </c>
      <c r="R97" s="10">
        <v>1310.0</v>
      </c>
      <c r="T97" s="1" t="s">
        <v>39</v>
      </c>
      <c r="U97" s="11" t="s">
        <v>15</v>
      </c>
      <c r="V97" s="5">
        <f t="shared" si="7"/>
        <v>26</v>
      </c>
      <c r="W97" s="1">
        <v>8.0</v>
      </c>
      <c r="X97" s="1">
        <v>18.0</v>
      </c>
    </row>
    <row r="98">
      <c r="B98" s="6" t="str">
        <f t="shared" ref="B98:C98" si="194">H98</f>
        <v>Jawhar</v>
      </c>
      <c r="C98" s="6" t="str">
        <f t="shared" si="194"/>
        <v>20–24</v>
      </c>
      <c r="D98" s="6">
        <f t="shared" ref="D98:F98" si="195">J98+P98+V98</f>
        <v>3914</v>
      </c>
      <c r="E98" s="6">
        <f t="shared" si="195"/>
        <v>1967</v>
      </c>
      <c r="F98" s="6">
        <f t="shared" si="195"/>
        <v>1947</v>
      </c>
      <c r="G98" s="6"/>
      <c r="H98" s="6" t="s">
        <v>39</v>
      </c>
      <c r="I98" s="6" t="s">
        <v>16</v>
      </c>
      <c r="J98" s="5">
        <f t="shared" si="5"/>
        <v>1076</v>
      </c>
      <c r="K98" s="7">
        <v>916.0</v>
      </c>
      <c r="L98" s="7">
        <v>160.0</v>
      </c>
      <c r="M98" s="5"/>
      <c r="N98" s="8" t="s">
        <v>39</v>
      </c>
      <c r="O98" s="9" t="s">
        <v>17</v>
      </c>
      <c r="P98" s="5">
        <f t="shared" si="6"/>
        <v>2787</v>
      </c>
      <c r="Q98" s="10">
        <v>1032.0</v>
      </c>
      <c r="R98" s="10">
        <v>1755.0</v>
      </c>
      <c r="T98" s="1" t="s">
        <v>39</v>
      </c>
      <c r="U98" s="11" t="s">
        <v>17</v>
      </c>
      <c r="V98" s="5">
        <f t="shared" si="7"/>
        <v>51</v>
      </c>
      <c r="W98" s="1">
        <v>19.0</v>
      </c>
      <c r="X98" s="1">
        <v>32.0</v>
      </c>
    </row>
    <row r="99">
      <c r="B99" s="6" t="str">
        <f t="shared" ref="B99:C99" si="196">H99</f>
        <v>Jawhar</v>
      </c>
      <c r="C99" s="6" t="str">
        <f t="shared" si="196"/>
        <v>25–29</v>
      </c>
      <c r="D99" s="6">
        <f t="shared" ref="D99:F99" si="197">J99+P99+V99</f>
        <v>3544</v>
      </c>
      <c r="E99" s="6">
        <f t="shared" si="197"/>
        <v>1477</v>
      </c>
      <c r="F99" s="6">
        <f t="shared" si="197"/>
        <v>2067</v>
      </c>
      <c r="G99" s="6"/>
      <c r="H99" s="6" t="s">
        <v>39</v>
      </c>
      <c r="I99" s="6" t="s">
        <v>18</v>
      </c>
      <c r="J99" s="5">
        <f t="shared" si="5"/>
        <v>469</v>
      </c>
      <c r="K99" s="7">
        <v>384.0</v>
      </c>
      <c r="L99" s="7">
        <v>85.0</v>
      </c>
      <c r="M99" s="5"/>
      <c r="N99" s="8" t="s">
        <v>39</v>
      </c>
      <c r="O99" s="9" t="s">
        <v>19</v>
      </c>
      <c r="P99" s="5">
        <f t="shared" si="6"/>
        <v>2950</v>
      </c>
      <c r="Q99" s="8">
        <v>1027.0</v>
      </c>
      <c r="R99" s="8">
        <v>1923.0</v>
      </c>
      <c r="T99" s="1" t="s">
        <v>39</v>
      </c>
      <c r="U99" s="11" t="s">
        <v>19</v>
      </c>
      <c r="V99" s="5">
        <f t="shared" si="7"/>
        <v>125</v>
      </c>
      <c r="W99" s="1">
        <v>66.0</v>
      </c>
      <c r="X99" s="1">
        <v>59.0</v>
      </c>
    </row>
    <row r="100">
      <c r="B100" s="6" t="str">
        <f t="shared" ref="B100:C100" si="198">H100</f>
        <v>Jawhar</v>
      </c>
      <c r="C100" s="6" t="str">
        <f t="shared" si="198"/>
        <v>30–34</v>
      </c>
      <c r="D100" s="6">
        <f t="shared" ref="D100:F100" si="199">J100+P100+V100</f>
        <v>4474</v>
      </c>
      <c r="E100" s="6">
        <f t="shared" si="199"/>
        <v>2297</v>
      </c>
      <c r="F100" s="6">
        <f t="shared" si="199"/>
        <v>2177</v>
      </c>
      <c r="G100" s="6"/>
      <c r="H100" s="6" t="s">
        <v>39</v>
      </c>
      <c r="I100" s="6" t="s">
        <v>20</v>
      </c>
      <c r="J100" s="5">
        <f t="shared" si="5"/>
        <v>335</v>
      </c>
      <c r="K100" s="7">
        <v>275.0</v>
      </c>
      <c r="L100" s="7">
        <v>60.0</v>
      </c>
      <c r="M100" s="5"/>
      <c r="N100" s="8" t="s">
        <v>39</v>
      </c>
      <c r="O100" s="9" t="s">
        <v>21</v>
      </c>
      <c r="P100" s="5">
        <f t="shared" si="6"/>
        <v>3942</v>
      </c>
      <c r="Q100" s="8">
        <v>1948.0</v>
      </c>
      <c r="R100" s="8">
        <v>1994.0</v>
      </c>
      <c r="T100" s="1" t="s">
        <v>39</v>
      </c>
      <c r="U100" s="11" t="s">
        <v>21</v>
      </c>
      <c r="V100" s="5">
        <f t="shared" si="7"/>
        <v>197</v>
      </c>
      <c r="W100" s="1">
        <v>74.0</v>
      </c>
      <c r="X100" s="1">
        <v>123.0</v>
      </c>
    </row>
    <row r="101">
      <c r="B101" s="6" t="str">
        <f t="shared" ref="B101:C101" si="200">H101</f>
        <v>Jawhar</v>
      </c>
      <c r="C101" s="6" t="str">
        <f t="shared" si="200"/>
        <v>35–39</v>
      </c>
      <c r="D101" s="6">
        <f t="shared" ref="D101:F101" si="201">J101+P101+V101</f>
        <v>4635</v>
      </c>
      <c r="E101" s="6">
        <f t="shared" si="201"/>
        <v>2529</v>
      </c>
      <c r="F101" s="6">
        <f t="shared" si="201"/>
        <v>2106</v>
      </c>
      <c r="G101" s="6"/>
      <c r="H101" s="6" t="s">
        <v>39</v>
      </c>
      <c r="I101" s="6" t="s">
        <v>22</v>
      </c>
      <c r="J101" s="5">
        <f t="shared" si="5"/>
        <v>169</v>
      </c>
      <c r="K101" s="7">
        <v>145.0</v>
      </c>
      <c r="L101" s="7">
        <v>24.0</v>
      </c>
      <c r="M101" s="5"/>
      <c r="N101" s="8" t="s">
        <v>39</v>
      </c>
      <c r="O101" s="9" t="s">
        <v>23</v>
      </c>
      <c r="P101" s="5">
        <f t="shared" si="6"/>
        <v>4227</v>
      </c>
      <c r="Q101" s="8">
        <v>2291.0</v>
      </c>
      <c r="R101" s="8">
        <v>1936.0</v>
      </c>
      <c r="T101" s="1" t="s">
        <v>39</v>
      </c>
      <c r="U101" s="11" t="s">
        <v>23</v>
      </c>
      <c r="V101" s="5">
        <f t="shared" si="7"/>
        <v>239</v>
      </c>
      <c r="W101" s="1">
        <v>93.0</v>
      </c>
      <c r="X101" s="1">
        <v>146.0</v>
      </c>
    </row>
    <row r="102">
      <c r="B102" s="6" t="str">
        <f t="shared" ref="B102:C102" si="202">H102</f>
        <v>Jawhar</v>
      </c>
      <c r="C102" s="6" t="str">
        <f t="shared" si="202"/>
        <v>40–44</v>
      </c>
      <c r="D102" s="6">
        <f t="shared" ref="D102:F102" si="203">J102+P102+V102</f>
        <v>2626</v>
      </c>
      <c r="E102" s="6">
        <f t="shared" si="203"/>
        <v>1444</v>
      </c>
      <c r="F102" s="6">
        <f t="shared" si="203"/>
        <v>1182</v>
      </c>
      <c r="G102" s="6"/>
      <c r="H102" s="6" t="s">
        <v>39</v>
      </c>
      <c r="I102" s="6" t="s">
        <v>24</v>
      </c>
      <c r="J102" s="5">
        <f t="shared" si="5"/>
        <v>84</v>
      </c>
      <c r="K102" s="7">
        <v>62.0</v>
      </c>
      <c r="L102" s="7">
        <v>22.0</v>
      </c>
      <c r="M102" s="5"/>
      <c r="N102" s="8" t="s">
        <v>39</v>
      </c>
      <c r="O102" s="9" t="s">
        <v>25</v>
      </c>
      <c r="P102" s="5">
        <f t="shared" si="6"/>
        <v>2220</v>
      </c>
      <c r="Q102" s="8">
        <v>1305.0</v>
      </c>
      <c r="R102" s="8">
        <v>915.0</v>
      </c>
      <c r="T102" s="1" t="s">
        <v>39</v>
      </c>
      <c r="U102" s="11" t="s">
        <v>25</v>
      </c>
      <c r="V102" s="5">
        <f t="shared" si="7"/>
        <v>322</v>
      </c>
      <c r="W102" s="1">
        <v>77.0</v>
      </c>
      <c r="X102" s="1">
        <v>245.0</v>
      </c>
    </row>
    <row r="103">
      <c r="B103" s="6" t="str">
        <f t="shared" ref="B103:C103" si="204">H103</f>
        <v>Jawhar</v>
      </c>
      <c r="C103" s="6" t="str">
        <f t="shared" si="204"/>
        <v>45–49</v>
      </c>
      <c r="D103" s="6">
        <f t="shared" ref="D103:F103" si="205">J103+P103+V103</f>
        <v>2220</v>
      </c>
      <c r="E103" s="6">
        <f t="shared" si="205"/>
        <v>1327</v>
      </c>
      <c r="F103" s="6">
        <f t="shared" si="205"/>
        <v>893</v>
      </c>
      <c r="G103" s="6"/>
      <c r="H103" s="6" t="s">
        <v>39</v>
      </c>
      <c r="I103" s="6" t="s">
        <v>26</v>
      </c>
      <c r="J103" s="5">
        <f t="shared" si="5"/>
        <v>56</v>
      </c>
      <c r="K103" s="7">
        <v>45.0</v>
      </c>
      <c r="L103" s="7">
        <v>11.0</v>
      </c>
      <c r="M103" s="5"/>
      <c r="N103" s="8" t="s">
        <v>39</v>
      </c>
      <c r="O103" s="9" t="s">
        <v>27</v>
      </c>
      <c r="P103" s="5">
        <f t="shared" si="6"/>
        <v>1787</v>
      </c>
      <c r="Q103" s="8">
        <v>1190.0</v>
      </c>
      <c r="R103" s="8">
        <v>597.0</v>
      </c>
      <c r="T103" s="1" t="s">
        <v>39</v>
      </c>
      <c r="U103" s="11" t="s">
        <v>27</v>
      </c>
      <c r="V103" s="5">
        <f t="shared" si="7"/>
        <v>377</v>
      </c>
      <c r="W103" s="1">
        <v>92.0</v>
      </c>
      <c r="X103" s="1">
        <v>285.0</v>
      </c>
    </row>
    <row r="104">
      <c r="B104" s="6" t="str">
        <f t="shared" ref="B104:C104" si="206">H104</f>
        <v>Jawhar</v>
      </c>
      <c r="C104" s="6" t="str">
        <f t="shared" si="206"/>
        <v>50–54</v>
      </c>
      <c r="D104" s="6">
        <f t="shared" ref="D104:F104" si="207">J104+P104+V104</f>
        <v>1564</v>
      </c>
      <c r="E104" s="6">
        <f t="shared" si="207"/>
        <v>781</v>
      </c>
      <c r="F104" s="6">
        <f t="shared" si="207"/>
        <v>783</v>
      </c>
      <c r="G104" s="6"/>
      <c r="H104" s="6" t="s">
        <v>39</v>
      </c>
      <c r="I104" s="6" t="s">
        <v>28</v>
      </c>
      <c r="J104" s="5">
        <f t="shared" si="5"/>
        <v>35</v>
      </c>
      <c r="K104" s="7">
        <v>24.0</v>
      </c>
      <c r="L104" s="7">
        <v>11.0</v>
      </c>
      <c r="M104" s="5"/>
      <c r="N104" s="8" t="s">
        <v>39</v>
      </c>
      <c r="O104" s="9" t="s">
        <v>29</v>
      </c>
      <c r="P104" s="5">
        <f t="shared" si="6"/>
        <v>1064</v>
      </c>
      <c r="Q104" s="8">
        <v>678.0</v>
      </c>
      <c r="R104" s="8">
        <v>386.0</v>
      </c>
      <c r="T104" s="1" t="s">
        <v>39</v>
      </c>
      <c r="U104" s="11" t="s">
        <v>29</v>
      </c>
      <c r="V104" s="5">
        <f t="shared" si="7"/>
        <v>465</v>
      </c>
      <c r="W104" s="1">
        <v>79.0</v>
      </c>
      <c r="X104" s="1">
        <v>386.0</v>
      </c>
    </row>
    <row r="105">
      <c r="B105" s="6" t="str">
        <f t="shared" ref="B105:C105" si="208">H105</f>
        <v>Jawhar</v>
      </c>
      <c r="C105" s="6" t="str">
        <f t="shared" si="208"/>
        <v>55–59</v>
      </c>
      <c r="D105" s="6">
        <f t="shared" ref="D105:F105" si="209">J105+P105+V105</f>
        <v>951</v>
      </c>
      <c r="E105" s="6">
        <f t="shared" si="209"/>
        <v>522</v>
      </c>
      <c r="F105" s="6">
        <f t="shared" si="209"/>
        <v>429</v>
      </c>
      <c r="G105" s="6"/>
      <c r="H105" s="6" t="s">
        <v>39</v>
      </c>
      <c r="I105" s="6" t="s">
        <v>30</v>
      </c>
      <c r="J105" s="5">
        <f t="shared" si="5"/>
        <v>14</v>
      </c>
      <c r="K105" s="7">
        <v>8.0</v>
      </c>
      <c r="L105" s="7">
        <v>6.0</v>
      </c>
      <c r="M105" s="5"/>
      <c r="N105" s="8" t="s">
        <v>39</v>
      </c>
      <c r="O105" s="9" t="s">
        <v>31</v>
      </c>
      <c r="P105" s="5">
        <f t="shared" si="6"/>
        <v>653</v>
      </c>
      <c r="Q105" s="8">
        <v>444.0</v>
      </c>
      <c r="R105" s="8">
        <v>209.0</v>
      </c>
      <c r="T105" s="1" t="s">
        <v>39</v>
      </c>
      <c r="U105" s="11" t="s">
        <v>31</v>
      </c>
      <c r="V105" s="5">
        <f t="shared" si="7"/>
        <v>284</v>
      </c>
      <c r="W105" s="1">
        <v>70.0</v>
      </c>
      <c r="X105" s="1">
        <v>214.0</v>
      </c>
    </row>
    <row r="106">
      <c r="B106" s="6" t="str">
        <f t="shared" ref="B106:C106" si="210">H106</f>
        <v>Jawhar</v>
      </c>
      <c r="C106" s="6" t="str">
        <f t="shared" si="210"/>
        <v>60 and over</v>
      </c>
      <c r="D106" s="6">
        <f t="shared" ref="D106:F106" si="211">J106+P106+V106</f>
        <v>1961</v>
      </c>
      <c r="E106" s="6">
        <f t="shared" si="211"/>
        <v>874</v>
      </c>
      <c r="F106" s="6">
        <f t="shared" si="211"/>
        <v>1087</v>
      </c>
      <c r="G106" s="6"/>
      <c r="H106" s="6" t="s">
        <v>39</v>
      </c>
      <c r="I106" s="6" t="s">
        <v>32</v>
      </c>
      <c r="J106" s="5">
        <f t="shared" si="5"/>
        <v>27</v>
      </c>
      <c r="K106" s="7">
        <v>17.0</v>
      </c>
      <c r="L106" s="7">
        <v>10.0</v>
      </c>
      <c r="M106" s="5"/>
      <c r="N106" s="8" t="s">
        <v>39</v>
      </c>
      <c r="O106" s="6" t="s">
        <v>32</v>
      </c>
      <c r="P106" s="5">
        <f t="shared" si="6"/>
        <v>943</v>
      </c>
      <c r="Q106" s="8">
        <v>681.0</v>
      </c>
      <c r="R106" s="8">
        <v>262.0</v>
      </c>
      <c r="T106" s="1" t="s">
        <v>39</v>
      </c>
      <c r="U106" s="6" t="s">
        <v>32</v>
      </c>
      <c r="V106" s="5">
        <f t="shared" si="7"/>
        <v>991</v>
      </c>
      <c r="W106" s="1">
        <v>176.0</v>
      </c>
      <c r="X106" s="1">
        <v>815.0</v>
      </c>
    </row>
    <row r="107">
      <c r="B107" s="6" t="str">
        <f t="shared" ref="B107:C107" si="212">H107</f>
        <v>Janjira</v>
      </c>
      <c r="C107" s="6" t="str">
        <f t="shared" si="212"/>
        <v>0–4</v>
      </c>
      <c r="D107" s="6">
        <f t="shared" ref="D107:F107" si="213">J107+P107+V107</f>
        <v>13742</v>
      </c>
      <c r="E107" s="6">
        <f t="shared" si="213"/>
        <v>6216</v>
      </c>
      <c r="F107" s="6">
        <f t="shared" si="213"/>
        <v>7526</v>
      </c>
      <c r="G107" s="6"/>
      <c r="H107" s="6" t="s">
        <v>40</v>
      </c>
      <c r="I107" s="6" t="s">
        <v>10</v>
      </c>
      <c r="J107" s="5">
        <f t="shared" si="5"/>
        <v>13684</v>
      </c>
      <c r="K107" s="7">
        <v>6204.0</v>
      </c>
      <c r="L107" s="7">
        <v>7480.0</v>
      </c>
      <c r="M107" s="5"/>
      <c r="N107" s="8" t="s">
        <v>40</v>
      </c>
      <c r="O107" s="9" t="s">
        <v>11</v>
      </c>
      <c r="P107" s="5">
        <f t="shared" si="6"/>
        <v>54</v>
      </c>
      <c r="Q107" s="10">
        <v>11.0</v>
      </c>
      <c r="R107" s="10">
        <v>43.0</v>
      </c>
      <c r="T107" s="1" t="s">
        <v>40</v>
      </c>
      <c r="U107" s="11" t="s">
        <v>11</v>
      </c>
      <c r="V107" s="5">
        <f t="shared" si="7"/>
        <v>4</v>
      </c>
      <c r="W107" s="1">
        <v>1.0</v>
      </c>
      <c r="X107" s="1">
        <v>3.0</v>
      </c>
    </row>
    <row r="108">
      <c r="B108" s="6" t="str">
        <f t="shared" ref="B108:C108" si="214">H108</f>
        <v>Janjira</v>
      </c>
      <c r="C108" s="6" t="str">
        <f t="shared" si="214"/>
        <v>5–9</v>
      </c>
      <c r="D108" s="6">
        <f t="shared" ref="D108:F108" si="215">J108+P108+V108</f>
        <v>12602</v>
      </c>
      <c r="E108" s="6">
        <f t="shared" si="215"/>
        <v>6427</v>
      </c>
      <c r="F108" s="6">
        <f t="shared" si="215"/>
        <v>6175</v>
      </c>
      <c r="G108" s="6"/>
      <c r="H108" s="6" t="s">
        <v>40</v>
      </c>
      <c r="I108" s="6" t="s">
        <v>12</v>
      </c>
      <c r="J108" s="5">
        <f t="shared" si="5"/>
        <v>11691</v>
      </c>
      <c r="K108" s="7">
        <v>6338.0</v>
      </c>
      <c r="L108" s="7">
        <v>5353.0</v>
      </c>
      <c r="M108" s="5"/>
      <c r="N108" s="8" t="s">
        <v>40</v>
      </c>
      <c r="O108" s="12">
        <v>45786.0</v>
      </c>
      <c r="P108" s="5">
        <f t="shared" si="6"/>
        <v>891</v>
      </c>
      <c r="Q108" s="10">
        <v>85.0</v>
      </c>
      <c r="R108" s="10">
        <v>806.0</v>
      </c>
      <c r="T108" s="1" t="s">
        <v>40</v>
      </c>
      <c r="U108" s="13">
        <v>45786.0</v>
      </c>
      <c r="V108" s="5">
        <f t="shared" si="7"/>
        <v>20</v>
      </c>
      <c r="W108" s="1">
        <v>4.0</v>
      </c>
      <c r="X108" s="1">
        <v>16.0</v>
      </c>
    </row>
    <row r="109">
      <c r="B109" s="6" t="str">
        <f t="shared" ref="B109:C109" si="216">H109</f>
        <v>Janjira</v>
      </c>
      <c r="C109" s="6" t="str">
        <f t="shared" si="216"/>
        <v>10–14</v>
      </c>
      <c r="D109" s="6">
        <f t="shared" ref="D109:F109" si="217">J109+P109+V109</f>
        <v>7891</v>
      </c>
      <c r="E109" s="6">
        <f t="shared" si="217"/>
        <v>4199</v>
      </c>
      <c r="F109" s="6">
        <f t="shared" si="217"/>
        <v>3692</v>
      </c>
      <c r="G109" s="6"/>
      <c r="H109" s="6" t="s">
        <v>40</v>
      </c>
      <c r="I109" s="6" t="s">
        <v>13</v>
      </c>
      <c r="J109" s="5">
        <f t="shared" si="5"/>
        <v>5175</v>
      </c>
      <c r="K109" s="7">
        <v>3717.0</v>
      </c>
      <c r="L109" s="7">
        <v>1458.0</v>
      </c>
      <c r="M109" s="5"/>
      <c r="N109" s="8" t="s">
        <v>40</v>
      </c>
      <c r="O109" s="12">
        <v>45944.0</v>
      </c>
      <c r="P109" s="5">
        <f t="shared" si="6"/>
        <v>2651</v>
      </c>
      <c r="Q109" s="10">
        <v>467.0</v>
      </c>
      <c r="R109" s="10">
        <v>2184.0</v>
      </c>
      <c r="T109" s="1" t="s">
        <v>40</v>
      </c>
      <c r="U109" s="13">
        <v>45944.0</v>
      </c>
      <c r="V109" s="5">
        <f t="shared" si="7"/>
        <v>65</v>
      </c>
      <c r="W109" s="1">
        <v>15.0</v>
      </c>
      <c r="X109" s="1">
        <v>50.0</v>
      </c>
    </row>
    <row r="110">
      <c r="B110" s="6" t="str">
        <f t="shared" ref="B110:C110" si="218">H110</f>
        <v>Janjira</v>
      </c>
      <c r="C110" s="6" t="str">
        <f t="shared" si="218"/>
        <v>15–19</v>
      </c>
      <c r="D110" s="6">
        <f t="shared" ref="D110:F110" si="219">J110+P110+V110</f>
        <v>6031</v>
      </c>
      <c r="E110" s="6">
        <f t="shared" si="219"/>
        <v>2802</v>
      </c>
      <c r="F110" s="6">
        <f t="shared" si="219"/>
        <v>3229</v>
      </c>
      <c r="G110" s="6"/>
      <c r="H110" s="6" t="s">
        <v>40</v>
      </c>
      <c r="I110" s="6" t="s">
        <v>14</v>
      </c>
      <c r="J110" s="5">
        <f t="shared" si="5"/>
        <v>1879</v>
      </c>
      <c r="K110" s="7">
        <v>1667.0</v>
      </c>
      <c r="L110" s="7">
        <v>212.0</v>
      </c>
      <c r="M110" s="5"/>
      <c r="N110" s="8" t="s">
        <v>40</v>
      </c>
      <c r="O110" s="9" t="s">
        <v>15</v>
      </c>
      <c r="P110" s="5">
        <f t="shared" si="6"/>
        <v>4048</v>
      </c>
      <c r="Q110" s="10">
        <v>1124.0</v>
      </c>
      <c r="R110" s="10">
        <v>2924.0</v>
      </c>
      <c r="T110" s="1" t="s">
        <v>40</v>
      </c>
      <c r="U110" s="11" t="s">
        <v>15</v>
      </c>
      <c r="V110" s="5">
        <f t="shared" si="7"/>
        <v>104</v>
      </c>
      <c r="W110" s="1">
        <v>11.0</v>
      </c>
      <c r="X110" s="1">
        <v>93.0</v>
      </c>
    </row>
    <row r="111">
      <c r="B111" s="6" t="str">
        <f t="shared" ref="B111:C111" si="220">H111</f>
        <v>Janjira</v>
      </c>
      <c r="C111" s="6" t="str">
        <f t="shared" si="220"/>
        <v>20–24</v>
      </c>
      <c r="D111" s="6">
        <f t="shared" ref="D111:F111" si="221">J111+P111+V111</f>
        <v>5454</v>
      </c>
      <c r="E111" s="6">
        <f t="shared" si="221"/>
        <v>2248</v>
      </c>
      <c r="F111" s="6">
        <f t="shared" si="221"/>
        <v>3206</v>
      </c>
      <c r="G111" s="6"/>
      <c r="H111" s="6" t="s">
        <v>40</v>
      </c>
      <c r="I111" s="6" t="s">
        <v>16</v>
      </c>
      <c r="J111" s="5">
        <f t="shared" si="5"/>
        <v>624</v>
      </c>
      <c r="K111" s="7">
        <v>599.0</v>
      </c>
      <c r="L111" s="7">
        <v>25.0</v>
      </c>
      <c r="M111" s="5"/>
      <c r="N111" s="8" t="s">
        <v>40</v>
      </c>
      <c r="O111" s="9" t="s">
        <v>17</v>
      </c>
      <c r="P111" s="5">
        <f t="shared" si="6"/>
        <v>4698</v>
      </c>
      <c r="Q111" s="10">
        <v>1620.0</v>
      </c>
      <c r="R111" s="10">
        <v>3078.0</v>
      </c>
      <c r="T111" s="1" t="s">
        <v>40</v>
      </c>
      <c r="U111" s="11" t="s">
        <v>17</v>
      </c>
      <c r="V111" s="5">
        <f t="shared" si="7"/>
        <v>132</v>
      </c>
      <c r="W111" s="1">
        <v>29.0</v>
      </c>
      <c r="X111" s="1">
        <v>103.0</v>
      </c>
    </row>
    <row r="112">
      <c r="B112" s="6" t="str">
        <f t="shared" ref="B112:C112" si="222">H112</f>
        <v>Janjira</v>
      </c>
      <c r="C112" s="6" t="str">
        <f t="shared" si="222"/>
        <v>25–29</v>
      </c>
      <c r="D112" s="6">
        <f t="shared" ref="D112:F112" si="223">J112+P112+V112</f>
        <v>5315</v>
      </c>
      <c r="E112" s="6">
        <f t="shared" si="223"/>
        <v>2249</v>
      </c>
      <c r="F112" s="6">
        <f t="shared" si="223"/>
        <v>3066</v>
      </c>
      <c r="G112" s="6"/>
      <c r="H112" s="6" t="s">
        <v>40</v>
      </c>
      <c r="I112" s="6" t="s">
        <v>18</v>
      </c>
      <c r="J112" s="5">
        <f t="shared" si="5"/>
        <v>380</v>
      </c>
      <c r="K112" s="7">
        <v>365.0</v>
      </c>
      <c r="L112" s="7">
        <v>15.0</v>
      </c>
      <c r="M112" s="5"/>
      <c r="N112" s="8" t="s">
        <v>40</v>
      </c>
      <c r="O112" s="9" t="s">
        <v>19</v>
      </c>
      <c r="P112" s="5">
        <f t="shared" si="6"/>
        <v>4542</v>
      </c>
      <c r="Q112" s="8">
        <v>1819.0</v>
      </c>
      <c r="R112" s="8">
        <v>2723.0</v>
      </c>
      <c r="T112" s="1" t="s">
        <v>40</v>
      </c>
      <c r="U112" s="11" t="s">
        <v>19</v>
      </c>
      <c r="V112" s="5">
        <f t="shared" si="7"/>
        <v>393</v>
      </c>
      <c r="W112" s="1">
        <v>65.0</v>
      </c>
      <c r="X112" s="1">
        <v>328.0</v>
      </c>
    </row>
    <row r="113">
      <c r="B113" s="6" t="str">
        <f t="shared" ref="B113:C113" si="224">H113</f>
        <v>Janjira</v>
      </c>
      <c r="C113" s="6" t="str">
        <f t="shared" si="224"/>
        <v>30–34</v>
      </c>
      <c r="D113" s="6">
        <f t="shared" ref="D113:F113" si="225">J113+P113+V113</f>
        <v>6780</v>
      </c>
      <c r="E113" s="6">
        <f t="shared" si="225"/>
        <v>3260</v>
      </c>
      <c r="F113" s="6">
        <f t="shared" si="225"/>
        <v>3520</v>
      </c>
      <c r="G113" s="6"/>
      <c r="H113" s="6" t="s">
        <v>40</v>
      </c>
      <c r="I113" s="6" t="s">
        <v>20</v>
      </c>
      <c r="J113" s="5">
        <f t="shared" si="5"/>
        <v>174</v>
      </c>
      <c r="K113" s="7">
        <v>161.0</v>
      </c>
      <c r="L113" s="7">
        <v>13.0</v>
      </c>
      <c r="M113" s="5"/>
      <c r="N113" s="8" t="s">
        <v>40</v>
      </c>
      <c r="O113" s="9" t="s">
        <v>21</v>
      </c>
      <c r="P113" s="5">
        <f t="shared" si="6"/>
        <v>5951</v>
      </c>
      <c r="Q113" s="8">
        <v>2995.0</v>
      </c>
      <c r="R113" s="8">
        <v>2956.0</v>
      </c>
      <c r="T113" s="1" t="s">
        <v>40</v>
      </c>
      <c r="U113" s="11" t="s">
        <v>21</v>
      </c>
      <c r="V113" s="5">
        <f t="shared" si="7"/>
        <v>655</v>
      </c>
      <c r="W113" s="1">
        <v>104.0</v>
      </c>
      <c r="X113" s="1">
        <v>551.0</v>
      </c>
    </row>
    <row r="114">
      <c r="B114" s="6" t="str">
        <f t="shared" ref="B114:C114" si="226">H114</f>
        <v>Janjira</v>
      </c>
      <c r="C114" s="6" t="str">
        <f t="shared" si="226"/>
        <v>35–39</v>
      </c>
      <c r="D114" s="6">
        <f t="shared" ref="D114:F114" si="227">J114+P114+V114</f>
        <v>5078</v>
      </c>
      <c r="E114" s="6">
        <f t="shared" si="227"/>
        <v>2713</v>
      </c>
      <c r="F114" s="6">
        <f t="shared" si="227"/>
        <v>2365</v>
      </c>
      <c r="G114" s="6"/>
      <c r="H114" s="6" t="s">
        <v>40</v>
      </c>
      <c r="I114" s="6" t="s">
        <v>22</v>
      </c>
      <c r="J114" s="5">
        <f t="shared" si="5"/>
        <v>95</v>
      </c>
      <c r="K114" s="7">
        <v>82.0</v>
      </c>
      <c r="L114" s="7">
        <v>13.0</v>
      </c>
      <c r="M114" s="5"/>
      <c r="N114" s="8" t="s">
        <v>40</v>
      </c>
      <c r="O114" s="9" t="s">
        <v>23</v>
      </c>
      <c r="P114" s="5">
        <f t="shared" si="6"/>
        <v>4197</v>
      </c>
      <c r="Q114" s="8">
        <v>2507.0</v>
      </c>
      <c r="R114" s="8">
        <v>1690.0</v>
      </c>
      <c r="T114" s="1" t="s">
        <v>40</v>
      </c>
      <c r="U114" s="11" t="s">
        <v>23</v>
      </c>
      <c r="V114" s="5">
        <f t="shared" si="7"/>
        <v>786</v>
      </c>
      <c r="W114" s="1">
        <v>124.0</v>
      </c>
      <c r="X114" s="1">
        <v>662.0</v>
      </c>
    </row>
    <row r="115">
      <c r="B115" s="6" t="str">
        <f t="shared" ref="B115:C115" si="228">H115</f>
        <v>Janjira</v>
      </c>
      <c r="C115" s="6" t="str">
        <f t="shared" si="228"/>
        <v>40–44</v>
      </c>
      <c r="D115" s="6">
        <f t="shared" ref="D115:F115" si="229">J115+P115+V115</f>
        <v>4879</v>
      </c>
      <c r="E115" s="6">
        <f t="shared" si="229"/>
        <v>2371</v>
      </c>
      <c r="F115" s="6">
        <f t="shared" si="229"/>
        <v>2508</v>
      </c>
      <c r="G115" s="6"/>
      <c r="H115" s="6" t="s">
        <v>40</v>
      </c>
      <c r="I115" s="6" t="s">
        <v>24</v>
      </c>
      <c r="J115" s="5">
        <f t="shared" si="5"/>
        <v>70</v>
      </c>
      <c r="K115" s="7">
        <v>52.0</v>
      </c>
      <c r="L115" s="7">
        <v>18.0</v>
      </c>
      <c r="M115" s="5"/>
      <c r="N115" s="8" t="s">
        <v>40</v>
      </c>
      <c r="O115" s="9" t="s">
        <v>25</v>
      </c>
      <c r="P115" s="5">
        <f t="shared" si="6"/>
        <v>3722</v>
      </c>
      <c r="Q115" s="8">
        <v>2168.0</v>
      </c>
      <c r="R115" s="8">
        <v>1554.0</v>
      </c>
      <c r="T115" s="1" t="s">
        <v>40</v>
      </c>
      <c r="U115" s="11" t="s">
        <v>25</v>
      </c>
      <c r="V115" s="5">
        <f t="shared" si="7"/>
        <v>1087</v>
      </c>
      <c r="W115" s="1">
        <v>151.0</v>
      </c>
      <c r="X115" s="1">
        <v>936.0</v>
      </c>
    </row>
    <row r="116">
      <c r="B116" s="6" t="str">
        <f t="shared" ref="B116:C116" si="230">H116</f>
        <v>Janjira</v>
      </c>
      <c r="C116" s="6" t="str">
        <f t="shared" si="230"/>
        <v>45–49</v>
      </c>
      <c r="D116" s="6">
        <f t="shared" ref="D116:F116" si="231">J116+P116+V116</f>
        <v>2957</v>
      </c>
      <c r="E116" s="6">
        <f t="shared" si="231"/>
        <v>1653</v>
      </c>
      <c r="F116" s="6">
        <f t="shared" si="231"/>
        <v>1304</v>
      </c>
      <c r="G116" s="6"/>
      <c r="H116" s="6" t="s">
        <v>40</v>
      </c>
      <c r="I116" s="6" t="s">
        <v>26</v>
      </c>
      <c r="J116" s="5">
        <f t="shared" si="5"/>
        <v>29</v>
      </c>
      <c r="K116" s="7">
        <v>27.0</v>
      </c>
      <c r="L116" s="7">
        <v>2.0</v>
      </c>
      <c r="M116" s="5"/>
      <c r="N116" s="8" t="s">
        <v>40</v>
      </c>
      <c r="O116" s="9" t="s">
        <v>27</v>
      </c>
      <c r="P116" s="5">
        <f t="shared" si="6"/>
        <v>2142</v>
      </c>
      <c r="Q116" s="8">
        <v>1495.0</v>
      </c>
      <c r="R116" s="8">
        <v>647.0</v>
      </c>
      <c r="T116" s="1" t="s">
        <v>40</v>
      </c>
      <c r="U116" s="11" t="s">
        <v>27</v>
      </c>
      <c r="V116" s="5">
        <f t="shared" si="7"/>
        <v>786</v>
      </c>
      <c r="W116" s="1">
        <v>131.0</v>
      </c>
      <c r="X116" s="1">
        <v>655.0</v>
      </c>
    </row>
    <row r="117">
      <c r="B117" s="6" t="str">
        <f t="shared" ref="B117:C117" si="232">H117</f>
        <v>Janjira</v>
      </c>
      <c r="C117" s="6" t="str">
        <f t="shared" si="232"/>
        <v>50–54</v>
      </c>
      <c r="D117" s="6">
        <f t="shared" ref="D117:F117" si="233">J117+P117+V117</f>
        <v>3398</v>
      </c>
      <c r="E117" s="6">
        <f t="shared" si="233"/>
        <v>1567</v>
      </c>
      <c r="F117" s="6">
        <f t="shared" si="233"/>
        <v>1831</v>
      </c>
      <c r="G117" s="6"/>
      <c r="H117" s="6" t="s">
        <v>40</v>
      </c>
      <c r="I117" s="6" t="s">
        <v>28</v>
      </c>
      <c r="J117" s="5">
        <f t="shared" si="5"/>
        <v>24</v>
      </c>
      <c r="K117" s="7">
        <v>16.0</v>
      </c>
      <c r="L117" s="7">
        <v>8.0</v>
      </c>
      <c r="M117" s="5"/>
      <c r="N117" s="8" t="s">
        <v>40</v>
      </c>
      <c r="O117" s="9" t="s">
        <v>29</v>
      </c>
      <c r="P117" s="5">
        <f t="shared" si="6"/>
        <v>1912</v>
      </c>
      <c r="Q117" s="8">
        <v>1345.0</v>
      </c>
      <c r="R117" s="8">
        <v>567.0</v>
      </c>
      <c r="T117" s="1" t="s">
        <v>40</v>
      </c>
      <c r="U117" s="11" t="s">
        <v>29</v>
      </c>
      <c r="V117" s="5">
        <f t="shared" si="7"/>
        <v>1462</v>
      </c>
      <c r="W117" s="1">
        <v>206.0</v>
      </c>
      <c r="X117" s="1">
        <v>1256.0</v>
      </c>
    </row>
    <row r="118">
      <c r="B118" s="6" t="str">
        <f t="shared" ref="B118:C118" si="234">H118</f>
        <v>Janjira</v>
      </c>
      <c r="C118" s="6" t="str">
        <f t="shared" si="234"/>
        <v>55–59</v>
      </c>
      <c r="D118" s="6">
        <f t="shared" ref="D118:F118" si="235">J118+P118+V118</f>
        <v>1707</v>
      </c>
      <c r="E118" s="6">
        <f t="shared" si="235"/>
        <v>830</v>
      </c>
      <c r="F118" s="6">
        <f t="shared" si="235"/>
        <v>877</v>
      </c>
      <c r="G118" s="6"/>
      <c r="H118" s="6" t="s">
        <v>40</v>
      </c>
      <c r="I118" s="6" t="s">
        <v>30</v>
      </c>
      <c r="J118" s="5">
        <f t="shared" si="5"/>
        <v>10</v>
      </c>
      <c r="K118" s="7">
        <v>9.0</v>
      </c>
      <c r="L118" s="7">
        <v>1.0</v>
      </c>
      <c r="M118" s="5"/>
      <c r="N118" s="8" t="s">
        <v>40</v>
      </c>
      <c r="O118" s="9" t="s">
        <v>31</v>
      </c>
      <c r="P118" s="5">
        <f t="shared" si="6"/>
        <v>888</v>
      </c>
      <c r="Q118" s="8">
        <v>700.0</v>
      </c>
      <c r="R118" s="8">
        <v>188.0</v>
      </c>
      <c r="T118" s="1" t="s">
        <v>40</v>
      </c>
      <c r="U118" s="11" t="s">
        <v>31</v>
      </c>
      <c r="V118" s="5">
        <f t="shared" si="7"/>
        <v>809</v>
      </c>
      <c r="W118" s="1">
        <v>121.0</v>
      </c>
      <c r="X118" s="1">
        <v>688.0</v>
      </c>
    </row>
    <row r="119">
      <c r="B119" s="6" t="str">
        <f t="shared" ref="B119:C119" si="236">H119</f>
        <v>Janjira</v>
      </c>
      <c r="C119" s="6" t="str">
        <f t="shared" si="236"/>
        <v>60 and over</v>
      </c>
      <c r="D119" s="6">
        <f t="shared" ref="D119:F119" si="237">J119+P119+V119</f>
        <v>4041</v>
      </c>
      <c r="E119" s="6">
        <f t="shared" si="237"/>
        <v>1707</v>
      </c>
      <c r="F119" s="6">
        <f t="shared" si="237"/>
        <v>2334</v>
      </c>
      <c r="G119" s="6"/>
      <c r="H119" s="6" t="s">
        <v>40</v>
      </c>
      <c r="I119" s="6" t="s">
        <v>32</v>
      </c>
      <c r="J119" s="5">
        <f t="shared" si="5"/>
        <v>20</v>
      </c>
      <c r="K119" s="8">
        <v>16.0</v>
      </c>
      <c r="L119" s="8">
        <v>4.0</v>
      </c>
      <c r="M119" s="5"/>
      <c r="N119" s="8" t="s">
        <v>40</v>
      </c>
      <c r="O119" s="6" t="s">
        <v>32</v>
      </c>
      <c r="P119" s="5">
        <f t="shared" si="6"/>
        <v>1437</v>
      </c>
      <c r="Q119" s="8">
        <v>1254.0</v>
      </c>
      <c r="R119" s="8">
        <v>183.0</v>
      </c>
      <c r="T119" s="1" t="s">
        <v>40</v>
      </c>
      <c r="U119" s="6" t="s">
        <v>32</v>
      </c>
      <c r="V119" s="5">
        <f t="shared" si="7"/>
        <v>2584</v>
      </c>
      <c r="W119" s="1">
        <v>437.0</v>
      </c>
      <c r="X119" s="1">
        <v>2147.0</v>
      </c>
    </row>
    <row r="120">
      <c r="B120" s="6" t="str">
        <f t="shared" ref="B120:C120" si="238">H120</f>
        <v>Sawantwadi</v>
      </c>
      <c r="C120" s="6" t="str">
        <f t="shared" si="238"/>
        <v>0–4</v>
      </c>
      <c r="D120" s="6">
        <f t="shared" ref="D120:F120" si="239">J120+P120+V120</f>
        <v>26862</v>
      </c>
      <c r="E120" s="6">
        <f t="shared" si="239"/>
        <v>12843</v>
      </c>
      <c r="F120" s="6">
        <f t="shared" si="239"/>
        <v>14019</v>
      </c>
      <c r="G120" s="6"/>
      <c r="H120" s="6" t="s">
        <v>41</v>
      </c>
      <c r="I120" s="6" t="s">
        <v>10</v>
      </c>
      <c r="J120" s="5">
        <f t="shared" si="5"/>
        <v>26640</v>
      </c>
      <c r="K120" s="7">
        <v>12792.0</v>
      </c>
      <c r="L120" s="7">
        <v>13848.0</v>
      </c>
      <c r="M120" s="5"/>
      <c r="N120" s="8" t="s">
        <v>41</v>
      </c>
      <c r="O120" s="9" t="s">
        <v>11</v>
      </c>
      <c r="P120" s="5">
        <f t="shared" si="6"/>
        <v>216</v>
      </c>
      <c r="Q120" s="10">
        <v>48.0</v>
      </c>
      <c r="R120" s="10">
        <v>168.0</v>
      </c>
      <c r="T120" s="1" t="s">
        <v>41</v>
      </c>
      <c r="U120" s="11" t="s">
        <v>11</v>
      </c>
      <c r="V120" s="5">
        <f t="shared" si="7"/>
        <v>6</v>
      </c>
      <c r="W120" s="1">
        <v>3.0</v>
      </c>
      <c r="X120" s="1">
        <v>3.0</v>
      </c>
    </row>
    <row r="121">
      <c r="B121" s="6" t="str">
        <f t="shared" ref="B121:C121" si="240">H121</f>
        <v>Sawantwadi</v>
      </c>
      <c r="C121" s="6" t="str">
        <f t="shared" si="240"/>
        <v>5–9</v>
      </c>
      <c r="D121" s="6">
        <f t="shared" ref="D121:F121" si="241">J121+P121+V121</f>
        <v>24574</v>
      </c>
      <c r="E121" s="6">
        <f t="shared" si="241"/>
        <v>12688</v>
      </c>
      <c r="F121" s="6">
        <f t="shared" si="241"/>
        <v>11886</v>
      </c>
      <c r="G121" s="6"/>
      <c r="H121" s="6" t="s">
        <v>41</v>
      </c>
      <c r="I121" s="6" t="s">
        <v>12</v>
      </c>
      <c r="J121" s="5">
        <f t="shared" si="5"/>
        <v>22396</v>
      </c>
      <c r="K121" s="7">
        <v>12555.0</v>
      </c>
      <c r="L121" s="7">
        <v>9841.0</v>
      </c>
      <c r="M121" s="5"/>
      <c r="N121" s="8" t="s">
        <v>41</v>
      </c>
      <c r="O121" s="12">
        <v>45786.0</v>
      </c>
      <c r="P121" s="5">
        <f t="shared" si="6"/>
        <v>2156</v>
      </c>
      <c r="Q121" s="10">
        <v>130.0</v>
      </c>
      <c r="R121" s="10">
        <v>2026.0</v>
      </c>
      <c r="T121" s="1" t="s">
        <v>41</v>
      </c>
      <c r="U121" s="13">
        <v>45786.0</v>
      </c>
      <c r="V121" s="5">
        <f t="shared" si="7"/>
        <v>22</v>
      </c>
      <c r="W121" s="1">
        <v>3.0</v>
      </c>
      <c r="X121" s="1">
        <v>19.0</v>
      </c>
    </row>
    <row r="122">
      <c r="B122" s="6" t="str">
        <f t="shared" ref="B122:C122" si="242">H122</f>
        <v>Sawantwadi</v>
      </c>
      <c r="C122" s="6" t="str">
        <f t="shared" si="242"/>
        <v>10–14</v>
      </c>
      <c r="D122" s="6">
        <f t="shared" ref="D122:F122" si="243">J122+P122+V122</f>
        <v>19078</v>
      </c>
      <c r="E122" s="6">
        <f t="shared" si="243"/>
        <v>10430</v>
      </c>
      <c r="F122" s="6">
        <f t="shared" si="243"/>
        <v>8648</v>
      </c>
      <c r="G122" s="6"/>
      <c r="H122" s="6" t="s">
        <v>41</v>
      </c>
      <c r="I122" s="6" t="s">
        <v>13</v>
      </c>
      <c r="J122" s="5">
        <f t="shared" si="5"/>
        <v>11830</v>
      </c>
      <c r="K122" s="7">
        <v>9774.0</v>
      </c>
      <c r="L122" s="7">
        <v>2056.0</v>
      </c>
      <c r="M122" s="5"/>
      <c r="N122" s="8" t="s">
        <v>41</v>
      </c>
      <c r="O122" s="12">
        <v>45944.0</v>
      </c>
      <c r="P122" s="5">
        <f t="shared" si="6"/>
        <v>7037</v>
      </c>
      <c r="Q122" s="10">
        <v>647.0</v>
      </c>
      <c r="R122" s="10">
        <v>6390.0</v>
      </c>
      <c r="T122" s="1" t="s">
        <v>41</v>
      </c>
      <c r="U122" s="13">
        <v>45944.0</v>
      </c>
      <c r="V122" s="5">
        <f t="shared" si="7"/>
        <v>211</v>
      </c>
      <c r="W122" s="1">
        <v>9.0</v>
      </c>
      <c r="X122" s="1">
        <v>202.0</v>
      </c>
    </row>
    <row r="123">
      <c r="B123" s="6" t="str">
        <f t="shared" ref="B123:C123" si="244">H123</f>
        <v>Sawantwadi</v>
      </c>
      <c r="C123" s="6" t="str">
        <f t="shared" si="244"/>
        <v>15–19</v>
      </c>
      <c r="D123" s="6">
        <f t="shared" ref="D123:F123" si="245">J123+P123+V123</f>
        <v>15903</v>
      </c>
      <c r="E123" s="6">
        <f t="shared" si="245"/>
        <v>8395</v>
      </c>
      <c r="F123" s="6">
        <f t="shared" si="245"/>
        <v>7508</v>
      </c>
      <c r="G123" s="6"/>
      <c r="H123" s="6" t="s">
        <v>41</v>
      </c>
      <c r="I123" s="6" t="s">
        <v>14</v>
      </c>
      <c r="J123" s="5">
        <f t="shared" si="5"/>
        <v>6358</v>
      </c>
      <c r="K123" s="7">
        <v>6037.0</v>
      </c>
      <c r="L123" s="8">
        <v>321.0</v>
      </c>
      <c r="M123" s="5"/>
      <c r="N123" s="8" t="s">
        <v>41</v>
      </c>
      <c r="O123" s="9" t="s">
        <v>15</v>
      </c>
      <c r="P123" s="5">
        <f t="shared" si="6"/>
        <v>9100</v>
      </c>
      <c r="Q123" s="10">
        <v>2329.0</v>
      </c>
      <c r="R123" s="10">
        <v>6771.0</v>
      </c>
      <c r="T123" s="1" t="s">
        <v>41</v>
      </c>
      <c r="U123" s="11" t="s">
        <v>15</v>
      </c>
      <c r="V123" s="5">
        <f t="shared" si="7"/>
        <v>445</v>
      </c>
      <c r="W123" s="1">
        <v>29.0</v>
      </c>
      <c r="X123" s="1">
        <v>416.0</v>
      </c>
    </row>
    <row r="124">
      <c r="B124" s="6" t="str">
        <f t="shared" ref="B124:C124" si="246">H124</f>
        <v>Sawantwadi</v>
      </c>
      <c r="C124" s="6" t="str">
        <f t="shared" si="246"/>
        <v>20–24</v>
      </c>
      <c r="D124" s="6">
        <f t="shared" ref="D124:F124" si="247">J124+P124+V124</f>
        <v>15274</v>
      </c>
      <c r="E124" s="6">
        <f t="shared" si="247"/>
        <v>6319</v>
      </c>
      <c r="F124" s="6">
        <f t="shared" si="247"/>
        <v>8955</v>
      </c>
      <c r="G124" s="6"/>
      <c r="H124" s="6" t="s">
        <v>41</v>
      </c>
      <c r="I124" s="6" t="s">
        <v>16</v>
      </c>
      <c r="J124" s="5">
        <f t="shared" si="5"/>
        <v>2704</v>
      </c>
      <c r="K124" s="7">
        <v>2464.0</v>
      </c>
      <c r="L124" s="7">
        <v>240.0</v>
      </c>
      <c r="M124" s="5"/>
      <c r="N124" s="8" t="s">
        <v>41</v>
      </c>
      <c r="O124" s="9" t="s">
        <v>17</v>
      </c>
      <c r="P124" s="5">
        <f t="shared" si="6"/>
        <v>11738</v>
      </c>
      <c r="Q124" s="10">
        <v>3803.0</v>
      </c>
      <c r="R124" s="10">
        <v>7935.0</v>
      </c>
      <c r="T124" s="1" t="s">
        <v>41</v>
      </c>
      <c r="U124" s="11" t="s">
        <v>17</v>
      </c>
      <c r="V124" s="5">
        <f t="shared" si="7"/>
        <v>832</v>
      </c>
      <c r="W124" s="1">
        <v>52.0</v>
      </c>
      <c r="X124" s="1">
        <v>780.0</v>
      </c>
    </row>
    <row r="125">
      <c r="B125" s="6" t="str">
        <f t="shared" ref="B125:C125" si="248">H125</f>
        <v>Sawantwadi</v>
      </c>
      <c r="C125" s="6" t="str">
        <f t="shared" si="248"/>
        <v>25–29</v>
      </c>
      <c r="D125" s="6">
        <f t="shared" ref="D125:F125" si="249">J125+P125+V125</f>
        <v>17827</v>
      </c>
      <c r="E125" s="6">
        <f t="shared" si="249"/>
        <v>8183</v>
      </c>
      <c r="F125" s="6">
        <f t="shared" si="249"/>
        <v>9644</v>
      </c>
      <c r="G125" s="6"/>
      <c r="H125" s="6" t="s">
        <v>41</v>
      </c>
      <c r="I125" s="6" t="s">
        <v>18</v>
      </c>
      <c r="J125" s="5">
        <f t="shared" si="5"/>
        <v>1651</v>
      </c>
      <c r="K125" s="7">
        <v>1406.0</v>
      </c>
      <c r="L125" s="7">
        <v>245.0</v>
      </c>
      <c r="M125" s="5"/>
      <c r="N125" s="8" t="s">
        <v>41</v>
      </c>
      <c r="O125" s="9" t="s">
        <v>19</v>
      </c>
      <c r="P125" s="5">
        <f t="shared" si="6"/>
        <v>14607</v>
      </c>
      <c r="Q125" s="8">
        <v>6645.0</v>
      </c>
      <c r="R125" s="8">
        <v>7962.0</v>
      </c>
      <c r="T125" s="1" t="s">
        <v>41</v>
      </c>
      <c r="U125" s="11" t="s">
        <v>19</v>
      </c>
      <c r="V125" s="5">
        <f t="shared" si="7"/>
        <v>1569</v>
      </c>
      <c r="W125" s="1">
        <v>132.0</v>
      </c>
      <c r="X125" s="1">
        <v>1437.0</v>
      </c>
    </row>
    <row r="126">
      <c r="B126" s="6" t="str">
        <f t="shared" ref="B126:C126" si="250">H126</f>
        <v>Sawantwadi</v>
      </c>
      <c r="C126" s="6" t="str">
        <f t="shared" si="250"/>
        <v>30–34</v>
      </c>
      <c r="D126" s="6">
        <f t="shared" ref="D126:F126" si="251">J126+P126+V126</f>
        <v>16410</v>
      </c>
      <c r="E126" s="6">
        <f t="shared" si="251"/>
        <v>7267</v>
      </c>
      <c r="F126" s="6">
        <f t="shared" si="251"/>
        <v>9143</v>
      </c>
      <c r="G126" s="6"/>
      <c r="H126" s="6" t="s">
        <v>41</v>
      </c>
      <c r="I126" s="6" t="s">
        <v>20</v>
      </c>
      <c r="J126" s="5">
        <f t="shared" si="5"/>
        <v>811</v>
      </c>
      <c r="K126" s="7">
        <v>575.0</v>
      </c>
      <c r="L126" s="7">
        <v>236.0</v>
      </c>
      <c r="M126" s="5"/>
      <c r="N126" s="8" t="s">
        <v>41</v>
      </c>
      <c r="O126" s="9" t="s">
        <v>21</v>
      </c>
      <c r="P126" s="5">
        <f t="shared" si="6"/>
        <v>13003</v>
      </c>
      <c r="Q126" s="8">
        <v>6455.0</v>
      </c>
      <c r="R126" s="8">
        <v>6548.0</v>
      </c>
      <c r="T126" s="1" t="s">
        <v>41</v>
      </c>
      <c r="U126" s="11" t="s">
        <v>21</v>
      </c>
      <c r="V126" s="5">
        <f t="shared" si="7"/>
        <v>2596</v>
      </c>
      <c r="W126" s="1">
        <v>237.0</v>
      </c>
      <c r="X126" s="1">
        <v>2359.0</v>
      </c>
    </row>
    <row r="127">
      <c r="B127" s="6" t="str">
        <f t="shared" ref="B127:C127" si="252">H127</f>
        <v>Sawantwadi</v>
      </c>
      <c r="C127" s="6" t="str">
        <f t="shared" si="252"/>
        <v>35–39</v>
      </c>
      <c r="D127" s="6">
        <f t="shared" ref="D127:F127" si="253">J127+P127+V127</f>
        <v>11581</v>
      </c>
      <c r="E127" s="6">
        <f t="shared" si="253"/>
        <v>5542</v>
      </c>
      <c r="F127" s="6">
        <f t="shared" si="253"/>
        <v>6039</v>
      </c>
      <c r="G127" s="6"/>
      <c r="H127" s="6" t="s">
        <v>41</v>
      </c>
      <c r="I127" s="6" t="s">
        <v>22</v>
      </c>
      <c r="J127" s="5">
        <f t="shared" si="5"/>
        <v>650</v>
      </c>
      <c r="K127" s="7">
        <v>325.0</v>
      </c>
      <c r="L127" s="7">
        <v>325.0</v>
      </c>
      <c r="M127" s="5"/>
      <c r="N127" s="8" t="s">
        <v>41</v>
      </c>
      <c r="O127" s="9" t="s">
        <v>23</v>
      </c>
      <c r="P127" s="5">
        <f t="shared" si="6"/>
        <v>8914</v>
      </c>
      <c r="Q127" s="8">
        <v>4944.0</v>
      </c>
      <c r="R127" s="8">
        <v>3970.0</v>
      </c>
      <c r="T127" s="1" t="s">
        <v>41</v>
      </c>
      <c r="U127" s="11" t="s">
        <v>23</v>
      </c>
      <c r="V127" s="5">
        <f t="shared" si="7"/>
        <v>2017</v>
      </c>
      <c r="W127" s="1">
        <v>273.0</v>
      </c>
      <c r="X127" s="1">
        <v>1744.0</v>
      </c>
    </row>
    <row r="128">
      <c r="B128" s="6" t="str">
        <f t="shared" ref="B128:C128" si="254">H128</f>
        <v>Sawantwadi</v>
      </c>
      <c r="C128" s="6" t="str">
        <f t="shared" si="254"/>
        <v>40–44</v>
      </c>
      <c r="D128" s="6">
        <f t="shared" ref="D128:F128" si="255">J128+P128+V128</f>
        <v>12913</v>
      </c>
      <c r="E128" s="6">
        <f t="shared" si="255"/>
        <v>5859</v>
      </c>
      <c r="F128" s="6">
        <f t="shared" si="255"/>
        <v>7054</v>
      </c>
      <c r="G128" s="6"/>
      <c r="H128" s="6" t="s">
        <v>41</v>
      </c>
      <c r="I128" s="6" t="s">
        <v>24</v>
      </c>
      <c r="J128" s="5">
        <f t="shared" si="5"/>
        <v>424</v>
      </c>
      <c r="K128" s="7">
        <v>256.0</v>
      </c>
      <c r="L128" s="7">
        <v>168.0</v>
      </c>
      <c r="M128" s="5"/>
      <c r="N128" s="8" t="s">
        <v>41</v>
      </c>
      <c r="O128" s="9" t="s">
        <v>25</v>
      </c>
      <c r="P128" s="5">
        <f t="shared" si="6"/>
        <v>8762</v>
      </c>
      <c r="Q128" s="8">
        <v>5066.0</v>
      </c>
      <c r="R128" s="8">
        <v>3696.0</v>
      </c>
      <c r="T128" s="1" t="s">
        <v>41</v>
      </c>
      <c r="U128" s="11" t="s">
        <v>25</v>
      </c>
      <c r="V128" s="5">
        <f t="shared" si="7"/>
        <v>3727</v>
      </c>
      <c r="W128" s="1">
        <v>537.0</v>
      </c>
      <c r="X128" s="1">
        <v>3190.0</v>
      </c>
    </row>
    <row r="129">
      <c r="B129" s="6" t="str">
        <f t="shared" ref="B129:C129" si="256">H129</f>
        <v>Sawantwadi</v>
      </c>
      <c r="C129" s="6" t="str">
        <f t="shared" si="256"/>
        <v>45–49</v>
      </c>
      <c r="D129" s="6">
        <f t="shared" ref="D129:F129" si="257">J129+P129+V129</f>
        <v>7346</v>
      </c>
      <c r="E129" s="6">
        <f t="shared" si="257"/>
        <v>4024</v>
      </c>
      <c r="F129" s="6">
        <f t="shared" si="257"/>
        <v>3322</v>
      </c>
      <c r="G129" s="6"/>
      <c r="H129" s="6" t="s">
        <v>41</v>
      </c>
      <c r="I129" s="6" t="s">
        <v>26</v>
      </c>
      <c r="J129" s="5">
        <f t="shared" si="5"/>
        <v>222</v>
      </c>
      <c r="K129" s="7">
        <v>121.0</v>
      </c>
      <c r="L129" s="7">
        <v>101.0</v>
      </c>
      <c r="M129" s="5"/>
      <c r="N129" s="8" t="s">
        <v>41</v>
      </c>
      <c r="O129" s="9" t="s">
        <v>27</v>
      </c>
      <c r="P129" s="5">
        <f t="shared" si="6"/>
        <v>4827</v>
      </c>
      <c r="Q129" s="8">
        <v>3446.0</v>
      </c>
      <c r="R129" s="8">
        <v>1381.0</v>
      </c>
      <c r="T129" s="1" t="s">
        <v>41</v>
      </c>
      <c r="U129" s="11" t="s">
        <v>27</v>
      </c>
      <c r="V129" s="5">
        <f t="shared" si="7"/>
        <v>2297</v>
      </c>
      <c r="W129" s="1">
        <v>457.0</v>
      </c>
      <c r="X129" s="1">
        <v>1840.0</v>
      </c>
    </row>
    <row r="130">
      <c r="B130" s="6" t="str">
        <f t="shared" ref="B130:C130" si="258">H130</f>
        <v>Sawantwadi</v>
      </c>
      <c r="C130" s="6" t="str">
        <f t="shared" si="258"/>
        <v>50–54</v>
      </c>
      <c r="D130" s="6">
        <f t="shared" ref="D130:F130" si="259">J130+P130+V130</f>
        <v>9613</v>
      </c>
      <c r="E130" s="6">
        <f t="shared" si="259"/>
        <v>4622</v>
      </c>
      <c r="F130" s="6">
        <f t="shared" si="259"/>
        <v>4991</v>
      </c>
      <c r="G130" s="6"/>
      <c r="H130" s="6" t="s">
        <v>41</v>
      </c>
      <c r="I130" s="6" t="s">
        <v>28</v>
      </c>
      <c r="J130" s="5">
        <f t="shared" si="5"/>
        <v>255</v>
      </c>
      <c r="K130" s="7">
        <v>103.0</v>
      </c>
      <c r="L130" s="7">
        <v>152.0</v>
      </c>
      <c r="M130" s="5"/>
      <c r="N130" s="8" t="s">
        <v>41</v>
      </c>
      <c r="O130" s="9" t="s">
        <v>29</v>
      </c>
      <c r="P130" s="5">
        <f t="shared" si="6"/>
        <v>5185</v>
      </c>
      <c r="Q130" s="8">
        <v>3788.0</v>
      </c>
      <c r="R130" s="8">
        <v>1397.0</v>
      </c>
      <c r="T130" s="1" t="s">
        <v>41</v>
      </c>
      <c r="U130" s="11" t="s">
        <v>29</v>
      </c>
      <c r="V130" s="5">
        <f t="shared" si="7"/>
        <v>4173</v>
      </c>
      <c r="W130" s="1">
        <v>731.0</v>
      </c>
      <c r="X130" s="1">
        <v>3442.0</v>
      </c>
    </row>
    <row r="131">
      <c r="B131" s="6" t="str">
        <f t="shared" ref="B131:C131" si="260">H131</f>
        <v>Sawantwadi</v>
      </c>
      <c r="C131" s="6" t="str">
        <f t="shared" si="260"/>
        <v>55–59</v>
      </c>
      <c r="D131" s="6">
        <f t="shared" ref="D131:F131" si="261">J131+P131+V131</f>
        <v>3888</v>
      </c>
      <c r="E131" s="6">
        <f t="shared" si="261"/>
        <v>2140</v>
      </c>
      <c r="F131" s="6">
        <f t="shared" si="261"/>
        <v>1748</v>
      </c>
      <c r="G131" s="6"/>
      <c r="H131" s="6" t="s">
        <v>41</v>
      </c>
      <c r="I131" s="6" t="s">
        <v>30</v>
      </c>
      <c r="J131" s="5">
        <f t="shared" si="5"/>
        <v>91</v>
      </c>
      <c r="K131" s="7">
        <v>34.0</v>
      </c>
      <c r="L131" s="7">
        <v>57.0</v>
      </c>
      <c r="M131" s="5"/>
      <c r="N131" s="8" t="s">
        <v>41</v>
      </c>
      <c r="O131" s="9" t="s">
        <v>31</v>
      </c>
      <c r="P131" s="5">
        <f t="shared" si="6"/>
        <v>2079</v>
      </c>
      <c r="Q131" s="8">
        <v>1691.0</v>
      </c>
      <c r="R131" s="8">
        <v>388.0</v>
      </c>
      <c r="T131" s="1" t="s">
        <v>41</v>
      </c>
      <c r="U131" s="11" t="s">
        <v>31</v>
      </c>
      <c r="V131" s="5">
        <f t="shared" si="7"/>
        <v>1718</v>
      </c>
      <c r="W131" s="1">
        <v>415.0</v>
      </c>
      <c r="X131" s="1">
        <v>1303.0</v>
      </c>
    </row>
    <row r="132">
      <c r="B132" s="6" t="str">
        <f t="shared" ref="B132:C132" si="262">H132</f>
        <v>Sawantwadi</v>
      </c>
      <c r="C132" s="6" t="str">
        <f t="shared" si="262"/>
        <v>60 and over</v>
      </c>
      <c r="D132" s="6">
        <f t="shared" ref="D132:F132" si="263">J132+P132+V132</f>
        <v>13103</v>
      </c>
      <c r="E132" s="6">
        <f t="shared" si="263"/>
        <v>5219</v>
      </c>
      <c r="F132" s="6">
        <f t="shared" si="263"/>
        <v>7884</v>
      </c>
      <c r="G132" s="6"/>
      <c r="H132" s="6" t="s">
        <v>41</v>
      </c>
      <c r="I132" s="6" t="s">
        <v>32</v>
      </c>
      <c r="J132" s="5">
        <f t="shared" si="5"/>
        <v>247</v>
      </c>
      <c r="K132" s="7">
        <v>97.0</v>
      </c>
      <c r="L132" s="7">
        <v>150.0</v>
      </c>
      <c r="M132" s="5"/>
      <c r="N132" s="8" t="s">
        <v>41</v>
      </c>
      <c r="O132" s="6" t="s">
        <v>32</v>
      </c>
      <c r="P132" s="5">
        <f t="shared" si="6"/>
        <v>4332</v>
      </c>
      <c r="Q132" s="8">
        <v>3690.0</v>
      </c>
      <c r="R132" s="8">
        <v>642.0</v>
      </c>
      <c r="T132" s="1" t="s">
        <v>41</v>
      </c>
      <c r="U132" s="6" t="s">
        <v>32</v>
      </c>
      <c r="V132" s="5">
        <f t="shared" si="7"/>
        <v>8524</v>
      </c>
      <c r="W132" s="1">
        <v>1432.0</v>
      </c>
      <c r="X132" s="1">
        <v>7092.0</v>
      </c>
    </row>
    <row r="133">
      <c r="B133" s="6" t="str">
        <f t="shared" ref="B133:C133" si="264">H133</f>
        <v>The Dangs</v>
      </c>
      <c r="C133" s="6" t="str">
        <f t="shared" si="264"/>
        <v>0–4</v>
      </c>
      <c r="D133" s="6">
        <f t="shared" ref="D133:F133" si="265">J133+P133+V133</f>
        <v>4098</v>
      </c>
      <c r="E133" s="6">
        <f t="shared" si="265"/>
        <v>2309</v>
      </c>
      <c r="F133" s="6">
        <f t="shared" si="265"/>
        <v>1789</v>
      </c>
      <c r="G133" s="6"/>
      <c r="H133" s="6" t="s">
        <v>42</v>
      </c>
      <c r="I133" s="6" t="s">
        <v>10</v>
      </c>
      <c r="J133" s="5">
        <f t="shared" si="5"/>
        <v>4073</v>
      </c>
      <c r="K133" s="7">
        <v>2304.0</v>
      </c>
      <c r="L133" s="7">
        <v>1769.0</v>
      </c>
      <c r="M133" s="5"/>
      <c r="N133" s="8" t="s">
        <v>42</v>
      </c>
      <c r="O133" s="9" t="s">
        <v>11</v>
      </c>
      <c r="P133" s="5">
        <f t="shared" si="6"/>
        <v>25</v>
      </c>
      <c r="Q133" s="10">
        <v>5.0</v>
      </c>
      <c r="R133" s="10">
        <v>20.0</v>
      </c>
      <c r="T133" s="1" t="s">
        <v>42</v>
      </c>
      <c r="U133" s="11" t="s">
        <v>11</v>
      </c>
      <c r="V133" s="5">
        <f t="shared" si="7"/>
        <v>0</v>
      </c>
      <c r="W133" s="1">
        <v>0.0</v>
      </c>
      <c r="X133" s="1">
        <v>0.0</v>
      </c>
    </row>
    <row r="134">
      <c r="B134" s="6" t="str">
        <f t="shared" ref="B134:C134" si="266">H134</f>
        <v>The Dangs</v>
      </c>
      <c r="C134" s="6" t="str">
        <f t="shared" si="266"/>
        <v>5–9</v>
      </c>
      <c r="D134" s="6">
        <f t="shared" ref="D134:F134" si="267">J134+P134+V134</f>
        <v>6042</v>
      </c>
      <c r="E134" s="6">
        <f t="shared" si="267"/>
        <v>3052</v>
      </c>
      <c r="F134" s="6">
        <f t="shared" si="267"/>
        <v>2990</v>
      </c>
      <c r="G134" s="6"/>
      <c r="H134" s="6" t="s">
        <v>42</v>
      </c>
      <c r="I134" s="6" t="s">
        <v>12</v>
      </c>
      <c r="J134" s="5">
        <f t="shared" si="5"/>
        <v>5933</v>
      </c>
      <c r="K134" s="7">
        <v>3040.0</v>
      </c>
      <c r="L134" s="7">
        <v>2893.0</v>
      </c>
      <c r="M134" s="5"/>
      <c r="N134" s="8" t="s">
        <v>42</v>
      </c>
      <c r="O134" s="12">
        <v>45786.0</v>
      </c>
      <c r="P134" s="5">
        <f t="shared" si="6"/>
        <v>109</v>
      </c>
      <c r="Q134" s="10">
        <v>12.0</v>
      </c>
      <c r="R134" s="10">
        <v>97.0</v>
      </c>
      <c r="T134" s="1" t="s">
        <v>42</v>
      </c>
      <c r="U134" s="13">
        <v>45786.0</v>
      </c>
      <c r="V134" s="5">
        <f t="shared" si="7"/>
        <v>0</v>
      </c>
      <c r="W134" s="1">
        <v>0.0</v>
      </c>
      <c r="X134" s="1">
        <v>0.0</v>
      </c>
    </row>
    <row r="135">
      <c r="B135" s="6" t="str">
        <f t="shared" ref="B135:C135" si="268">H135</f>
        <v>The Dangs</v>
      </c>
      <c r="C135" s="6" t="str">
        <f t="shared" si="268"/>
        <v>10–14</v>
      </c>
      <c r="D135" s="6">
        <f t="shared" ref="D135:F135" si="269">J135+P135+V135</f>
        <v>3812</v>
      </c>
      <c r="E135" s="6">
        <f t="shared" si="269"/>
        <v>2310</v>
      </c>
      <c r="F135" s="6">
        <f t="shared" si="269"/>
        <v>1502</v>
      </c>
      <c r="G135" s="6"/>
      <c r="H135" s="6" t="s">
        <v>42</v>
      </c>
      <c r="I135" s="6" t="s">
        <v>13</v>
      </c>
      <c r="J135" s="5">
        <f t="shared" si="5"/>
        <v>3441</v>
      </c>
      <c r="K135" s="7">
        <v>2230.0</v>
      </c>
      <c r="L135" s="7">
        <v>1211.0</v>
      </c>
      <c r="M135" s="5"/>
      <c r="N135" s="8" t="s">
        <v>42</v>
      </c>
      <c r="O135" s="12">
        <v>45944.0</v>
      </c>
      <c r="P135" s="5">
        <f t="shared" si="6"/>
        <v>366</v>
      </c>
      <c r="Q135" s="10">
        <v>79.0</v>
      </c>
      <c r="R135" s="10">
        <v>287.0</v>
      </c>
      <c r="T135" s="1" t="s">
        <v>42</v>
      </c>
      <c r="U135" s="13">
        <v>45944.0</v>
      </c>
      <c r="V135" s="5">
        <f t="shared" si="7"/>
        <v>5</v>
      </c>
      <c r="W135" s="1">
        <v>1.0</v>
      </c>
      <c r="X135" s="1">
        <v>4.0</v>
      </c>
    </row>
    <row r="136">
      <c r="B136" s="6" t="str">
        <f t="shared" ref="B136:C136" si="270">H136</f>
        <v>The Dangs</v>
      </c>
      <c r="C136" s="6" t="str">
        <f t="shared" si="270"/>
        <v>15–19</v>
      </c>
      <c r="D136" s="6">
        <f t="shared" ref="D136:F136" si="271">J136+P136+V136</f>
        <v>2473</v>
      </c>
      <c r="E136" s="6">
        <f t="shared" si="271"/>
        <v>1358</v>
      </c>
      <c r="F136" s="6">
        <f t="shared" si="271"/>
        <v>1115</v>
      </c>
      <c r="G136" s="6"/>
      <c r="H136" s="6" t="s">
        <v>42</v>
      </c>
      <c r="I136" s="6" t="s">
        <v>14</v>
      </c>
      <c r="J136" s="5">
        <f t="shared" si="5"/>
        <v>1337</v>
      </c>
      <c r="K136" s="7">
        <v>1026.0</v>
      </c>
      <c r="L136" s="7">
        <v>311.0</v>
      </c>
      <c r="M136" s="5"/>
      <c r="N136" s="8" t="s">
        <v>42</v>
      </c>
      <c r="O136" s="9" t="s">
        <v>15</v>
      </c>
      <c r="P136" s="5">
        <f t="shared" si="6"/>
        <v>1115</v>
      </c>
      <c r="Q136" s="10">
        <v>321.0</v>
      </c>
      <c r="R136" s="10">
        <v>794.0</v>
      </c>
      <c r="T136" s="1" t="s">
        <v>42</v>
      </c>
      <c r="U136" s="11" t="s">
        <v>15</v>
      </c>
      <c r="V136" s="5">
        <f t="shared" si="7"/>
        <v>21</v>
      </c>
      <c r="W136" s="1">
        <v>11.0</v>
      </c>
      <c r="X136" s="1">
        <v>10.0</v>
      </c>
    </row>
    <row r="137">
      <c r="B137" s="6" t="str">
        <f t="shared" ref="B137:C137" si="272">H137</f>
        <v>The Dangs</v>
      </c>
      <c r="C137" s="6" t="str">
        <f t="shared" si="272"/>
        <v>20–24</v>
      </c>
      <c r="D137" s="6">
        <f t="shared" ref="D137:F137" si="273">J137+P137+V137</f>
        <v>2566</v>
      </c>
      <c r="E137" s="6">
        <f t="shared" si="273"/>
        <v>1187</v>
      </c>
      <c r="F137" s="6">
        <f t="shared" si="273"/>
        <v>1379</v>
      </c>
      <c r="G137" s="6"/>
      <c r="H137" s="6" t="s">
        <v>42</v>
      </c>
      <c r="I137" s="6" t="s">
        <v>16</v>
      </c>
      <c r="J137" s="5">
        <f t="shared" si="5"/>
        <v>573</v>
      </c>
      <c r="K137" s="7">
        <v>511.0</v>
      </c>
      <c r="L137" s="7">
        <v>62.0</v>
      </c>
      <c r="M137" s="5"/>
      <c r="N137" s="8" t="s">
        <v>42</v>
      </c>
      <c r="O137" s="9" t="s">
        <v>17</v>
      </c>
      <c r="P137" s="5">
        <f t="shared" si="6"/>
        <v>1946</v>
      </c>
      <c r="Q137" s="10">
        <v>652.0</v>
      </c>
      <c r="R137" s="10">
        <v>1294.0</v>
      </c>
      <c r="T137" s="1" t="s">
        <v>42</v>
      </c>
      <c r="U137" s="11" t="s">
        <v>17</v>
      </c>
      <c r="V137" s="5">
        <f t="shared" si="7"/>
        <v>47</v>
      </c>
      <c r="W137" s="1">
        <v>24.0</v>
      </c>
      <c r="X137" s="1">
        <v>23.0</v>
      </c>
    </row>
    <row r="138">
      <c r="B138" s="6" t="str">
        <f t="shared" ref="B138:C138" si="274">H138</f>
        <v>The Dangs</v>
      </c>
      <c r="C138" s="6" t="str">
        <f t="shared" si="274"/>
        <v>25–29</v>
      </c>
      <c r="D138" s="6">
        <f t="shared" ref="D138:F138" si="275">J138+P138+V138</f>
        <v>27416</v>
      </c>
      <c r="E138" s="6">
        <f t="shared" si="275"/>
        <v>11724</v>
      </c>
      <c r="F138" s="6">
        <f t="shared" si="275"/>
        <v>15692</v>
      </c>
      <c r="G138" s="6"/>
      <c r="H138" s="6" t="s">
        <v>42</v>
      </c>
      <c r="I138" s="6" t="s">
        <v>18</v>
      </c>
      <c r="J138" s="5">
        <f t="shared" si="5"/>
        <v>314</v>
      </c>
      <c r="K138" s="7">
        <v>275.0</v>
      </c>
      <c r="L138" s="7">
        <v>39.0</v>
      </c>
      <c r="M138" s="5"/>
      <c r="N138" s="8" t="s">
        <v>42</v>
      </c>
      <c r="O138" s="9" t="s">
        <v>19</v>
      </c>
      <c r="P138" s="5">
        <f t="shared" si="6"/>
        <v>26998</v>
      </c>
      <c r="Q138" s="8">
        <v>11391.0</v>
      </c>
      <c r="R138" s="8">
        <v>15607.0</v>
      </c>
      <c r="T138" s="1" t="s">
        <v>42</v>
      </c>
      <c r="U138" s="11" t="s">
        <v>19</v>
      </c>
      <c r="V138" s="5">
        <f t="shared" si="7"/>
        <v>104</v>
      </c>
      <c r="W138" s="1">
        <v>58.0</v>
      </c>
      <c r="X138" s="1">
        <v>46.0</v>
      </c>
    </row>
    <row r="139">
      <c r="B139" s="6" t="str">
        <f t="shared" ref="B139:C139" si="276">H139</f>
        <v>The Dangs</v>
      </c>
      <c r="C139" s="6" t="str">
        <f t="shared" si="276"/>
        <v>30–34</v>
      </c>
      <c r="D139" s="6">
        <f t="shared" ref="D139:F139" si="277">J139+P139+V139</f>
        <v>23719</v>
      </c>
      <c r="E139" s="6">
        <f t="shared" si="277"/>
        <v>12070</v>
      </c>
      <c r="F139" s="6">
        <f t="shared" si="277"/>
        <v>11649</v>
      </c>
      <c r="G139" s="6"/>
      <c r="H139" s="6" t="s">
        <v>42</v>
      </c>
      <c r="I139" s="6" t="s">
        <v>20</v>
      </c>
      <c r="J139" s="5">
        <f t="shared" si="5"/>
        <v>152</v>
      </c>
      <c r="K139" s="7">
        <v>76.0</v>
      </c>
      <c r="L139" s="7">
        <v>76.0</v>
      </c>
      <c r="M139" s="5"/>
      <c r="N139" s="8" t="s">
        <v>42</v>
      </c>
      <c r="O139" s="9" t="s">
        <v>21</v>
      </c>
      <c r="P139" s="5">
        <f t="shared" si="6"/>
        <v>23392</v>
      </c>
      <c r="Q139" s="8">
        <v>11894.0</v>
      </c>
      <c r="R139" s="8">
        <v>11498.0</v>
      </c>
      <c r="T139" s="1" t="s">
        <v>42</v>
      </c>
      <c r="U139" s="11" t="s">
        <v>21</v>
      </c>
      <c r="V139" s="5">
        <f t="shared" si="7"/>
        <v>175</v>
      </c>
      <c r="W139" s="1">
        <v>100.0</v>
      </c>
      <c r="X139" s="1">
        <v>75.0</v>
      </c>
    </row>
    <row r="140">
      <c r="B140" s="6" t="str">
        <f t="shared" ref="B140:C140" si="278">H140</f>
        <v>The Dangs</v>
      </c>
      <c r="C140" s="6" t="str">
        <f t="shared" si="278"/>
        <v>35–39</v>
      </c>
      <c r="D140" s="6">
        <f t="shared" ref="D140:F140" si="279">J140+P140+V140</f>
        <v>15973</v>
      </c>
      <c r="E140" s="6">
        <f t="shared" si="279"/>
        <v>8871</v>
      </c>
      <c r="F140" s="6">
        <f t="shared" si="279"/>
        <v>7102</v>
      </c>
      <c r="G140" s="6"/>
      <c r="H140" s="6" t="s">
        <v>42</v>
      </c>
      <c r="I140" s="6" t="s">
        <v>22</v>
      </c>
      <c r="J140" s="5">
        <f t="shared" si="5"/>
        <v>55</v>
      </c>
      <c r="K140" s="7">
        <v>37.0</v>
      </c>
      <c r="L140" s="7">
        <v>18.0</v>
      </c>
      <c r="M140" s="5"/>
      <c r="N140" s="8" t="s">
        <v>42</v>
      </c>
      <c r="O140" s="9" t="s">
        <v>23</v>
      </c>
      <c r="P140" s="5">
        <f t="shared" si="6"/>
        <v>15733</v>
      </c>
      <c r="Q140" s="8">
        <v>8742.0</v>
      </c>
      <c r="R140" s="8">
        <v>6991.0</v>
      </c>
      <c r="T140" s="1" t="s">
        <v>42</v>
      </c>
      <c r="U140" s="11" t="s">
        <v>23</v>
      </c>
      <c r="V140" s="5">
        <f t="shared" si="7"/>
        <v>185</v>
      </c>
      <c r="W140" s="1">
        <v>92.0</v>
      </c>
      <c r="X140" s="1">
        <v>93.0</v>
      </c>
    </row>
    <row r="141">
      <c r="B141" s="6" t="str">
        <f t="shared" ref="B141:C141" si="280">H141</f>
        <v>The Dangs</v>
      </c>
      <c r="C141" s="6" t="str">
        <f t="shared" si="280"/>
        <v>40–44</v>
      </c>
      <c r="D141" s="6">
        <f t="shared" ref="D141:F141" si="281">J141+P141+V141</f>
        <v>14996</v>
      </c>
      <c r="E141" s="6">
        <f t="shared" si="281"/>
        <v>8755</v>
      </c>
      <c r="F141" s="6">
        <f t="shared" si="281"/>
        <v>6241</v>
      </c>
      <c r="G141" s="6"/>
      <c r="H141" s="6" t="s">
        <v>42</v>
      </c>
      <c r="I141" s="6" t="s">
        <v>24</v>
      </c>
      <c r="J141" s="5">
        <f t="shared" si="5"/>
        <v>25</v>
      </c>
      <c r="K141" s="7">
        <v>15.0</v>
      </c>
      <c r="L141" s="7">
        <v>10.0</v>
      </c>
      <c r="M141" s="5"/>
      <c r="N141" s="8" t="s">
        <v>42</v>
      </c>
      <c r="O141" s="9" t="s">
        <v>25</v>
      </c>
      <c r="P141" s="5">
        <f t="shared" si="6"/>
        <v>14724</v>
      </c>
      <c r="Q141" s="8">
        <v>8679.0</v>
      </c>
      <c r="R141" s="8">
        <v>6045.0</v>
      </c>
      <c r="T141" s="1" t="s">
        <v>42</v>
      </c>
      <c r="U141" s="11" t="s">
        <v>25</v>
      </c>
      <c r="V141" s="5">
        <f t="shared" si="7"/>
        <v>247</v>
      </c>
      <c r="W141" s="1">
        <v>61.0</v>
      </c>
      <c r="X141" s="1">
        <v>186.0</v>
      </c>
    </row>
    <row r="142">
      <c r="B142" s="6" t="str">
        <f t="shared" ref="B142:C142" si="282">H142</f>
        <v>The Dangs</v>
      </c>
      <c r="C142" s="6" t="str">
        <f t="shared" si="282"/>
        <v>45–49</v>
      </c>
      <c r="D142" s="6">
        <f t="shared" ref="D142:F142" si="283">J142+P142+V142</f>
        <v>9043</v>
      </c>
      <c r="E142" s="6">
        <f t="shared" si="283"/>
        <v>6266</v>
      </c>
      <c r="F142" s="6">
        <f t="shared" si="283"/>
        <v>2777</v>
      </c>
      <c r="G142" s="6"/>
      <c r="H142" s="6" t="s">
        <v>42</v>
      </c>
      <c r="I142" s="6" t="s">
        <v>26</v>
      </c>
      <c r="J142" s="5">
        <f t="shared" si="5"/>
        <v>13</v>
      </c>
      <c r="K142" s="7">
        <v>10.0</v>
      </c>
      <c r="L142" s="7">
        <v>3.0</v>
      </c>
      <c r="M142" s="5"/>
      <c r="N142" s="8" t="s">
        <v>42</v>
      </c>
      <c r="O142" s="9" t="s">
        <v>27</v>
      </c>
      <c r="P142" s="5">
        <f t="shared" si="6"/>
        <v>8816</v>
      </c>
      <c r="Q142" s="8">
        <v>6181.0</v>
      </c>
      <c r="R142" s="8">
        <v>2635.0</v>
      </c>
      <c r="T142" s="1" t="s">
        <v>42</v>
      </c>
      <c r="U142" s="11" t="s">
        <v>27</v>
      </c>
      <c r="V142" s="5">
        <f t="shared" si="7"/>
        <v>214</v>
      </c>
      <c r="W142" s="1">
        <v>75.0</v>
      </c>
      <c r="X142" s="1">
        <v>139.0</v>
      </c>
    </row>
    <row r="143">
      <c r="B143" s="6" t="str">
        <f t="shared" ref="B143:C143" si="284">H143</f>
        <v>The Dangs</v>
      </c>
      <c r="C143" s="6" t="str">
        <f t="shared" si="284"/>
        <v>50–54</v>
      </c>
      <c r="D143" s="6">
        <f t="shared" ref="D143:F143" si="285">J143+P143+V143</f>
        <v>8571</v>
      </c>
      <c r="E143" s="6">
        <f t="shared" si="285"/>
        <v>5934</v>
      </c>
      <c r="F143" s="6">
        <f t="shared" si="285"/>
        <v>2637</v>
      </c>
      <c r="G143" s="6"/>
      <c r="H143" s="6" t="s">
        <v>42</v>
      </c>
      <c r="I143" s="6" t="s">
        <v>28</v>
      </c>
      <c r="J143" s="5">
        <f t="shared" si="5"/>
        <v>8</v>
      </c>
      <c r="K143" s="7">
        <v>4.0</v>
      </c>
      <c r="L143" s="7">
        <v>4.0</v>
      </c>
      <c r="M143" s="5"/>
      <c r="N143" s="8" t="s">
        <v>42</v>
      </c>
      <c r="O143" s="9" t="s">
        <v>29</v>
      </c>
      <c r="P143" s="5">
        <f t="shared" si="6"/>
        <v>8191</v>
      </c>
      <c r="Q143" s="8">
        <v>5831.0</v>
      </c>
      <c r="R143" s="8">
        <v>2360.0</v>
      </c>
      <c r="T143" s="1" t="s">
        <v>42</v>
      </c>
      <c r="U143" s="11" t="s">
        <v>29</v>
      </c>
      <c r="V143" s="5">
        <f t="shared" si="7"/>
        <v>372</v>
      </c>
      <c r="W143" s="1">
        <v>99.0</v>
      </c>
      <c r="X143" s="1">
        <v>273.0</v>
      </c>
    </row>
    <row r="144">
      <c r="B144" s="6" t="str">
        <f t="shared" ref="B144:C144" si="286">H144</f>
        <v>The Dangs</v>
      </c>
      <c r="C144" s="6" t="str">
        <f t="shared" si="286"/>
        <v>55–59</v>
      </c>
      <c r="D144" s="6">
        <f t="shared" ref="D144:F144" si="287">J144+P144+V144</f>
        <v>3707</v>
      </c>
      <c r="E144" s="6">
        <f t="shared" si="287"/>
        <v>2868</v>
      </c>
      <c r="F144" s="6">
        <f t="shared" si="287"/>
        <v>839</v>
      </c>
      <c r="G144" s="6"/>
      <c r="H144" s="6" t="s">
        <v>42</v>
      </c>
      <c r="I144" s="6" t="s">
        <v>30</v>
      </c>
      <c r="J144" s="5">
        <f t="shared" si="5"/>
        <v>3</v>
      </c>
      <c r="K144" s="7">
        <v>1.0</v>
      </c>
      <c r="L144" s="7">
        <v>2.0</v>
      </c>
      <c r="M144" s="5"/>
      <c r="N144" s="8" t="s">
        <v>42</v>
      </c>
      <c r="O144" s="9" t="s">
        <v>31</v>
      </c>
      <c r="P144" s="5">
        <f t="shared" si="6"/>
        <v>3620</v>
      </c>
      <c r="Q144" s="8">
        <v>2835.0</v>
      </c>
      <c r="R144" s="8">
        <v>785.0</v>
      </c>
      <c r="T144" s="1" t="s">
        <v>42</v>
      </c>
      <c r="U144" s="11" t="s">
        <v>31</v>
      </c>
      <c r="V144" s="5">
        <f t="shared" si="7"/>
        <v>84</v>
      </c>
      <c r="W144" s="1">
        <v>32.0</v>
      </c>
      <c r="X144" s="1">
        <v>52.0</v>
      </c>
    </row>
    <row r="145">
      <c r="B145" s="6" t="str">
        <f t="shared" ref="B145:C145" si="288">H145</f>
        <v>The Dangs</v>
      </c>
      <c r="C145" s="6" t="str">
        <f t="shared" si="288"/>
        <v>60 and over</v>
      </c>
      <c r="D145" s="6">
        <f t="shared" ref="D145:F145" si="289">J145+P145+V145</f>
        <v>7177</v>
      </c>
      <c r="E145" s="6">
        <f t="shared" si="289"/>
        <v>5747</v>
      </c>
      <c r="F145" s="6">
        <f t="shared" si="289"/>
        <v>1430</v>
      </c>
      <c r="G145" s="6"/>
      <c r="H145" s="6" t="s">
        <v>42</v>
      </c>
      <c r="I145" s="6" t="s">
        <v>32</v>
      </c>
      <c r="J145" s="5">
        <f t="shared" si="5"/>
        <v>8</v>
      </c>
      <c r="K145" s="7">
        <v>5.0</v>
      </c>
      <c r="L145" s="7">
        <v>3.0</v>
      </c>
      <c r="M145" s="5"/>
      <c r="N145" s="8" t="s">
        <v>42</v>
      </c>
      <c r="O145" s="6" t="s">
        <v>32</v>
      </c>
      <c r="P145" s="5">
        <f t="shared" si="6"/>
        <v>6712</v>
      </c>
      <c r="Q145" s="8">
        <v>5625.0</v>
      </c>
      <c r="R145" s="8">
        <v>1087.0</v>
      </c>
      <c r="T145" s="1" t="s">
        <v>42</v>
      </c>
      <c r="U145" s="6" t="s">
        <v>32</v>
      </c>
      <c r="V145" s="5">
        <f t="shared" si="7"/>
        <v>457</v>
      </c>
      <c r="W145" s="1">
        <v>117.0</v>
      </c>
      <c r="X145" s="1">
        <v>340.0</v>
      </c>
    </row>
    <row r="146">
      <c r="B146" s="6" t="str">
        <f t="shared" ref="B146:C146" si="290">H146</f>
        <v>Surgana</v>
      </c>
      <c r="C146" s="6" t="str">
        <f t="shared" si="290"/>
        <v>0–4</v>
      </c>
      <c r="D146" s="6">
        <f t="shared" ref="D146:F146" si="291">J146+P146+V146</f>
        <v>2049</v>
      </c>
      <c r="E146" s="6">
        <f t="shared" si="291"/>
        <v>987</v>
      </c>
      <c r="F146" s="6">
        <f t="shared" si="291"/>
        <v>1062</v>
      </c>
      <c r="G146" s="6"/>
      <c r="H146" s="6" t="s">
        <v>43</v>
      </c>
      <c r="I146" s="6" t="s">
        <v>10</v>
      </c>
      <c r="J146" s="5">
        <f t="shared" si="5"/>
        <v>2016</v>
      </c>
      <c r="K146" s="7">
        <v>974.0</v>
      </c>
      <c r="L146" s="7">
        <v>1042.0</v>
      </c>
      <c r="M146" s="5"/>
      <c r="N146" s="8" t="s">
        <v>43</v>
      </c>
      <c r="O146" s="9" t="s">
        <v>11</v>
      </c>
      <c r="P146" s="5">
        <f t="shared" si="6"/>
        <v>33</v>
      </c>
      <c r="Q146" s="10">
        <v>13.0</v>
      </c>
      <c r="R146" s="10">
        <v>20.0</v>
      </c>
      <c r="T146" s="1" t="s">
        <v>43</v>
      </c>
      <c r="U146" s="11" t="s">
        <v>11</v>
      </c>
      <c r="V146" s="5">
        <f t="shared" si="7"/>
        <v>0</v>
      </c>
      <c r="W146" s="1">
        <v>0.0</v>
      </c>
      <c r="X146" s="1">
        <v>0.0</v>
      </c>
    </row>
    <row r="147">
      <c r="B147" s="6" t="str">
        <f t="shared" ref="B147:C147" si="292">H147</f>
        <v>Surgana</v>
      </c>
      <c r="C147" s="6" t="str">
        <f t="shared" si="292"/>
        <v>5–9</v>
      </c>
      <c r="D147" s="6">
        <f t="shared" ref="D147:F147" si="293">J147+P147+V147</f>
        <v>2279</v>
      </c>
      <c r="E147" s="6">
        <f t="shared" si="293"/>
        <v>1129</v>
      </c>
      <c r="F147" s="6">
        <f t="shared" si="293"/>
        <v>1150</v>
      </c>
      <c r="G147" s="6"/>
      <c r="H147" s="6" t="s">
        <v>43</v>
      </c>
      <c r="I147" s="6" t="s">
        <v>12</v>
      </c>
      <c r="J147" s="5">
        <f t="shared" si="5"/>
        <v>2136</v>
      </c>
      <c r="K147" s="7">
        <v>1116.0</v>
      </c>
      <c r="L147" s="7">
        <v>1020.0</v>
      </c>
      <c r="M147" s="5"/>
      <c r="N147" s="8" t="s">
        <v>43</v>
      </c>
      <c r="O147" s="12">
        <v>45786.0</v>
      </c>
      <c r="P147" s="5">
        <f t="shared" si="6"/>
        <v>142</v>
      </c>
      <c r="Q147" s="10">
        <v>13.0</v>
      </c>
      <c r="R147" s="10">
        <v>129.0</v>
      </c>
      <c r="T147" s="1" t="s">
        <v>43</v>
      </c>
      <c r="U147" s="13">
        <v>45786.0</v>
      </c>
      <c r="V147" s="5">
        <f t="shared" si="7"/>
        <v>1</v>
      </c>
      <c r="W147" s="1">
        <v>0.0</v>
      </c>
      <c r="X147" s="1">
        <v>1.0</v>
      </c>
    </row>
    <row r="148">
      <c r="B148" s="6" t="str">
        <f t="shared" ref="B148:C148" si="294">H148</f>
        <v>Surgana</v>
      </c>
      <c r="C148" s="6" t="str">
        <f t="shared" si="294"/>
        <v>10–14</v>
      </c>
      <c r="D148" s="6">
        <f t="shared" ref="D148:F148" si="295">J148+P148+V148</f>
        <v>1708</v>
      </c>
      <c r="E148" s="6">
        <f t="shared" si="295"/>
        <v>907</v>
      </c>
      <c r="F148" s="6">
        <f t="shared" si="295"/>
        <v>801</v>
      </c>
      <c r="G148" s="6"/>
      <c r="H148" s="6" t="s">
        <v>43</v>
      </c>
      <c r="I148" s="6" t="s">
        <v>13</v>
      </c>
      <c r="J148" s="5">
        <f t="shared" si="5"/>
        <v>1284</v>
      </c>
      <c r="K148" s="7">
        <v>777.0</v>
      </c>
      <c r="L148" s="7">
        <v>507.0</v>
      </c>
      <c r="M148" s="5"/>
      <c r="N148" s="8" t="s">
        <v>43</v>
      </c>
      <c r="O148" s="12">
        <v>45944.0</v>
      </c>
      <c r="P148" s="5">
        <f t="shared" si="6"/>
        <v>423</v>
      </c>
      <c r="Q148" s="10">
        <v>129.0</v>
      </c>
      <c r="R148" s="10">
        <v>294.0</v>
      </c>
      <c r="T148" s="1" t="s">
        <v>43</v>
      </c>
      <c r="U148" s="13">
        <v>45944.0</v>
      </c>
      <c r="V148" s="5">
        <f t="shared" si="7"/>
        <v>1</v>
      </c>
      <c r="W148" s="1">
        <v>1.0</v>
      </c>
      <c r="X148" s="1">
        <v>0.0</v>
      </c>
    </row>
    <row r="149">
      <c r="B149" s="6" t="str">
        <f t="shared" ref="B149:C149" si="296">H149</f>
        <v>Surgana</v>
      </c>
      <c r="C149" s="6" t="str">
        <f t="shared" si="296"/>
        <v>15–19</v>
      </c>
      <c r="D149" s="6">
        <f t="shared" ref="D149:F149" si="297">J149+P149+V149</f>
        <v>1466</v>
      </c>
      <c r="E149" s="6">
        <f t="shared" si="297"/>
        <v>508</v>
      </c>
      <c r="F149" s="6">
        <f t="shared" si="297"/>
        <v>958</v>
      </c>
      <c r="G149" s="6"/>
      <c r="H149" s="6" t="s">
        <v>43</v>
      </c>
      <c r="I149" s="6" t="s">
        <v>14</v>
      </c>
      <c r="J149" s="5">
        <f t="shared" si="5"/>
        <v>457</v>
      </c>
      <c r="K149" s="7">
        <v>346.0</v>
      </c>
      <c r="L149" s="7">
        <v>111.0</v>
      </c>
      <c r="M149" s="5"/>
      <c r="N149" s="8" t="s">
        <v>43</v>
      </c>
      <c r="O149" s="9" t="s">
        <v>15</v>
      </c>
      <c r="P149" s="5">
        <f t="shared" si="6"/>
        <v>1001</v>
      </c>
      <c r="Q149" s="10">
        <v>157.0</v>
      </c>
      <c r="R149" s="10">
        <v>844.0</v>
      </c>
      <c r="T149" s="1" t="s">
        <v>43</v>
      </c>
      <c r="U149" s="11" t="s">
        <v>15</v>
      </c>
      <c r="V149" s="5">
        <f t="shared" si="7"/>
        <v>8</v>
      </c>
      <c r="W149" s="1">
        <v>5.0</v>
      </c>
      <c r="X149" s="1">
        <v>3.0</v>
      </c>
    </row>
    <row r="150">
      <c r="B150" s="6" t="str">
        <f t="shared" ref="B150:C150" si="298">H150</f>
        <v>Surgana</v>
      </c>
      <c r="C150" s="6" t="str">
        <f t="shared" si="298"/>
        <v>20–24</v>
      </c>
      <c r="D150" s="6">
        <f t="shared" ref="D150:F150" si="299">J150+P150+V150</f>
        <v>1602</v>
      </c>
      <c r="E150" s="6">
        <f t="shared" si="299"/>
        <v>408</v>
      </c>
      <c r="F150" s="6">
        <f t="shared" si="299"/>
        <v>1194</v>
      </c>
      <c r="G150" s="6"/>
      <c r="H150" s="6" t="s">
        <v>43</v>
      </c>
      <c r="I150" s="6" t="s">
        <v>16</v>
      </c>
      <c r="J150" s="5">
        <f t="shared" si="5"/>
        <v>183</v>
      </c>
      <c r="K150" s="7">
        <v>154.0</v>
      </c>
      <c r="L150" s="7">
        <v>29.0</v>
      </c>
      <c r="M150" s="5"/>
      <c r="N150" s="8" t="s">
        <v>43</v>
      </c>
      <c r="O150" s="9" t="s">
        <v>17</v>
      </c>
      <c r="P150" s="5">
        <f t="shared" si="6"/>
        <v>1398</v>
      </c>
      <c r="Q150" s="10">
        <v>242.0</v>
      </c>
      <c r="R150" s="10">
        <v>1156.0</v>
      </c>
      <c r="T150" s="1" t="s">
        <v>43</v>
      </c>
      <c r="U150" s="11" t="s">
        <v>17</v>
      </c>
      <c r="V150" s="5">
        <f t="shared" si="7"/>
        <v>21</v>
      </c>
      <c r="W150" s="1">
        <v>12.0</v>
      </c>
      <c r="X150" s="1">
        <v>9.0</v>
      </c>
    </row>
    <row r="151">
      <c r="B151" s="6" t="str">
        <f t="shared" ref="B151:C151" si="300">H151</f>
        <v>Surgana</v>
      </c>
      <c r="C151" s="6" t="str">
        <f t="shared" si="300"/>
        <v>25–29</v>
      </c>
      <c r="D151" s="6">
        <f t="shared" ref="D151:F151" si="301">J151+P151+V151</f>
        <v>3130</v>
      </c>
      <c r="E151" s="6">
        <f t="shared" si="301"/>
        <v>1452</v>
      </c>
      <c r="F151" s="6">
        <f t="shared" si="301"/>
        <v>1678</v>
      </c>
      <c r="G151" s="6"/>
      <c r="H151" s="6" t="s">
        <v>43</v>
      </c>
      <c r="I151" s="6" t="s">
        <v>18</v>
      </c>
      <c r="J151" s="5">
        <f t="shared" si="5"/>
        <v>137</v>
      </c>
      <c r="K151" s="7">
        <v>126.0</v>
      </c>
      <c r="L151" s="7">
        <v>11.0</v>
      </c>
      <c r="M151" s="5"/>
      <c r="N151" s="8" t="s">
        <v>43</v>
      </c>
      <c r="O151" s="9" t="s">
        <v>19</v>
      </c>
      <c r="P151" s="5">
        <f t="shared" si="6"/>
        <v>2957</v>
      </c>
      <c r="Q151" s="8">
        <v>1299.0</v>
      </c>
      <c r="R151" s="8">
        <v>1658.0</v>
      </c>
      <c r="T151" s="1" t="s">
        <v>43</v>
      </c>
      <c r="U151" s="11" t="s">
        <v>19</v>
      </c>
      <c r="V151" s="5">
        <f t="shared" si="7"/>
        <v>36</v>
      </c>
      <c r="W151" s="1">
        <v>27.0</v>
      </c>
      <c r="X151" s="1">
        <v>9.0</v>
      </c>
    </row>
    <row r="152">
      <c r="B152" s="6" t="str">
        <f t="shared" ref="B152:C152" si="302">H152</f>
        <v>Surgana</v>
      </c>
      <c r="C152" s="6" t="str">
        <f t="shared" si="302"/>
        <v>30–34</v>
      </c>
      <c r="D152" s="6">
        <f t="shared" ref="D152:F152" si="303">J152+P152+V152</f>
        <v>2635</v>
      </c>
      <c r="E152" s="6">
        <f t="shared" si="303"/>
        <v>1329</v>
      </c>
      <c r="F152" s="6">
        <f t="shared" si="303"/>
        <v>1306</v>
      </c>
      <c r="G152" s="6"/>
      <c r="H152" s="6" t="s">
        <v>43</v>
      </c>
      <c r="I152" s="6" t="s">
        <v>20</v>
      </c>
      <c r="J152" s="5">
        <f t="shared" si="5"/>
        <v>52</v>
      </c>
      <c r="K152" s="7">
        <v>41.0</v>
      </c>
      <c r="L152" s="7">
        <v>11.0</v>
      </c>
      <c r="M152" s="5"/>
      <c r="N152" s="8" t="s">
        <v>43</v>
      </c>
      <c r="O152" s="9" t="s">
        <v>21</v>
      </c>
      <c r="P152" s="5">
        <f t="shared" si="6"/>
        <v>2542</v>
      </c>
      <c r="Q152" s="8">
        <v>1276.0</v>
      </c>
      <c r="R152" s="8">
        <v>1266.0</v>
      </c>
      <c r="T152" s="1" t="s">
        <v>43</v>
      </c>
      <c r="U152" s="11" t="s">
        <v>21</v>
      </c>
      <c r="V152" s="5">
        <f t="shared" si="7"/>
        <v>41</v>
      </c>
      <c r="W152" s="1">
        <v>12.0</v>
      </c>
      <c r="X152" s="1">
        <v>29.0</v>
      </c>
    </row>
    <row r="153">
      <c r="B153" s="6" t="str">
        <f t="shared" ref="B153:C153" si="304">H153</f>
        <v>Surgana</v>
      </c>
      <c r="C153" s="6" t="str">
        <f t="shared" si="304"/>
        <v>35–39</v>
      </c>
      <c r="D153" s="6">
        <f t="shared" ref="D153:F153" si="305">J153+P153+V153</f>
        <v>2135</v>
      </c>
      <c r="E153" s="6">
        <f t="shared" si="305"/>
        <v>1331</v>
      </c>
      <c r="F153" s="6">
        <f t="shared" si="305"/>
        <v>804</v>
      </c>
      <c r="G153" s="6"/>
      <c r="H153" s="6" t="s">
        <v>43</v>
      </c>
      <c r="I153" s="6" t="s">
        <v>22</v>
      </c>
      <c r="J153" s="5">
        <f t="shared" si="5"/>
        <v>26</v>
      </c>
      <c r="K153" s="7">
        <v>19.0</v>
      </c>
      <c r="L153" s="7">
        <v>7.0</v>
      </c>
      <c r="M153" s="5"/>
      <c r="N153" s="8" t="s">
        <v>43</v>
      </c>
      <c r="O153" s="9" t="s">
        <v>23</v>
      </c>
      <c r="P153" s="5">
        <f t="shared" si="6"/>
        <v>2057</v>
      </c>
      <c r="Q153" s="8">
        <v>1290.0</v>
      </c>
      <c r="R153" s="8">
        <v>767.0</v>
      </c>
      <c r="T153" s="1" t="s">
        <v>43</v>
      </c>
      <c r="U153" s="11" t="s">
        <v>23</v>
      </c>
      <c r="V153" s="5">
        <f t="shared" si="7"/>
        <v>52</v>
      </c>
      <c r="W153" s="1">
        <v>22.0</v>
      </c>
      <c r="X153" s="1">
        <v>30.0</v>
      </c>
    </row>
    <row r="154">
      <c r="B154" s="6" t="str">
        <f t="shared" ref="B154:C154" si="306">H154</f>
        <v>Surgana</v>
      </c>
      <c r="C154" s="6" t="str">
        <f t="shared" si="306"/>
        <v>40–44</v>
      </c>
      <c r="D154" s="6">
        <f t="shared" ref="D154:F154" si="307">J154+P154+V154</f>
        <v>1303</v>
      </c>
      <c r="E154" s="6">
        <f t="shared" si="307"/>
        <v>732</v>
      </c>
      <c r="F154" s="6">
        <f t="shared" si="307"/>
        <v>571</v>
      </c>
      <c r="G154" s="6"/>
      <c r="H154" s="6" t="s">
        <v>43</v>
      </c>
      <c r="I154" s="6" t="s">
        <v>24</v>
      </c>
      <c r="J154" s="5">
        <f t="shared" si="5"/>
        <v>11</v>
      </c>
      <c r="K154" s="7">
        <v>8.0</v>
      </c>
      <c r="L154" s="7">
        <v>3.0</v>
      </c>
      <c r="M154" s="5"/>
      <c r="N154" s="8" t="s">
        <v>43</v>
      </c>
      <c r="O154" s="9" t="s">
        <v>25</v>
      </c>
      <c r="P154" s="5">
        <f t="shared" si="6"/>
        <v>1186</v>
      </c>
      <c r="Q154" s="8">
        <v>690.0</v>
      </c>
      <c r="R154" s="8">
        <v>496.0</v>
      </c>
      <c r="T154" s="1" t="s">
        <v>43</v>
      </c>
      <c r="U154" s="11" t="s">
        <v>25</v>
      </c>
      <c r="V154" s="5">
        <f t="shared" si="7"/>
        <v>106</v>
      </c>
      <c r="W154" s="1">
        <v>34.0</v>
      </c>
      <c r="X154" s="1">
        <v>72.0</v>
      </c>
    </row>
    <row r="155">
      <c r="B155" s="6" t="str">
        <f t="shared" ref="B155:C155" si="308">H155</f>
        <v>Surgana</v>
      </c>
      <c r="C155" s="6" t="str">
        <f t="shared" si="308"/>
        <v>45–49</v>
      </c>
      <c r="D155" s="6">
        <f t="shared" ref="D155:F155" si="309">J155+P155+V155</f>
        <v>906</v>
      </c>
      <c r="E155" s="6">
        <f t="shared" si="309"/>
        <v>575</v>
      </c>
      <c r="F155" s="6">
        <f t="shared" si="309"/>
        <v>331</v>
      </c>
      <c r="G155" s="6"/>
      <c r="H155" s="6" t="s">
        <v>43</v>
      </c>
      <c r="I155" s="6" t="s">
        <v>26</v>
      </c>
      <c r="J155" s="5">
        <f t="shared" si="5"/>
        <v>9</v>
      </c>
      <c r="K155" s="7">
        <v>7.0</v>
      </c>
      <c r="L155" s="7">
        <v>2.0</v>
      </c>
      <c r="M155" s="5"/>
      <c r="N155" s="8" t="s">
        <v>43</v>
      </c>
      <c r="O155" s="9" t="s">
        <v>27</v>
      </c>
      <c r="P155" s="5">
        <f t="shared" si="6"/>
        <v>833</v>
      </c>
      <c r="Q155" s="8">
        <v>549.0</v>
      </c>
      <c r="R155" s="8">
        <v>284.0</v>
      </c>
      <c r="T155" s="1" t="s">
        <v>43</v>
      </c>
      <c r="U155" s="11" t="s">
        <v>27</v>
      </c>
      <c r="V155" s="5">
        <f t="shared" si="7"/>
        <v>64</v>
      </c>
      <c r="W155" s="1">
        <v>19.0</v>
      </c>
      <c r="X155" s="1">
        <v>45.0</v>
      </c>
    </row>
    <row r="156">
      <c r="B156" s="6" t="str">
        <f t="shared" ref="B156:C156" si="310">H156</f>
        <v>Surgana</v>
      </c>
      <c r="C156" s="6" t="str">
        <f t="shared" si="310"/>
        <v>50–54</v>
      </c>
      <c r="D156" s="6">
        <f t="shared" ref="D156:F156" si="311">J156+P156+V156</f>
        <v>690</v>
      </c>
      <c r="E156" s="6">
        <f t="shared" si="311"/>
        <v>420</v>
      </c>
      <c r="F156" s="6">
        <f t="shared" si="311"/>
        <v>270</v>
      </c>
      <c r="G156" s="6"/>
      <c r="H156" s="6" t="s">
        <v>43</v>
      </c>
      <c r="I156" s="6" t="s">
        <v>28</v>
      </c>
      <c r="J156" s="5">
        <f t="shared" si="5"/>
        <v>3</v>
      </c>
      <c r="K156" s="7">
        <v>2.0</v>
      </c>
      <c r="L156" s="7">
        <v>1.0</v>
      </c>
      <c r="M156" s="5"/>
      <c r="N156" s="8" t="s">
        <v>43</v>
      </c>
      <c r="O156" s="9" t="s">
        <v>29</v>
      </c>
      <c r="P156" s="5">
        <f t="shared" si="6"/>
        <v>577</v>
      </c>
      <c r="Q156" s="8">
        <v>393.0</v>
      </c>
      <c r="R156" s="8">
        <v>184.0</v>
      </c>
      <c r="T156" s="1" t="s">
        <v>43</v>
      </c>
      <c r="U156" s="11" t="s">
        <v>29</v>
      </c>
      <c r="V156" s="5">
        <f t="shared" si="7"/>
        <v>110</v>
      </c>
      <c r="W156" s="1">
        <v>25.0</v>
      </c>
      <c r="X156" s="1">
        <v>85.0</v>
      </c>
    </row>
    <row r="157">
      <c r="B157" s="6" t="str">
        <f t="shared" ref="B157:C157" si="312">H157</f>
        <v>Surgana</v>
      </c>
      <c r="C157" s="6" t="str">
        <f t="shared" si="312"/>
        <v>55–59</v>
      </c>
      <c r="D157" s="6">
        <f t="shared" ref="D157:F157" si="313">J157+P157+V157</f>
        <v>246</v>
      </c>
      <c r="E157" s="6">
        <f t="shared" si="313"/>
        <v>160</v>
      </c>
      <c r="F157" s="6">
        <f t="shared" si="313"/>
        <v>86</v>
      </c>
      <c r="G157" s="6"/>
      <c r="H157" s="6" t="s">
        <v>43</v>
      </c>
      <c r="I157" s="6" t="s">
        <v>30</v>
      </c>
      <c r="J157" s="5">
        <f t="shared" si="5"/>
        <v>4</v>
      </c>
      <c r="K157" s="7">
        <v>3.0</v>
      </c>
      <c r="L157" s="7">
        <v>1.0</v>
      </c>
      <c r="M157" s="5"/>
      <c r="N157" s="8" t="s">
        <v>43</v>
      </c>
      <c r="O157" s="9" t="s">
        <v>31</v>
      </c>
      <c r="P157" s="5">
        <f t="shared" si="6"/>
        <v>206</v>
      </c>
      <c r="Q157" s="8">
        <v>147.0</v>
      </c>
      <c r="R157" s="8">
        <v>59.0</v>
      </c>
      <c r="T157" s="1" t="s">
        <v>43</v>
      </c>
      <c r="U157" s="11" t="s">
        <v>31</v>
      </c>
      <c r="V157" s="5">
        <f t="shared" si="7"/>
        <v>36</v>
      </c>
      <c r="W157" s="1">
        <v>10.0</v>
      </c>
      <c r="X157" s="1">
        <v>26.0</v>
      </c>
    </row>
    <row r="158">
      <c r="B158" s="6" t="str">
        <f t="shared" ref="B158:C158" si="314">H158</f>
        <v>Surgana</v>
      </c>
      <c r="C158" s="6" t="str">
        <f t="shared" si="314"/>
        <v>60 and over</v>
      </c>
      <c r="D158" s="6">
        <f t="shared" ref="D158:F158" si="315">J158+P158+V158</f>
        <v>526</v>
      </c>
      <c r="E158" s="6">
        <f t="shared" si="315"/>
        <v>351</v>
      </c>
      <c r="F158" s="6">
        <f t="shared" si="315"/>
        <v>175</v>
      </c>
      <c r="G158" s="6"/>
      <c r="H158" s="6" t="s">
        <v>43</v>
      </c>
      <c r="I158" s="6" t="s">
        <v>32</v>
      </c>
      <c r="J158" s="5">
        <f t="shared" si="5"/>
        <v>3</v>
      </c>
      <c r="K158" s="7">
        <v>3.0</v>
      </c>
      <c r="L158" s="7">
        <v>0.0</v>
      </c>
      <c r="M158" s="5"/>
      <c r="N158" s="8" t="s">
        <v>43</v>
      </c>
      <c r="O158" s="6" t="s">
        <v>32</v>
      </c>
      <c r="P158" s="5">
        <f t="shared" si="6"/>
        <v>404</v>
      </c>
      <c r="Q158" s="8">
        <v>316.0</v>
      </c>
      <c r="R158" s="8">
        <v>88.0</v>
      </c>
      <c r="T158" s="1" t="s">
        <v>43</v>
      </c>
      <c r="U158" s="6" t="s">
        <v>32</v>
      </c>
      <c r="V158" s="5">
        <f t="shared" si="7"/>
        <v>119</v>
      </c>
      <c r="W158" s="1">
        <v>32.0</v>
      </c>
      <c r="X158" s="1">
        <v>87.0</v>
      </c>
    </row>
    <row r="159">
      <c r="B159" s="6" t="str">
        <f t="shared" ref="B159:C159" si="316">H159</f>
        <v>Bhor</v>
      </c>
      <c r="C159" s="6" t="str">
        <f t="shared" si="316"/>
        <v>0–4</v>
      </c>
      <c r="D159" s="6">
        <f t="shared" ref="D159:F159" si="317">J159+P159+V159</f>
        <v>24905</v>
      </c>
      <c r="E159" s="6">
        <f t="shared" si="317"/>
        <v>12114</v>
      </c>
      <c r="F159" s="6">
        <f t="shared" si="317"/>
        <v>12791</v>
      </c>
      <c r="G159" s="6"/>
      <c r="H159" s="6" t="s">
        <v>44</v>
      </c>
      <c r="I159" s="6" t="s">
        <v>10</v>
      </c>
      <c r="J159" s="5">
        <f t="shared" si="5"/>
        <v>24516</v>
      </c>
      <c r="K159" s="7">
        <v>12022.0</v>
      </c>
      <c r="L159" s="7">
        <v>12494.0</v>
      </c>
      <c r="M159" s="5"/>
      <c r="N159" s="8" t="s">
        <v>44</v>
      </c>
      <c r="O159" s="9" t="s">
        <v>11</v>
      </c>
      <c r="P159" s="5">
        <f t="shared" si="6"/>
        <v>386</v>
      </c>
      <c r="Q159" s="10">
        <v>92.0</v>
      </c>
      <c r="R159" s="10">
        <v>294.0</v>
      </c>
      <c r="T159" s="1" t="s">
        <v>44</v>
      </c>
      <c r="U159" s="11" t="s">
        <v>11</v>
      </c>
      <c r="V159" s="5">
        <f t="shared" si="7"/>
        <v>3</v>
      </c>
      <c r="W159" s="1">
        <v>0.0</v>
      </c>
      <c r="X159" s="1">
        <v>3.0</v>
      </c>
    </row>
    <row r="160">
      <c r="B160" s="6" t="str">
        <f t="shared" ref="B160:C160" si="318">H160</f>
        <v>Bhor</v>
      </c>
      <c r="C160" s="6" t="str">
        <f t="shared" si="318"/>
        <v>5–9</v>
      </c>
      <c r="D160" s="6">
        <f t="shared" ref="D160:F160" si="319">J160+P160+V160</f>
        <v>22697</v>
      </c>
      <c r="E160" s="6">
        <f t="shared" si="319"/>
        <v>11913</v>
      </c>
      <c r="F160" s="6">
        <f t="shared" si="319"/>
        <v>10784</v>
      </c>
      <c r="G160" s="6"/>
      <c r="H160" s="6" t="s">
        <v>44</v>
      </c>
      <c r="I160" s="6" t="s">
        <v>12</v>
      </c>
      <c r="J160" s="5">
        <f t="shared" si="5"/>
        <v>19360</v>
      </c>
      <c r="K160" s="7">
        <v>11396.0</v>
      </c>
      <c r="L160" s="7">
        <v>7964.0</v>
      </c>
      <c r="M160" s="5"/>
      <c r="N160" s="8" t="s">
        <v>44</v>
      </c>
      <c r="O160" s="12">
        <v>45786.0</v>
      </c>
      <c r="P160" s="5">
        <f t="shared" si="6"/>
        <v>3284</v>
      </c>
      <c r="Q160" s="10">
        <v>506.0</v>
      </c>
      <c r="R160" s="10">
        <v>2778.0</v>
      </c>
      <c r="T160" s="1" t="s">
        <v>44</v>
      </c>
      <c r="U160" s="13">
        <v>45786.0</v>
      </c>
      <c r="V160" s="5">
        <f t="shared" si="7"/>
        <v>53</v>
      </c>
      <c r="W160" s="1">
        <v>11.0</v>
      </c>
      <c r="X160" s="1">
        <v>42.0</v>
      </c>
    </row>
    <row r="161">
      <c r="B161" s="6" t="str">
        <f t="shared" ref="B161:C161" si="320">H161</f>
        <v>Bhor</v>
      </c>
      <c r="C161" s="6" t="str">
        <f t="shared" si="320"/>
        <v>10–14</v>
      </c>
      <c r="D161" s="6">
        <f t="shared" ref="D161:F161" si="321">J161+P161+V161</f>
        <v>16295</v>
      </c>
      <c r="E161" s="6">
        <f t="shared" si="321"/>
        <v>8936</v>
      </c>
      <c r="F161" s="6">
        <f t="shared" si="321"/>
        <v>7359</v>
      </c>
      <c r="G161" s="6"/>
      <c r="H161" s="6" t="s">
        <v>44</v>
      </c>
      <c r="I161" s="6" t="s">
        <v>13</v>
      </c>
      <c r="J161" s="5">
        <f t="shared" si="5"/>
        <v>8745</v>
      </c>
      <c r="K161" s="7">
        <v>7284.0</v>
      </c>
      <c r="L161" s="7">
        <v>1461.0</v>
      </c>
      <c r="M161" s="5"/>
      <c r="N161" s="8" t="s">
        <v>44</v>
      </c>
      <c r="O161" s="12">
        <v>45944.0</v>
      </c>
      <c r="P161" s="5">
        <f t="shared" si="6"/>
        <v>7375</v>
      </c>
      <c r="Q161" s="10">
        <v>1612.0</v>
      </c>
      <c r="R161" s="10">
        <v>5763.0</v>
      </c>
      <c r="T161" s="1" t="s">
        <v>44</v>
      </c>
      <c r="U161" s="13">
        <v>45944.0</v>
      </c>
      <c r="V161" s="5">
        <f t="shared" si="7"/>
        <v>175</v>
      </c>
      <c r="W161" s="1">
        <v>40.0</v>
      </c>
      <c r="X161" s="1">
        <v>135.0</v>
      </c>
    </row>
    <row r="162">
      <c r="B162" s="6" t="str">
        <f t="shared" ref="B162:C162" si="322">H162</f>
        <v>Bhor</v>
      </c>
      <c r="C162" s="6" t="str">
        <f t="shared" si="322"/>
        <v>15–19</v>
      </c>
      <c r="D162" s="6">
        <f t="shared" ref="D162:F162" si="323">J162+P162+V162</f>
        <v>11222</v>
      </c>
      <c r="E162" s="6">
        <f t="shared" si="323"/>
        <v>5539</v>
      </c>
      <c r="F162" s="6">
        <f t="shared" si="323"/>
        <v>5683</v>
      </c>
      <c r="G162" s="6"/>
      <c r="H162" s="6" t="s">
        <v>44</v>
      </c>
      <c r="I162" s="6" t="s">
        <v>14</v>
      </c>
      <c r="J162" s="5">
        <f t="shared" si="5"/>
        <v>3026</v>
      </c>
      <c r="K162" s="7">
        <v>2930.0</v>
      </c>
      <c r="L162" s="7">
        <v>96.0</v>
      </c>
      <c r="M162" s="5"/>
      <c r="N162" s="8" t="s">
        <v>44</v>
      </c>
      <c r="O162" s="9" t="s">
        <v>15</v>
      </c>
      <c r="P162" s="5">
        <f t="shared" si="6"/>
        <v>8009</v>
      </c>
      <c r="Q162" s="10">
        <v>2573.0</v>
      </c>
      <c r="R162" s="10">
        <v>5436.0</v>
      </c>
      <c r="T162" s="1" t="s">
        <v>44</v>
      </c>
      <c r="U162" s="11" t="s">
        <v>15</v>
      </c>
      <c r="V162" s="5">
        <f t="shared" si="7"/>
        <v>187</v>
      </c>
      <c r="W162" s="1">
        <v>36.0</v>
      </c>
      <c r="X162" s="1">
        <v>151.0</v>
      </c>
    </row>
    <row r="163">
      <c r="B163" s="6" t="str">
        <f t="shared" ref="B163:C163" si="324">H163</f>
        <v>Bhor</v>
      </c>
      <c r="C163" s="6" t="str">
        <f t="shared" si="324"/>
        <v>20–24</v>
      </c>
      <c r="D163" s="6">
        <f t="shared" ref="D163:F163" si="325">J163+P163+V163</f>
        <v>11681</v>
      </c>
      <c r="E163" s="6">
        <f t="shared" si="325"/>
        <v>5173</v>
      </c>
      <c r="F163" s="6">
        <f t="shared" si="325"/>
        <v>6508</v>
      </c>
      <c r="G163" s="6"/>
      <c r="H163" s="6" t="s">
        <v>44</v>
      </c>
      <c r="I163" s="6" t="s">
        <v>16</v>
      </c>
      <c r="J163" s="5">
        <f t="shared" si="5"/>
        <v>1281</v>
      </c>
      <c r="K163" s="7">
        <v>1221.0</v>
      </c>
      <c r="L163" s="7">
        <v>60.0</v>
      </c>
      <c r="M163" s="5"/>
      <c r="N163" s="8" t="s">
        <v>44</v>
      </c>
      <c r="O163" s="9" t="s">
        <v>17</v>
      </c>
      <c r="P163" s="5">
        <f t="shared" si="6"/>
        <v>10063</v>
      </c>
      <c r="Q163" s="10">
        <v>3869.0</v>
      </c>
      <c r="R163" s="10">
        <v>6194.0</v>
      </c>
      <c r="T163" s="1" t="s">
        <v>44</v>
      </c>
      <c r="U163" s="11" t="s">
        <v>17</v>
      </c>
      <c r="V163" s="5">
        <f t="shared" si="7"/>
        <v>337</v>
      </c>
      <c r="W163" s="1">
        <v>83.0</v>
      </c>
      <c r="X163" s="1">
        <v>254.0</v>
      </c>
    </row>
    <row r="164">
      <c r="B164" s="6" t="str">
        <f t="shared" ref="B164:C164" si="326">H164</f>
        <v>Bhor</v>
      </c>
      <c r="C164" s="6" t="str">
        <f t="shared" si="326"/>
        <v>25–29</v>
      </c>
      <c r="D164" s="6">
        <f t="shared" ref="D164:F164" si="327">J164+P164+V164</f>
        <v>2390</v>
      </c>
      <c r="E164" s="6">
        <f t="shared" si="327"/>
        <v>1269</v>
      </c>
      <c r="F164" s="6">
        <f t="shared" si="327"/>
        <v>1121</v>
      </c>
      <c r="G164" s="6"/>
      <c r="H164" s="6" t="s">
        <v>44</v>
      </c>
      <c r="I164" s="6" t="s">
        <v>18</v>
      </c>
      <c r="J164" s="5">
        <f t="shared" si="5"/>
        <v>723</v>
      </c>
      <c r="K164" s="7">
        <v>663.0</v>
      </c>
      <c r="L164" s="7">
        <v>60.0</v>
      </c>
      <c r="M164" s="5"/>
      <c r="N164" s="8" t="s">
        <v>44</v>
      </c>
      <c r="O164" s="9" t="s">
        <v>19</v>
      </c>
      <c r="P164" s="5">
        <f t="shared" si="6"/>
        <v>1027</v>
      </c>
      <c r="Q164" s="8">
        <v>503.0</v>
      </c>
      <c r="R164" s="8">
        <v>524.0</v>
      </c>
      <c r="T164" s="1" t="s">
        <v>44</v>
      </c>
      <c r="U164" s="11" t="s">
        <v>19</v>
      </c>
      <c r="V164" s="5">
        <f t="shared" si="7"/>
        <v>640</v>
      </c>
      <c r="W164" s="1">
        <v>103.0</v>
      </c>
      <c r="X164" s="1">
        <v>537.0</v>
      </c>
    </row>
    <row r="165">
      <c r="B165" s="6" t="str">
        <f t="shared" ref="B165:C165" si="328">H165</f>
        <v>Bhor</v>
      </c>
      <c r="C165" s="6" t="str">
        <f t="shared" si="328"/>
        <v>30–34</v>
      </c>
      <c r="D165" s="6">
        <f t="shared" ref="D165:F165" si="329">J165+P165+V165</f>
        <v>2372</v>
      </c>
      <c r="E165" s="6">
        <f t="shared" si="329"/>
        <v>990</v>
      </c>
      <c r="F165" s="6">
        <f t="shared" si="329"/>
        <v>1382</v>
      </c>
      <c r="G165" s="6"/>
      <c r="H165" s="6" t="s">
        <v>44</v>
      </c>
      <c r="I165" s="6" t="s">
        <v>20</v>
      </c>
      <c r="J165" s="5">
        <f t="shared" si="5"/>
        <v>321</v>
      </c>
      <c r="K165" s="7">
        <v>267.0</v>
      </c>
      <c r="L165" s="7">
        <v>54.0</v>
      </c>
      <c r="M165" s="5"/>
      <c r="N165" s="8" t="s">
        <v>44</v>
      </c>
      <c r="O165" s="9" t="s">
        <v>21</v>
      </c>
      <c r="P165" s="5">
        <f t="shared" si="6"/>
        <v>931</v>
      </c>
      <c r="Q165" s="8">
        <v>475.0</v>
      </c>
      <c r="R165" s="8">
        <v>456.0</v>
      </c>
      <c r="T165" s="1" t="s">
        <v>44</v>
      </c>
      <c r="U165" s="11" t="s">
        <v>21</v>
      </c>
      <c r="V165" s="5">
        <f t="shared" si="7"/>
        <v>1120</v>
      </c>
      <c r="W165" s="1">
        <v>248.0</v>
      </c>
      <c r="X165" s="1">
        <v>872.0</v>
      </c>
    </row>
    <row r="166">
      <c r="B166" s="6" t="str">
        <f t="shared" ref="B166:C166" si="330">H166</f>
        <v>Bhor</v>
      </c>
      <c r="C166" s="6" t="str">
        <f t="shared" si="330"/>
        <v>35–39</v>
      </c>
      <c r="D166" s="6">
        <f t="shared" ref="D166:F166" si="331">J166+P166+V166</f>
        <v>2106</v>
      </c>
      <c r="E166" s="6">
        <f t="shared" si="331"/>
        <v>776</v>
      </c>
      <c r="F166" s="6">
        <f t="shared" si="331"/>
        <v>1330</v>
      </c>
      <c r="G166" s="6"/>
      <c r="H166" s="6" t="s">
        <v>44</v>
      </c>
      <c r="I166" s="6" t="s">
        <v>22</v>
      </c>
      <c r="J166" s="5">
        <f t="shared" si="5"/>
        <v>328</v>
      </c>
      <c r="K166" s="7">
        <v>134.0</v>
      </c>
      <c r="L166" s="7">
        <v>194.0</v>
      </c>
      <c r="M166" s="5"/>
      <c r="N166" s="8" t="s">
        <v>44</v>
      </c>
      <c r="O166" s="9" t="s">
        <v>23</v>
      </c>
      <c r="P166" s="5">
        <f t="shared" si="6"/>
        <v>739</v>
      </c>
      <c r="Q166" s="8">
        <v>417.0</v>
      </c>
      <c r="R166" s="8">
        <v>322.0</v>
      </c>
      <c r="T166" s="1" t="s">
        <v>44</v>
      </c>
      <c r="U166" s="11" t="s">
        <v>23</v>
      </c>
      <c r="V166" s="5">
        <f t="shared" si="7"/>
        <v>1039</v>
      </c>
      <c r="W166" s="1">
        <v>225.0</v>
      </c>
      <c r="X166" s="1">
        <v>814.0</v>
      </c>
    </row>
    <row r="167">
      <c r="B167" s="6" t="str">
        <f t="shared" ref="B167:C167" si="332">H167</f>
        <v>Bhor</v>
      </c>
      <c r="C167" s="6" t="str">
        <f t="shared" si="332"/>
        <v>40–44</v>
      </c>
      <c r="D167" s="6">
        <f t="shared" ref="D167:F167" si="333">J167+P167+V167</f>
        <v>2989</v>
      </c>
      <c r="E167" s="6">
        <f t="shared" si="333"/>
        <v>822</v>
      </c>
      <c r="F167" s="6">
        <f t="shared" si="333"/>
        <v>2167</v>
      </c>
      <c r="G167" s="6"/>
      <c r="H167" s="6" t="s">
        <v>44</v>
      </c>
      <c r="I167" s="6" t="s">
        <v>24</v>
      </c>
      <c r="J167" s="5">
        <f t="shared" si="5"/>
        <v>194</v>
      </c>
      <c r="K167" s="7">
        <v>97.0</v>
      </c>
      <c r="L167" s="7">
        <v>97.0</v>
      </c>
      <c r="M167" s="5"/>
      <c r="N167" s="8" t="s">
        <v>44</v>
      </c>
      <c r="O167" s="9" t="s">
        <v>25</v>
      </c>
      <c r="P167" s="5">
        <f t="shared" si="6"/>
        <v>648</v>
      </c>
      <c r="Q167" s="8">
        <v>365.0</v>
      </c>
      <c r="R167" s="8">
        <v>283.0</v>
      </c>
      <c r="T167" s="1" t="s">
        <v>44</v>
      </c>
      <c r="U167" s="11" t="s">
        <v>25</v>
      </c>
      <c r="V167" s="5">
        <f t="shared" si="7"/>
        <v>2147</v>
      </c>
      <c r="W167" s="1">
        <v>360.0</v>
      </c>
      <c r="X167" s="1">
        <v>1787.0</v>
      </c>
    </row>
    <row r="168">
      <c r="B168" s="6" t="str">
        <f t="shared" ref="B168:C168" si="334">H168</f>
        <v>Bhor</v>
      </c>
      <c r="C168" s="6" t="str">
        <f t="shared" si="334"/>
        <v>45–49</v>
      </c>
      <c r="D168" s="6">
        <f t="shared" ref="D168:F168" si="335">J168+P168+V168</f>
        <v>1749</v>
      </c>
      <c r="E168" s="6">
        <f t="shared" si="335"/>
        <v>541</v>
      </c>
      <c r="F168" s="6">
        <f t="shared" si="335"/>
        <v>1208</v>
      </c>
      <c r="G168" s="6"/>
      <c r="H168" s="6" t="s">
        <v>44</v>
      </c>
      <c r="I168" s="6" t="s">
        <v>26</v>
      </c>
      <c r="J168" s="5">
        <f t="shared" si="5"/>
        <v>132</v>
      </c>
      <c r="K168" s="7">
        <v>66.0</v>
      </c>
      <c r="L168" s="7">
        <v>66.0</v>
      </c>
      <c r="M168" s="5"/>
      <c r="N168" s="8" t="s">
        <v>44</v>
      </c>
      <c r="O168" s="9" t="s">
        <v>27</v>
      </c>
      <c r="P168" s="5">
        <f t="shared" si="6"/>
        <v>342</v>
      </c>
      <c r="Q168" s="8">
        <v>235.0</v>
      </c>
      <c r="R168" s="8">
        <v>107.0</v>
      </c>
      <c r="T168" s="1" t="s">
        <v>44</v>
      </c>
      <c r="U168" s="11" t="s">
        <v>27</v>
      </c>
      <c r="V168" s="5">
        <f t="shared" si="7"/>
        <v>1275</v>
      </c>
      <c r="W168" s="1">
        <v>240.0</v>
      </c>
      <c r="X168" s="1">
        <v>1035.0</v>
      </c>
    </row>
    <row r="169">
      <c r="B169" s="6" t="str">
        <f t="shared" ref="B169:C169" si="336">H169</f>
        <v>Bhor</v>
      </c>
      <c r="C169" s="6" t="str">
        <f t="shared" si="336"/>
        <v>50–54</v>
      </c>
      <c r="D169" s="6">
        <f t="shared" ref="D169:F169" si="337">J169+P169+V169</f>
        <v>3078</v>
      </c>
      <c r="E169" s="6">
        <f t="shared" si="337"/>
        <v>744</v>
      </c>
      <c r="F169" s="6">
        <f t="shared" si="337"/>
        <v>2334</v>
      </c>
      <c r="G169" s="6"/>
      <c r="H169" s="6" t="s">
        <v>44</v>
      </c>
      <c r="I169" s="6" t="s">
        <v>28</v>
      </c>
      <c r="J169" s="5">
        <f t="shared" si="5"/>
        <v>124</v>
      </c>
      <c r="K169" s="7">
        <v>62.0</v>
      </c>
      <c r="L169" s="7">
        <v>62.0</v>
      </c>
      <c r="M169" s="5"/>
      <c r="N169" s="8" t="s">
        <v>44</v>
      </c>
      <c r="O169" s="9" t="s">
        <v>29</v>
      </c>
      <c r="P169" s="5">
        <f t="shared" si="6"/>
        <v>253</v>
      </c>
      <c r="Q169" s="8">
        <v>173.0</v>
      </c>
      <c r="R169" s="8">
        <v>80.0</v>
      </c>
      <c r="T169" s="1" t="s">
        <v>44</v>
      </c>
      <c r="U169" s="11" t="s">
        <v>29</v>
      </c>
      <c r="V169" s="5">
        <f t="shared" si="7"/>
        <v>2701</v>
      </c>
      <c r="W169" s="1">
        <v>509.0</v>
      </c>
      <c r="X169" s="1">
        <v>2192.0</v>
      </c>
    </row>
    <row r="170">
      <c r="B170" s="6" t="str">
        <f t="shared" ref="B170:C170" si="338">H170</f>
        <v>Bhor</v>
      </c>
      <c r="C170" s="6" t="str">
        <f t="shared" si="338"/>
        <v>55–59</v>
      </c>
      <c r="D170" s="6">
        <f t="shared" ref="D170:F170" si="339">J170+P170+V170</f>
        <v>1123</v>
      </c>
      <c r="E170" s="6">
        <f t="shared" si="339"/>
        <v>311</v>
      </c>
      <c r="F170" s="6">
        <f t="shared" si="339"/>
        <v>812</v>
      </c>
      <c r="G170" s="6"/>
      <c r="H170" s="6" t="s">
        <v>44</v>
      </c>
      <c r="I170" s="6" t="s">
        <v>30</v>
      </c>
      <c r="J170" s="5">
        <f t="shared" si="5"/>
        <v>58</v>
      </c>
      <c r="K170" s="7">
        <v>29.0</v>
      </c>
      <c r="L170" s="7">
        <v>29.0</v>
      </c>
      <c r="M170" s="5"/>
      <c r="N170" s="8" t="s">
        <v>44</v>
      </c>
      <c r="O170" s="9" t="s">
        <v>31</v>
      </c>
      <c r="P170" s="5">
        <f t="shared" si="6"/>
        <v>124</v>
      </c>
      <c r="Q170" s="8">
        <v>41.0</v>
      </c>
      <c r="R170" s="8">
        <v>83.0</v>
      </c>
      <c r="T170" s="1" t="s">
        <v>44</v>
      </c>
      <c r="U170" s="11" t="s">
        <v>31</v>
      </c>
      <c r="V170" s="5">
        <f t="shared" si="7"/>
        <v>941</v>
      </c>
      <c r="W170" s="1">
        <v>241.0</v>
      </c>
      <c r="X170" s="1">
        <v>700.0</v>
      </c>
    </row>
    <row r="171">
      <c r="B171" s="6" t="str">
        <f t="shared" ref="B171:C171" si="340">H171</f>
        <v>Bhor</v>
      </c>
      <c r="C171" s="6" t="str">
        <f t="shared" si="340"/>
        <v>60 and over</v>
      </c>
      <c r="D171" s="6">
        <f t="shared" ref="D171:F171" si="341">J171+P171+V171</f>
        <v>4970</v>
      </c>
      <c r="E171" s="6">
        <f t="shared" si="341"/>
        <v>1169</v>
      </c>
      <c r="F171" s="6">
        <f t="shared" si="341"/>
        <v>3801</v>
      </c>
      <c r="G171" s="6"/>
      <c r="H171" s="6" t="s">
        <v>44</v>
      </c>
      <c r="I171" s="6" t="s">
        <v>32</v>
      </c>
      <c r="J171" s="5">
        <f t="shared" si="5"/>
        <v>57</v>
      </c>
      <c r="K171" s="7">
        <v>47.0</v>
      </c>
      <c r="L171" s="7">
        <v>10.0</v>
      </c>
      <c r="M171" s="5"/>
      <c r="N171" s="8" t="s">
        <v>44</v>
      </c>
      <c r="O171" s="6" t="s">
        <v>32</v>
      </c>
      <c r="P171" s="5">
        <f t="shared" si="6"/>
        <v>131</v>
      </c>
      <c r="Q171" s="8">
        <v>105.0</v>
      </c>
      <c r="R171" s="8">
        <v>26.0</v>
      </c>
      <c r="T171" s="1" t="s">
        <v>44</v>
      </c>
      <c r="U171" s="6" t="s">
        <v>32</v>
      </c>
      <c r="V171" s="5">
        <f t="shared" si="7"/>
        <v>4782</v>
      </c>
      <c r="W171" s="1">
        <v>1017.0</v>
      </c>
      <c r="X171" s="1">
        <v>3765.0</v>
      </c>
    </row>
    <row r="172">
      <c r="B172" s="6" t="str">
        <f t="shared" ref="B172:C172" si="342">H172</f>
        <v>Akalkot</v>
      </c>
      <c r="C172" s="6" t="str">
        <f t="shared" si="342"/>
        <v>0–4</v>
      </c>
      <c r="D172" s="6">
        <f t="shared" ref="D172:F172" si="343">J172+P172+V172</f>
        <v>12611</v>
      </c>
      <c r="E172" s="6">
        <f t="shared" si="343"/>
        <v>6290</v>
      </c>
      <c r="F172" s="6">
        <f t="shared" si="343"/>
        <v>6321</v>
      </c>
      <c r="G172" s="6"/>
      <c r="H172" s="6" t="s">
        <v>45</v>
      </c>
      <c r="I172" s="6" t="s">
        <v>10</v>
      </c>
      <c r="J172" s="5">
        <f t="shared" si="5"/>
        <v>12388</v>
      </c>
      <c r="K172" s="7">
        <v>6202.0</v>
      </c>
      <c r="L172" s="7">
        <v>6186.0</v>
      </c>
      <c r="M172" s="5"/>
      <c r="N172" s="8" t="s">
        <v>45</v>
      </c>
      <c r="O172" s="9" t="s">
        <v>11</v>
      </c>
      <c r="P172" s="5">
        <f t="shared" si="6"/>
        <v>210</v>
      </c>
      <c r="Q172" s="10">
        <v>87.0</v>
      </c>
      <c r="R172" s="10">
        <v>123.0</v>
      </c>
      <c r="T172" s="1" t="s">
        <v>45</v>
      </c>
      <c r="U172" s="11" t="s">
        <v>11</v>
      </c>
      <c r="V172" s="5">
        <f t="shared" si="7"/>
        <v>13</v>
      </c>
      <c r="W172" s="1">
        <v>1.0</v>
      </c>
      <c r="X172" s="1">
        <v>12.0</v>
      </c>
    </row>
    <row r="173">
      <c r="B173" s="6" t="str">
        <f t="shared" ref="B173:C173" si="344">H173</f>
        <v>Akalkot</v>
      </c>
      <c r="C173" s="6" t="str">
        <f t="shared" si="344"/>
        <v>5–9</v>
      </c>
      <c r="D173" s="6">
        <f t="shared" ref="D173:F173" si="345">J173+P173+V173</f>
        <v>9921</v>
      </c>
      <c r="E173" s="6">
        <f t="shared" si="345"/>
        <v>5086</v>
      </c>
      <c r="F173" s="6">
        <f t="shared" si="345"/>
        <v>4835</v>
      </c>
      <c r="G173" s="6"/>
      <c r="H173" s="6" t="s">
        <v>45</v>
      </c>
      <c r="I173" s="6" t="s">
        <v>12</v>
      </c>
      <c r="J173" s="5">
        <f t="shared" si="5"/>
        <v>7708</v>
      </c>
      <c r="K173" s="7">
        <v>4792.0</v>
      </c>
      <c r="L173" s="7">
        <v>2916.0</v>
      </c>
      <c r="M173" s="5"/>
      <c r="N173" s="8" t="s">
        <v>45</v>
      </c>
      <c r="O173" s="12">
        <v>45786.0</v>
      </c>
      <c r="P173" s="5">
        <f t="shared" si="6"/>
        <v>2155</v>
      </c>
      <c r="Q173" s="10">
        <v>278.0</v>
      </c>
      <c r="R173" s="10">
        <v>1877.0</v>
      </c>
      <c r="T173" s="1" t="s">
        <v>45</v>
      </c>
      <c r="U173" s="13">
        <v>45786.0</v>
      </c>
      <c r="V173" s="5">
        <f t="shared" si="7"/>
        <v>58</v>
      </c>
      <c r="W173" s="1">
        <v>16.0</v>
      </c>
      <c r="X173" s="1">
        <v>42.0</v>
      </c>
    </row>
    <row r="174">
      <c r="B174" s="6" t="str">
        <f t="shared" ref="B174:C174" si="346">H174</f>
        <v>Akalkot</v>
      </c>
      <c r="C174" s="6" t="str">
        <f t="shared" si="346"/>
        <v>10–14</v>
      </c>
      <c r="D174" s="6">
        <f t="shared" ref="D174:F174" si="347">J174+P174+V174</f>
        <v>5633</v>
      </c>
      <c r="E174" s="6">
        <f t="shared" si="347"/>
        <v>3114</v>
      </c>
      <c r="F174" s="6">
        <f t="shared" si="347"/>
        <v>2519</v>
      </c>
      <c r="G174" s="6"/>
      <c r="H174" s="6" t="s">
        <v>45</v>
      </c>
      <c r="I174" s="6" t="s">
        <v>13</v>
      </c>
      <c r="J174" s="5">
        <f t="shared" si="5"/>
        <v>2989</v>
      </c>
      <c r="K174" s="7">
        <v>2447.0</v>
      </c>
      <c r="L174" s="7">
        <v>542.0</v>
      </c>
      <c r="M174" s="5"/>
      <c r="N174" s="8" t="s">
        <v>45</v>
      </c>
      <c r="O174" s="12">
        <v>45944.0</v>
      </c>
      <c r="P174" s="5">
        <f t="shared" si="6"/>
        <v>2552</v>
      </c>
      <c r="Q174" s="10">
        <v>624.0</v>
      </c>
      <c r="R174" s="10">
        <v>1928.0</v>
      </c>
      <c r="T174" s="1" t="s">
        <v>45</v>
      </c>
      <c r="U174" s="13">
        <v>45944.0</v>
      </c>
      <c r="V174" s="5">
        <f t="shared" si="7"/>
        <v>92</v>
      </c>
      <c r="W174" s="1">
        <v>43.0</v>
      </c>
      <c r="X174" s="1">
        <v>49.0</v>
      </c>
    </row>
    <row r="175">
      <c r="B175" s="6" t="str">
        <f t="shared" ref="B175:C175" si="348">H175</f>
        <v>Akalkot</v>
      </c>
      <c r="C175" s="6" t="str">
        <f t="shared" si="348"/>
        <v>15–19</v>
      </c>
      <c r="D175" s="6">
        <f t="shared" ref="D175:F175" si="349">J175+P175+V175</f>
        <v>5564</v>
      </c>
      <c r="E175" s="6">
        <f t="shared" si="349"/>
        <v>2628</v>
      </c>
      <c r="F175" s="6">
        <f t="shared" si="349"/>
        <v>2936</v>
      </c>
      <c r="G175" s="6"/>
      <c r="H175" s="6" t="s">
        <v>45</v>
      </c>
      <c r="I175" s="6" t="s">
        <v>14</v>
      </c>
      <c r="J175" s="5">
        <f t="shared" si="5"/>
        <v>1365</v>
      </c>
      <c r="K175" s="7">
        <v>1301.0</v>
      </c>
      <c r="L175" s="7">
        <v>64.0</v>
      </c>
      <c r="M175" s="5"/>
      <c r="N175" s="8" t="s">
        <v>45</v>
      </c>
      <c r="O175" s="9" t="s">
        <v>15</v>
      </c>
      <c r="P175" s="5">
        <f t="shared" si="6"/>
        <v>4062</v>
      </c>
      <c r="Q175" s="10">
        <v>1258.0</v>
      </c>
      <c r="R175" s="10">
        <v>2804.0</v>
      </c>
      <c r="T175" s="1" t="s">
        <v>45</v>
      </c>
      <c r="U175" s="11" t="s">
        <v>15</v>
      </c>
      <c r="V175" s="5">
        <f t="shared" si="7"/>
        <v>137</v>
      </c>
      <c r="W175" s="1">
        <v>69.0</v>
      </c>
      <c r="X175" s="1">
        <v>68.0</v>
      </c>
    </row>
    <row r="176">
      <c r="B176" s="6" t="str">
        <f t="shared" ref="B176:C176" si="350">H176</f>
        <v>Akalkot</v>
      </c>
      <c r="C176" s="6" t="str">
        <f t="shared" si="350"/>
        <v>20–24</v>
      </c>
      <c r="D176" s="6">
        <f t="shared" ref="D176:F176" si="351">J176+P176+V176</f>
        <v>8356</v>
      </c>
      <c r="E176" s="6">
        <f t="shared" si="351"/>
        <v>2922</v>
      </c>
      <c r="F176" s="6">
        <f t="shared" si="351"/>
        <v>5434</v>
      </c>
      <c r="G176" s="6"/>
      <c r="H176" s="6" t="s">
        <v>45</v>
      </c>
      <c r="I176" s="6" t="s">
        <v>16</v>
      </c>
      <c r="J176" s="5">
        <f t="shared" si="5"/>
        <v>819</v>
      </c>
      <c r="K176" s="7">
        <v>761.0</v>
      </c>
      <c r="L176" s="7">
        <v>58.0</v>
      </c>
      <c r="M176" s="5"/>
      <c r="N176" s="8" t="s">
        <v>45</v>
      </c>
      <c r="O176" s="9" t="s">
        <v>17</v>
      </c>
      <c r="P176" s="5">
        <f t="shared" si="6"/>
        <v>7309</v>
      </c>
      <c r="Q176" s="10">
        <v>2049.0</v>
      </c>
      <c r="R176" s="10">
        <v>5260.0</v>
      </c>
      <c r="T176" s="1" t="s">
        <v>45</v>
      </c>
      <c r="U176" s="11" t="s">
        <v>17</v>
      </c>
      <c r="V176" s="5">
        <f t="shared" si="7"/>
        <v>228</v>
      </c>
      <c r="W176" s="1">
        <v>112.0</v>
      </c>
      <c r="X176" s="1">
        <v>116.0</v>
      </c>
    </row>
    <row r="177">
      <c r="B177" s="6" t="str">
        <f t="shared" ref="B177:C177" si="352">H177</f>
        <v>Akalkot</v>
      </c>
      <c r="C177" s="6" t="str">
        <f t="shared" si="352"/>
        <v>25–29</v>
      </c>
      <c r="D177" s="6">
        <f t="shared" ref="D177:F177" si="353">J177+P177+V177</f>
        <v>14267</v>
      </c>
      <c r="E177" s="6">
        <f t="shared" si="353"/>
        <v>7184</v>
      </c>
      <c r="F177" s="6">
        <f t="shared" si="353"/>
        <v>7083</v>
      </c>
      <c r="G177" s="6"/>
      <c r="H177" s="6" t="s">
        <v>45</v>
      </c>
      <c r="I177" s="6" t="s">
        <v>18</v>
      </c>
      <c r="J177" s="5">
        <f t="shared" si="5"/>
        <v>471</v>
      </c>
      <c r="K177" s="8">
        <v>413.0</v>
      </c>
      <c r="L177" s="8">
        <v>58.0</v>
      </c>
      <c r="M177" s="5"/>
      <c r="N177" s="8" t="s">
        <v>45</v>
      </c>
      <c r="O177" s="9" t="s">
        <v>19</v>
      </c>
      <c r="P177" s="5">
        <f t="shared" si="6"/>
        <v>13393</v>
      </c>
      <c r="Q177" s="8">
        <v>6604.0</v>
      </c>
      <c r="R177" s="8">
        <v>6789.0</v>
      </c>
      <c r="T177" s="1" t="s">
        <v>45</v>
      </c>
      <c r="U177" s="11" t="s">
        <v>19</v>
      </c>
      <c r="V177" s="5">
        <f t="shared" si="7"/>
        <v>403</v>
      </c>
      <c r="W177" s="1">
        <v>167.0</v>
      </c>
      <c r="X177" s="1">
        <v>236.0</v>
      </c>
    </row>
    <row r="178">
      <c r="B178" s="6" t="str">
        <f t="shared" ref="B178:C178" si="354">H178</f>
        <v>Akalkot</v>
      </c>
      <c r="C178" s="6" t="str">
        <f t="shared" si="354"/>
        <v>30–34</v>
      </c>
      <c r="D178" s="6">
        <f t="shared" ref="D178:F178" si="355">J178+P178+V178</f>
        <v>12583</v>
      </c>
      <c r="E178" s="6">
        <f t="shared" si="355"/>
        <v>6377</v>
      </c>
      <c r="F178" s="6">
        <f t="shared" si="355"/>
        <v>6206</v>
      </c>
      <c r="G178" s="6"/>
      <c r="H178" s="6" t="s">
        <v>45</v>
      </c>
      <c r="I178" s="6" t="s">
        <v>20</v>
      </c>
      <c r="J178" s="5">
        <f t="shared" si="5"/>
        <v>191</v>
      </c>
      <c r="K178" s="7">
        <v>150.0</v>
      </c>
      <c r="L178" s="7">
        <v>41.0</v>
      </c>
      <c r="M178" s="5"/>
      <c r="N178" s="8" t="s">
        <v>45</v>
      </c>
      <c r="O178" s="9" t="s">
        <v>21</v>
      </c>
      <c r="P178" s="5">
        <f t="shared" si="6"/>
        <v>11704</v>
      </c>
      <c r="Q178" s="8">
        <v>6024.0</v>
      </c>
      <c r="R178" s="8">
        <v>5680.0</v>
      </c>
      <c r="T178" s="1" t="s">
        <v>45</v>
      </c>
      <c r="U178" s="11" t="s">
        <v>21</v>
      </c>
      <c r="V178" s="5">
        <f t="shared" si="7"/>
        <v>688</v>
      </c>
      <c r="W178" s="1">
        <v>203.0</v>
      </c>
      <c r="X178" s="1">
        <v>485.0</v>
      </c>
    </row>
    <row r="179">
      <c r="B179" s="6" t="str">
        <f t="shared" ref="B179:C179" si="356">H179</f>
        <v>Akalkot</v>
      </c>
      <c r="C179" s="6" t="str">
        <f t="shared" si="356"/>
        <v>35–39</v>
      </c>
      <c r="D179" s="6">
        <f t="shared" ref="D179:F179" si="357">J179+P179+V179</f>
        <v>9031</v>
      </c>
      <c r="E179" s="6">
        <f t="shared" si="357"/>
        <v>4562</v>
      </c>
      <c r="F179" s="6">
        <f t="shared" si="357"/>
        <v>4469</v>
      </c>
      <c r="G179" s="6"/>
      <c r="H179" s="6" t="s">
        <v>45</v>
      </c>
      <c r="I179" s="6" t="s">
        <v>22</v>
      </c>
      <c r="J179" s="5">
        <f t="shared" si="5"/>
        <v>71</v>
      </c>
      <c r="K179" s="7">
        <v>52.0</v>
      </c>
      <c r="L179" s="7">
        <v>19.0</v>
      </c>
      <c r="M179" s="5"/>
      <c r="N179" s="8" t="s">
        <v>45</v>
      </c>
      <c r="O179" s="9" t="s">
        <v>23</v>
      </c>
      <c r="P179" s="5">
        <f t="shared" si="6"/>
        <v>8308</v>
      </c>
      <c r="Q179" s="8">
        <v>4354.0</v>
      </c>
      <c r="R179" s="8">
        <v>3954.0</v>
      </c>
      <c r="T179" s="1" t="s">
        <v>45</v>
      </c>
      <c r="U179" s="11" t="s">
        <v>23</v>
      </c>
      <c r="V179" s="5">
        <f t="shared" si="7"/>
        <v>652</v>
      </c>
      <c r="W179" s="1">
        <v>156.0</v>
      </c>
      <c r="X179" s="1">
        <v>496.0</v>
      </c>
    </row>
    <row r="180">
      <c r="B180" s="6" t="str">
        <f t="shared" ref="B180:C180" si="358">H180</f>
        <v>Akalkot</v>
      </c>
      <c r="C180" s="6" t="str">
        <f t="shared" si="358"/>
        <v>40–44</v>
      </c>
      <c r="D180" s="6">
        <f t="shared" ref="D180:F180" si="359">J180+P180+V180</f>
        <v>9127</v>
      </c>
      <c r="E180" s="6">
        <f t="shared" si="359"/>
        <v>4793</v>
      </c>
      <c r="F180" s="6">
        <f t="shared" si="359"/>
        <v>4334</v>
      </c>
      <c r="G180" s="6"/>
      <c r="H180" s="6" t="s">
        <v>45</v>
      </c>
      <c r="I180" s="6" t="s">
        <v>24</v>
      </c>
      <c r="J180" s="5">
        <f t="shared" si="5"/>
        <v>107</v>
      </c>
      <c r="K180" s="7">
        <v>69.0</v>
      </c>
      <c r="L180" s="7">
        <v>38.0</v>
      </c>
      <c r="M180" s="5"/>
      <c r="N180" s="8" t="s">
        <v>45</v>
      </c>
      <c r="O180" s="9" t="s">
        <v>25</v>
      </c>
      <c r="P180" s="5">
        <f t="shared" si="6"/>
        <v>7689</v>
      </c>
      <c r="Q180" s="8">
        <v>4471.0</v>
      </c>
      <c r="R180" s="8">
        <v>3218.0</v>
      </c>
      <c r="T180" s="1" t="s">
        <v>45</v>
      </c>
      <c r="U180" s="11" t="s">
        <v>25</v>
      </c>
      <c r="V180" s="5">
        <f t="shared" si="7"/>
        <v>1331</v>
      </c>
      <c r="W180" s="1">
        <v>253.0</v>
      </c>
      <c r="X180" s="1">
        <v>1078.0</v>
      </c>
    </row>
    <row r="181">
      <c r="B181" s="6" t="str">
        <f t="shared" ref="B181:C181" si="360">H181</f>
        <v>Akalkot</v>
      </c>
      <c r="C181" s="6" t="str">
        <f t="shared" si="360"/>
        <v>45–49</v>
      </c>
      <c r="D181" s="6">
        <f t="shared" ref="D181:F181" si="361">J181+P181+V181</f>
        <v>4759</v>
      </c>
      <c r="E181" s="6">
        <f t="shared" si="361"/>
        <v>2910</v>
      </c>
      <c r="F181" s="6">
        <f t="shared" si="361"/>
        <v>1849</v>
      </c>
      <c r="G181" s="6"/>
      <c r="H181" s="6" t="s">
        <v>45</v>
      </c>
      <c r="I181" s="6" t="s">
        <v>26</v>
      </c>
      <c r="J181" s="5">
        <f t="shared" si="5"/>
        <v>39</v>
      </c>
      <c r="K181" s="7">
        <v>28.0</v>
      </c>
      <c r="L181" s="7">
        <v>11.0</v>
      </c>
      <c r="M181" s="5"/>
      <c r="N181" s="8" t="s">
        <v>45</v>
      </c>
      <c r="O181" s="9" t="s">
        <v>27</v>
      </c>
      <c r="P181" s="5">
        <f t="shared" si="6"/>
        <v>3948</v>
      </c>
      <c r="Q181" s="8">
        <v>2703.0</v>
      </c>
      <c r="R181" s="8">
        <v>1245.0</v>
      </c>
      <c r="T181" s="1" t="s">
        <v>45</v>
      </c>
      <c r="U181" s="11" t="s">
        <v>27</v>
      </c>
      <c r="V181" s="5">
        <f t="shared" si="7"/>
        <v>772</v>
      </c>
      <c r="W181" s="1">
        <v>179.0</v>
      </c>
      <c r="X181" s="1">
        <v>593.0</v>
      </c>
    </row>
    <row r="182">
      <c r="B182" s="6" t="str">
        <f t="shared" ref="B182:C182" si="362">H182</f>
        <v>Akalkot</v>
      </c>
      <c r="C182" s="6" t="str">
        <f t="shared" si="362"/>
        <v>50–54</v>
      </c>
      <c r="D182" s="6">
        <f t="shared" ref="D182:F182" si="363">J182+P182+V182</f>
        <v>5664</v>
      </c>
      <c r="E182" s="6">
        <f t="shared" si="363"/>
        <v>3283</v>
      </c>
      <c r="F182" s="6">
        <f t="shared" si="363"/>
        <v>2381</v>
      </c>
      <c r="G182" s="6"/>
      <c r="H182" s="6" t="s">
        <v>45</v>
      </c>
      <c r="I182" s="6" t="s">
        <v>28</v>
      </c>
      <c r="J182" s="5">
        <f t="shared" si="5"/>
        <v>30</v>
      </c>
      <c r="K182" s="7">
        <v>19.0</v>
      </c>
      <c r="L182" s="7">
        <v>11.0</v>
      </c>
      <c r="M182" s="5"/>
      <c r="N182" s="8" t="s">
        <v>45</v>
      </c>
      <c r="O182" s="9" t="s">
        <v>29</v>
      </c>
      <c r="P182" s="5">
        <f t="shared" si="6"/>
        <v>4143</v>
      </c>
      <c r="Q182" s="8">
        <v>2988.0</v>
      </c>
      <c r="R182" s="8">
        <v>1155.0</v>
      </c>
      <c r="T182" s="1" t="s">
        <v>45</v>
      </c>
      <c r="U182" s="11" t="s">
        <v>29</v>
      </c>
      <c r="V182" s="5">
        <f t="shared" si="7"/>
        <v>1491</v>
      </c>
      <c r="W182" s="1">
        <v>276.0</v>
      </c>
      <c r="X182" s="1">
        <v>1215.0</v>
      </c>
    </row>
    <row r="183">
      <c r="B183" s="6" t="str">
        <f t="shared" ref="B183:C183" si="364">H183</f>
        <v>Akalkot</v>
      </c>
      <c r="C183" s="6" t="str">
        <f t="shared" si="364"/>
        <v>55–59</v>
      </c>
      <c r="D183" s="6">
        <f t="shared" ref="D183:F183" si="365">J183+P183+V183</f>
        <v>1991</v>
      </c>
      <c r="E183" s="6">
        <f t="shared" si="365"/>
        <v>1307</v>
      </c>
      <c r="F183" s="6">
        <f t="shared" si="365"/>
        <v>684</v>
      </c>
      <c r="G183" s="6"/>
      <c r="H183" s="6" t="s">
        <v>45</v>
      </c>
      <c r="I183" s="6" t="s">
        <v>30</v>
      </c>
      <c r="J183" s="5">
        <f t="shared" si="5"/>
        <v>17</v>
      </c>
      <c r="K183" s="7">
        <v>17.0</v>
      </c>
      <c r="L183" s="7">
        <v>0.0</v>
      </c>
      <c r="M183" s="5"/>
      <c r="N183" s="8" t="s">
        <v>45</v>
      </c>
      <c r="O183" s="9" t="s">
        <v>31</v>
      </c>
      <c r="P183" s="5">
        <f t="shared" si="6"/>
        <v>1436</v>
      </c>
      <c r="Q183" s="8">
        <v>1120.0</v>
      </c>
      <c r="R183" s="8">
        <v>316.0</v>
      </c>
      <c r="T183" s="1" t="s">
        <v>45</v>
      </c>
      <c r="U183" s="11" t="s">
        <v>31</v>
      </c>
      <c r="V183" s="5">
        <f t="shared" si="7"/>
        <v>538</v>
      </c>
      <c r="W183" s="1">
        <v>170.0</v>
      </c>
      <c r="X183" s="1">
        <v>368.0</v>
      </c>
    </row>
    <row r="184">
      <c r="B184" s="6" t="str">
        <f t="shared" ref="B184:C184" si="366">H184</f>
        <v>Akalkot</v>
      </c>
      <c r="C184" s="6" t="str">
        <f t="shared" si="366"/>
        <v>60 and over</v>
      </c>
      <c r="D184" s="6">
        <f t="shared" ref="D184:F184" si="367">J184+P184+V184</f>
        <v>3316</v>
      </c>
      <c r="E184" s="6">
        <f t="shared" si="367"/>
        <v>921</v>
      </c>
      <c r="F184" s="6">
        <f t="shared" si="367"/>
        <v>2395</v>
      </c>
      <c r="G184" s="6"/>
      <c r="H184" s="6" t="s">
        <v>45</v>
      </c>
      <c r="I184" s="6" t="s">
        <v>32</v>
      </c>
      <c r="J184" s="5">
        <f t="shared" si="5"/>
        <v>31</v>
      </c>
      <c r="K184" s="7">
        <v>22.0</v>
      </c>
      <c r="L184" s="7">
        <v>9.0</v>
      </c>
      <c r="M184" s="5"/>
      <c r="N184" s="8" t="s">
        <v>45</v>
      </c>
      <c r="O184" s="6" t="s">
        <v>32</v>
      </c>
      <c r="P184" s="5">
        <f t="shared" si="6"/>
        <v>776</v>
      </c>
      <c r="Q184" s="8">
        <v>291.0</v>
      </c>
      <c r="R184" s="8">
        <v>485.0</v>
      </c>
      <c r="T184" s="1" t="s">
        <v>45</v>
      </c>
      <c r="U184" s="6" t="s">
        <v>32</v>
      </c>
      <c r="V184" s="5">
        <f t="shared" si="7"/>
        <v>2509</v>
      </c>
      <c r="W184" s="1">
        <v>608.0</v>
      </c>
      <c r="X184" s="1">
        <v>1901.0</v>
      </c>
    </row>
    <row r="185">
      <c r="B185" s="6" t="str">
        <f t="shared" ref="B185:C185" si="368">H185</f>
        <v>Satara Agency</v>
      </c>
      <c r="C185" s="6" t="str">
        <f t="shared" si="368"/>
        <v>0–4</v>
      </c>
      <c r="D185" s="6">
        <f t="shared" ref="D185:F185" si="369">J185+P185+V185</f>
        <v>20728</v>
      </c>
      <c r="E185" s="6">
        <f t="shared" si="369"/>
        <v>10081</v>
      </c>
      <c r="F185" s="6">
        <f t="shared" si="369"/>
        <v>10647</v>
      </c>
      <c r="G185" s="8"/>
      <c r="H185" s="8" t="s">
        <v>46</v>
      </c>
      <c r="I185" s="6" t="s">
        <v>10</v>
      </c>
      <c r="J185" s="5">
        <f t="shared" si="5"/>
        <v>20455</v>
      </c>
      <c r="K185" s="8">
        <v>10010.0</v>
      </c>
      <c r="L185" s="8">
        <v>10445.0</v>
      </c>
      <c r="M185" s="5"/>
      <c r="N185" s="8" t="s">
        <v>46</v>
      </c>
      <c r="O185" s="9" t="s">
        <v>11</v>
      </c>
      <c r="P185" s="5">
        <f t="shared" si="6"/>
        <v>271</v>
      </c>
      <c r="Q185" s="10">
        <v>71.0</v>
      </c>
      <c r="R185" s="10">
        <v>200.0</v>
      </c>
      <c r="T185" s="1" t="s">
        <v>46</v>
      </c>
      <c r="U185" s="11" t="s">
        <v>11</v>
      </c>
      <c r="V185" s="5">
        <f t="shared" si="7"/>
        <v>2</v>
      </c>
      <c r="W185" s="1">
        <v>0.0</v>
      </c>
      <c r="X185" s="1">
        <v>2.0</v>
      </c>
    </row>
    <row r="186">
      <c r="B186" s="6" t="str">
        <f t="shared" ref="B186:C186" si="370">H186</f>
        <v>Satara Agency</v>
      </c>
      <c r="C186" s="6" t="str">
        <f t="shared" si="370"/>
        <v>5–9</v>
      </c>
      <c r="D186" s="6">
        <f t="shared" ref="D186:F186" si="371">J186+P186+V186</f>
        <v>17422</v>
      </c>
      <c r="E186" s="6">
        <f t="shared" si="371"/>
        <v>9055</v>
      </c>
      <c r="F186" s="6">
        <f t="shared" si="371"/>
        <v>8367</v>
      </c>
      <c r="G186" s="8"/>
      <c r="H186" s="8" t="s">
        <v>46</v>
      </c>
      <c r="I186" s="6" t="s">
        <v>12</v>
      </c>
      <c r="J186" s="5">
        <f t="shared" si="5"/>
        <v>15264</v>
      </c>
      <c r="K186" s="8">
        <v>8850.0</v>
      </c>
      <c r="L186" s="8">
        <v>6414.0</v>
      </c>
      <c r="M186" s="5"/>
      <c r="N186" s="8" t="s">
        <v>46</v>
      </c>
      <c r="O186" s="12">
        <v>45786.0</v>
      </c>
      <c r="P186" s="5">
        <f t="shared" si="6"/>
        <v>2117</v>
      </c>
      <c r="Q186" s="10">
        <v>198.0</v>
      </c>
      <c r="R186" s="10">
        <v>1919.0</v>
      </c>
      <c r="T186" s="1" t="s">
        <v>46</v>
      </c>
      <c r="U186" s="13">
        <v>45786.0</v>
      </c>
      <c r="V186" s="5">
        <f t="shared" si="7"/>
        <v>41</v>
      </c>
      <c r="W186" s="1">
        <v>7.0</v>
      </c>
      <c r="X186" s="1">
        <v>34.0</v>
      </c>
    </row>
    <row r="187">
      <c r="B187" s="6" t="str">
        <f t="shared" ref="B187:C187" si="372">H187</f>
        <v>Satara Agency</v>
      </c>
      <c r="C187" s="6" t="str">
        <f t="shared" si="372"/>
        <v>10–14</v>
      </c>
      <c r="D187" s="6">
        <f t="shared" ref="D187:F187" si="373">J187+P187+V187</f>
        <v>12293</v>
      </c>
      <c r="E187" s="6">
        <f t="shared" si="373"/>
        <v>6862</v>
      </c>
      <c r="F187" s="6">
        <f t="shared" si="373"/>
        <v>5431</v>
      </c>
      <c r="G187" s="8"/>
      <c r="H187" s="8" t="s">
        <v>46</v>
      </c>
      <c r="I187" s="6" t="s">
        <v>13</v>
      </c>
      <c r="J187" s="5">
        <f t="shared" si="5"/>
        <v>7342</v>
      </c>
      <c r="K187" s="8">
        <v>6092.0</v>
      </c>
      <c r="L187" s="8">
        <v>1250.0</v>
      </c>
      <c r="M187" s="5"/>
      <c r="N187" s="8" t="s">
        <v>46</v>
      </c>
      <c r="O187" s="12">
        <v>45944.0</v>
      </c>
      <c r="P187" s="5">
        <f t="shared" si="6"/>
        <v>4821</v>
      </c>
      <c r="Q187" s="10">
        <v>750.0</v>
      </c>
      <c r="R187" s="10">
        <v>4071.0</v>
      </c>
      <c r="T187" s="1" t="s">
        <v>46</v>
      </c>
      <c r="U187" s="13">
        <v>45944.0</v>
      </c>
      <c r="V187" s="5">
        <f t="shared" si="7"/>
        <v>130</v>
      </c>
      <c r="W187" s="1">
        <v>20.0</v>
      </c>
      <c r="X187" s="1">
        <v>110.0</v>
      </c>
    </row>
    <row r="188">
      <c r="B188" s="6" t="str">
        <f t="shared" ref="B188:C188" si="374">H188</f>
        <v>Satara Agency</v>
      </c>
      <c r="C188" s="6" t="str">
        <f t="shared" si="374"/>
        <v>15–19</v>
      </c>
      <c r="D188" s="6">
        <f t="shared" ref="D188:F188" si="375">J188+P188+V188</f>
        <v>9369</v>
      </c>
      <c r="E188" s="6">
        <f t="shared" si="375"/>
        <v>4716</v>
      </c>
      <c r="F188" s="6">
        <f t="shared" si="375"/>
        <v>4653</v>
      </c>
      <c r="G188" s="8"/>
      <c r="H188" s="8" t="s">
        <v>46</v>
      </c>
      <c r="I188" s="6" t="s">
        <v>14</v>
      </c>
      <c r="J188" s="5">
        <f t="shared" si="5"/>
        <v>2953</v>
      </c>
      <c r="K188" s="8">
        <v>2856.0</v>
      </c>
      <c r="L188" s="8">
        <v>97.0</v>
      </c>
      <c r="M188" s="5"/>
      <c r="N188" s="8" t="s">
        <v>46</v>
      </c>
      <c r="O188" s="9" t="s">
        <v>15</v>
      </c>
      <c r="P188" s="5">
        <f t="shared" si="6"/>
        <v>6189</v>
      </c>
      <c r="Q188" s="10">
        <v>1837.0</v>
      </c>
      <c r="R188" s="10">
        <v>4352.0</v>
      </c>
      <c r="T188" s="1" t="s">
        <v>46</v>
      </c>
      <c r="U188" s="11" t="s">
        <v>15</v>
      </c>
      <c r="V188" s="5">
        <f t="shared" si="7"/>
        <v>227</v>
      </c>
      <c r="W188" s="1">
        <v>23.0</v>
      </c>
      <c r="X188" s="1">
        <v>204.0</v>
      </c>
    </row>
    <row r="189">
      <c r="B189" s="6" t="str">
        <f t="shared" ref="B189:C189" si="376">H189</f>
        <v>Satara Agency</v>
      </c>
      <c r="C189" s="6" t="str">
        <f t="shared" si="376"/>
        <v>20–24</v>
      </c>
      <c r="D189" s="6">
        <f t="shared" ref="D189:F189" si="377">J189+P189+V189</f>
        <v>9874</v>
      </c>
      <c r="E189" s="6">
        <f t="shared" si="377"/>
        <v>4427</v>
      </c>
      <c r="F189" s="6">
        <f t="shared" si="377"/>
        <v>5447</v>
      </c>
      <c r="G189" s="8"/>
      <c r="H189" s="8" t="s">
        <v>46</v>
      </c>
      <c r="I189" s="6" t="s">
        <v>16</v>
      </c>
      <c r="J189" s="5">
        <f t="shared" si="5"/>
        <v>1281</v>
      </c>
      <c r="K189" s="8">
        <v>1221.0</v>
      </c>
      <c r="L189" s="8">
        <v>60.0</v>
      </c>
      <c r="M189" s="5"/>
      <c r="N189" s="8" t="s">
        <v>46</v>
      </c>
      <c r="O189" s="9" t="s">
        <v>17</v>
      </c>
      <c r="P189" s="5">
        <f t="shared" si="6"/>
        <v>8208</v>
      </c>
      <c r="Q189" s="10">
        <v>3146.0</v>
      </c>
      <c r="R189" s="10">
        <v>5062.0</v>
      </c>
      <c r="T189" s="1" t="s">
        <v>46</v>
      </c>
      <c r="U189" s="11" t="s">
        <v>17</v>
      </c>
      <c r="V189" s="5">
        <f t="shared" si="7"/>
        <v>385</v>
      </c>
      <c r="W189" s="1">
        <v>60.0</v>
      </c>
      <c r="X189" s="1">
        <v>325.0</v>
      </c>
    </row>
    <row r="190">
      <c r="B190" s="6" t="str">
        <f t="shared" ref="B190:C190" si="378">H190</f>
        <v>Satara Agency</v>
      </c>
      <c r="C190" s="6" t="str">
        <f t="shared" si="378"/>
        <v>25–29</v>
      </c>
      <c r="D190" s="6">
        <f t="shared" ref="D190:F190" si="379">J190+P190+V190</f>
        <v>8345</v>
      </c>
      <c r="E190" s="6">
        <f t="shared" si="379"/>
        <v>4130</v>
      </c>
      <c r="F190" s="6">
        <f t="shared" si="379"/>
        <v>4215</v>
      </c>
      <c r="G190" s="8"/>
      <c r="H190" s="8" t="s">
        <v>46</v>
      </c>
      <c r="I190" s="6" t="s">
        <v>18</v>
      </c>
      <c r="J190" s="5">
        <f t="shared" si="5"/>
        <v>625</v>
      </c>
      <c r="K190" s="7">
        <v>559.0</v>
      </c>
      <c r="L190" s="7">
        <v>66.0</v>
      </c>
      <c r="M190" s="5"/>
      <c r="N190" s="8" t="s">
        <v>46</v>
      </c>
      <c r="O190" s="9" t="s">
        <v>19</v>
      </c>
      <c r="P190" s="5">
        <f t="shared" si="6"/>
        <v>6898</v>
      </c>
      <c r="Q190" s="8">
        <v>3440.0</v>
      </c>
      <c r="R190" s="8">
        <v>3458.0</v>
      </c>
      <c r="T190" s="1" t="s">
        <v>46</v>
      </c>
      <c r="U190" s="11" t="s">
        <v>19</v>
      </c>
      <c r="V190" s="5">
        <f t="shared" si="7"/>
        <v>822</v>
      </c>
      <c r="W190" s="1">
        <v>131.0</v>
      </c>
      <c r="X190" s="1">
        <v>691.0</v>
      </c>
    </row>
    <row r="191">
      <c r="B191" s="6" t="str">
        <f t="shared" ref="B191:C191" si="380">H191</f>
        <v>Satara Agency</v>
      </c>
      <c r="C191" s="6" t="str">
        <f t="shared" si="380"/>
        <v>30–34</v>
      </c>
      <c r="D191" s="6">
        <f t="shared" ref="D191:F191" si="381">J191+P191+V191</f>
        <v>7827</v>
      </c>
      <c r="E191" s="6">
        <f t="shared" si="381"/>
        <v>3565</v>
      </c>
      <c r="F191" s="6">
        <f t="shared" si="381"/>
        <v>4262</v>
      </c>
      <c r="G191" s="8"/>
      <c r="H191" s="8" t="s">
        <v>46</v>
      </c>
      <c r="I191" s="6" t="s">
        <v>20</v>
      </c>
      <c r="J191" s="5">
        <f t="shared" si="5"/>
        <v>280</v>
      </c>
      <c r="K191" s="7">
        <v>226.0</v>
      </c>
      <c r="L191" s="7">
        <v>54.0</v>
      </c>
      <c r="M191" s="5"/>
      <c r="N191" s="8" t="s">
        <v>46</v>
      </c>
      <c r="O191" s="9" t="s">
        <v>21</v>
      </c>
      <c r="P191" s="5">
        <f t="shared" si="6"/>
        <v>6358</v>
      </c>
      <c r="Q191" s="8">
        <v>3165.0</v>
      </c>
      <c r="R191" s="8">
        <v>3193.0</v>
      </c>
      <c r="T191" s="1" t="s">
        <v>46</v>
      </c>
      <c r="U191" s="11" t="s">
        <v>21</v>
      </c>
      <c r="V191" s="5">
        <f t="shared" si="7"/>
        <v>1189</v>
      </c>
      <c r="W191" s="1">
        <v>174.0</v>
      </c>
      <c r="X191" s="1">
        <v>1015.0</v>
      </c>
    </row>
    <row r="192">
      <c r="B192" s="6" t="str">
        <f t="shared" ref="B192:C192" si="382">H192</f>
        <v>Satara Agency</v>
      </c>
      <c r="C192" s="6" t="str">
        <f t="shared" si="382"/>
        <v>35–39</v>
      </c>
      <c r="D192" s="6">
        <f t="shared" ref="D192:F192" si="383">J192+P192+V192</f>
        <v>4669</v>
      </c>
      <c r="E192" s="6">
        <f t="shared" si="383"/>
        <v>2444</v>
      </c>
      <c r="F192" s="6">
        <f t="shared" si="383"/>
        <v>2225</v>
      </c>
      <c r="G192" s="8"/>
      <c r="H192" s="8" t="s">
        <v>46</v>
      </c>
      <c r="I192" s="6" t="s">
        <v>22</v>
      </c>
      <c r="J192" s="5">
        <f t="shared" si="5"/>
        <v>160</v>
      </c>
      <c r="K192" s="7">
        <v>129.0</v>
      </c>
      <c r="L192" s="7">
        <v>31.0</v>
      </c>
      <c r="M192" s="5"/>
      <c r="N192" s="8" t="s">
        <v>46</v>
      </c>
      <c r="O192" s="9" t="s">
        <v>23</v>
      </c>
      <c r="P192" s="5">
        <f t="shared" si="6"/>
        <v>3544</v>
      </c>
      <c r="Q192" s="8">
        <v>2154.0</v>
      </c>
      <c r="R192" s="8">
        <v>1390.0</v>
      </c>
      <c r="T192" s="1" t="s">
        <v>46</v>
      </c>
      <c r="U192" s="11" t="s">
        <v>23</v>
      </c>
      <c r="V192" s="5">
        <f t="shared" si="7"/>
        <v>965</v>
      </c>
      <c r="W192" s="1">
        <v>161.0</v>
      </c>
      <c r="X192" s="1">
        <v>804.0</v>
      </c>
    </row>
    <row r="193">
      <c r="B193" s="6" t="str">
        <f t="shared" ref="B193:C193" si="384">H193</f>
        <v>Satara Agency</v>
      </c>
      <c r="C193" s="6" t="str">
        <f t="shared" si="384"/>
        <v>40–44</v>
      </c>
      <c r="D193" s="6">
        <f t="shared" ref="D193:F193" si="385">J193+P193+V193</f>
        <v>6812</v>
      </c>
      <c r="E193" s="6">
        <f t="shared" si="385"/>
        <v>3508</v>
      </c>
      <c r="F193" s="6">
        <f t="shared" si="385"/>
        <v>3304</v>
      </c>
      <c r="G193" s="8"/>
      <c r="H193" s="8" t="s">
        <v>46</v>
      </c>
      <c r="I193" s="6" t="s">
        <v>24</v>
      </c>
      <c r="J193" s="5">
        <f t="shared" si="5"/>
        <v>140</v>
      </c>
      <c r="K193" s="7">
        <v>109.0</v>
      </c>
      <c r="L193" s="7">
        <v>31.0</v>
      </c>
      <c r="M193" s="5"/>
      <c r="N193" s="8" t="s">
        <v>46</v>
      </c>
      <c r="O193" s="9" t="s">
        <v>25</v>
      </c>
      <c r="P193" s="5">
        <f t="shared" si="6"/>
        <v>4106</v>
      </c>
      <c r="Q193" s="8">
        <v>2598.0</v>
      </c>
      <c r="R193" s="8">
        <v>1508.0</v>
      </c>
      <c r="T193" s="1" t="s">
        <v>46</v>
      </c>
      <c r="U193" s="11" t="s">
        <v>25</v>
      </c>
      <c r="V193" s="5">
        <f t="shared" si="7"/>
        <v>2566</v>
      </c>
      <c r="W193" s="1">
        <v>801.0</v>
      </c>
      <c r="X193" s="1">
        <v>1765.0</v>
      </c>
    </row>
    <row r="194">
      <c r="B194" s="6" t="str">
        <f t="shared" ref="B194:C194" si="386">H194</f>
        <v>Satara Agency</v>
      </c>
      <c r="C194" s="6" t="str">
        <f t="shared" si="386"/>
        <v>45–49</v>
      </c>
      <c r="D194" s="6">
        <f t="shared" ref="D194:F194" si="387">J194+P194+V194</f>
        <v>3321</v>
      </c>
      <c r="E194" s="6">
        <f t="shared" si="387"/>
        <v>1769</v>
      </c>
      <c r="F194" s="6">
        <f t="shared" si="387"/>
        <v>1552</v>
      </c>
      <c r="G194" s="8"/>
      <c r="H194" s="8" t="s">
        <v>46</v>
      </c>
      <c r="I194" s="6" t="s">
        <v>26</v>
      </c>
      <c r="J194" s="5">
        <f t="shared" si="5"/>
        <v>72</v>
      </c>
      <c r="K194" s="7">
        <v>55.0</v>
      </c>
      <c r="L194" s="7">
        <v>17.0</v>
      </c>
      <c r="M194" s="5"/>
      <c r="N194" s="8" t="s">
        <v>46</v>
      </c>
      <c r="O194" s="9" t="s">
        <v>27</v>
      </c>
      <c r="P194" s="5">
        <f t="shared" si="6"/>
        <v>1888</v>
      </c>
      <c r="Q194" s="8">
        <v>1413.0</v>
      </c>
      <c r="R194" s="8">
        <v>475.0</v>
      </c>
      <c r="T194" s="1" t="s">
        <v>46</v>
      </c>
      <c r="U194" s="11" t="s">
        <v>27</v>
      </c>
      <c r="V194" s="5">
        <f t="shared" si="7"/>
        <v>1361</v>
      </c>
      <c r="W194" s="1">
        <v>301.0</v>
      </c>
      <c r="X194" s="1">
        <v>1060.0</v>
      </c>
    </row>
    <row r="195">
      <c r="B195" s="6" t="str">
        <f t="shared" ref="B195:C195" si="388">H195</f>
        <v>Satara Agency</v>
      </c>
      <c r="C195" s="6" t="str">
        <f t="shared" si="388"/>
        <v>50–54</v>
      </c>
      <c r="D195" s="6">
        <f t="shared" ref="D195:F195" si="389">J195+P195+V195</f>
        <v>4480</v>
      </c>
      <c r="E195" s="6">
        <f t="shared" si="389"/>
        <v>1986</v>
      </c>
      <c r="F195" s="6">
        <f t="shared" si="389"/>
        <v>2494</v>
      </c>
      <c r="G195" s="8"/>
      <c r="H195" s="8" t="s">
        <v>46</v>
      </c>
      <c r="I195" s="6" t="s">
        <v>28</v>
      </c>
      <c r="J195" s="5">
        <f t="shared" si="5"/>
        <v>79</v>
      </c>
      <c r="K195" s="7">
        <v>63.0</v>
      </c>
      <c r="L195" s="7">
        <v>16.0</v>
      </c>
      <c r="M195" s="5"/>
      <c r="N195" s="8" t="s">
        <v>46</v>
      </c>
      <c r="O195" s="9" t="s">
        <v>29</v>
      </c>
      <c r="P195" s="5">
        <f t="shared" si="6"/>
        <v>1936</v>
      </c>
      <c r="Q195" s="8">
        <v>1441.0</v>
      </c>
      <c r="R195" s="8">
        <v>495.0</v>
      </c>
      <c r="T195" s="1" t="s">
        <v>46</v>
      </c>
      <c r="U195" s="11" t="s">
        <v>29</v>
      </c>
      <c r="V195" s="5">
        <f t="shared" si="7"/>
        <v>2465</v>
      </c>
      <c r="W195" s="1">
        <v>482.0</v>
      </c>
      <c r="X195" s="1">
        <v>1983.0</v>
      </c>
    </row>
    <row r="196">
      <c r="B196" s="6" t="str">
        <f t="shared" ref="B196:C196" si="390">H196</f>
        <v>Satara Agency</v>
      </c>
      <c r="C196" s="6" t="str">
        <f t="shared" si="390"/>
        <v>55–59</v>
      </c>
      <c r="D196" s="6">
        <f t="shared" ref="D196:F196" si="391">J196+P196+V196</f>
        <v>1541</v>
      </c>
      <c r="E196" s="6">
        <f t="shared" si="391"/>
        <v>779</v>
      </c>
      <c r="F196" s="6">
        <f t="shared" si="391"/>
        <v>762</v>
      </c>
      <c r="G196" s="8"/>
      <c r="H196" s="8" t="s">
        <v>46</v>
      </c>
      <c r="I196" s="6" t="s">
        <v>30</v>
      </c>
      <c r="J196" s="5">
        <f t="shared" si="5"/>
        <v>37</v>
      </c>
      <c r="K196" s="7">
        <v>23.0</v>
      </c>
      <c r="L196" s="7">
        <v>14.0</v>
      </c>
      <c r="M196" s="5"/>
      <c r="N196" s="8" t="s">
        <v>46</v>
      </c>
      <c r="O196" s="9" t="s">
        <v>31</v>
      </c>
      <c r="P196" s="5">
        <f t="shared" si="6"/>
        <v>613</v>
      </c>
      <c r="Q196" s="8">
        <v>523.0</v>
      </c>
      <c r="R196" s="8">
        <v>90.0</v>
      </c>
      <c r="T196" s="1" t="s">
        <v>46</v>
      </c>
      <c r="U196" s="11" t="s">
        <v>31</v>
      </c>
      <c r="V196" s="5">
        <f t="shared" si="7"/>
        <v>891</v>
      </c>
      <c r="W196" s="1">
        <v>233.0</v>
      </c>
      <c r="X196" s="1">
        <v>658.0</v>
      </c>
    </row>
    <row r="197">
      <c r="B197" s="6" t="str">
        <f t="shared" ref="B197:C197" si="392">H197</f>
        <v>Satara Agency</v>
      </c>
      <c r="C197" s="6" t="str">
        <f t="shared" si="392"/>
        <v>60 and over</v>
      </c>
      <c r="D197" s="6">
        <f t="shared" ref="D197:F197" si="393">J197+P197+V197</f>
        <v>6120</v>
      </c>
      <c r="E197" s="6">
        <f t="shared" si="393"/>
        <v>2215</v>
      </c>
      <c r="F197" s="6">
        <f t="shared" si="393"/>
        <v>3905</v>
      </c>
      <c r="G197" s="8"/>
      <c r="H197" s="8" t="s">
        <v>46</v>
      </c>
      <c r="I197" s="6" t="s">
        <v>32</v>
      </c>
      <c r="J197" s="5">
        <f t="shared" si="5"/>
        <v>85</v>
      </c>
      <c r="K197" s="7">
        <v>63.0</v>
      </c>
      <c r="L197" s="7">
        <v>22.0</v>
      </c>
      <c r="M197" s="5"/>
      <c r="N197" s="8" t="s">
        <v>46</v>
      </c>
      <c r="O197" s="6" t="s">
        <v>32</v>
      </c>
      <c r="P197" s="5">
        <f t="shared" si="6"/>
        <v>1219</v>
      </c>
      <c r="Q197" s="8">
        <v>1042.0</v>
      </c>
      <c r="R197" s="8">
        <v>177.0</v>
      </c>
      <c r="T197" s="1" t="s">
        <v>46</v>
      </c>
      <c r="U197" s="6" t="s">
        <v>32</v>
      </c>
      <c r="V197" s="5">
        <f t="shared" si="7"/>
        <v>4816</v>
      </c>
      <c r="W197" s="1">
        <v>1110.0</v>
      </c>
      <c r="X197" s="1">
        <v>3706.0</v>
      </c>
    </row>
    <row r="198">
      <c r="B198" s="6" t="str">
        <f t="shared" ref="B198:C198" si="394">H198</f>
        <v>Jat</v>
      </c>
      <c r="C198" s="6" t="str">
        <f t="shared" si="394"/>
        <v>0–4</v>
      </c>
      <c r="D198" s="6">
        <f t="shared" ref="D198:F198" si="395">J198+P198+V198</f>
        <v>14499</v>
      </c>
      <c r="E198" s="6">
        <f t="shared" si="395"/>
        <v>7036</v>
      </c>
      <c r="F198" s="6">
        <f t="shared" si="395"/>
        <v>7463</v>
      </c>
      <c r="G198" s="6"/>
      <c r="H198" s="6" t="s">
        <v>47</v>
      </c>
      <c r="I198" s="6" t="s">
        <v>10</v>
      </c>
      <c r="J198" s="5">
        <f t="shared" si="5"/>
        <v>13777</v>
      </c>
      <c r="K198" s="7">
        <v>6925.0</v>
      </c>
      <c r="L198" s="7">
        <v>6852.0</v>
      </c>
      <c r="M198" s="5"/>
      <c r="N198" s="8" t="s">
        <v>47</v>
      </c>
      <c r="O198" s="9" t="s">
        <v>11</v>
      </c>
      <c r="P198" s="5">
        <f t="shared" si="6"/>
        <v>703</v>
      </c>
      <c r="Q198" s="10">
        <v>100.0</v>
      </c>
      <c r="R198" s="10">
        <v>603.0</v>
      </c>
      <c r="T198" s="1" t="s">
        <v>47</v>
      </c>
      <c r="U198" s="11" t="s">
        <v>11</v>
      </c>
      <c r="V198" s="5">
        <f t="shared" si="7"/>
        <v>19</v>
      </c>
      <c r="W198" s="1">
        <v>11.0</v>
      </c>
      <c r="X198" s="1">
        <v>8.0</v>
      </c>
    </row>
    <row r="199">
      <c r="B199" s="6" t="str">
        <f t="shared" ref="B199:C199" si="396">H199</f>
        <v>Jat</v>
      </c>
      <c r="C199" s="6" t="str">
        <f t="shared" si="396"/>
        <v>5–9</v>
      </c>
      <c r="D199" s="6">
        <f t="shared" ref="D199:F199" si="397">J199+P199+V199</f>
        <v>12221</v>
      </c>
      <c r="E199" s="6">
        <f t="shared" si="397"/>
        <v>6540</v>
      </c>
      <c r="F199" s="6">
        <f t="shared" si="397"/>
        <v>5681</v>
      </c>
      <c r="G199" s="6"/>
      <c r="H199" s="6" t="s">
        <v>47</v>
      </c>
      <c r="I199" s="6" t="s">
        <v>12</v>
      </c>
      <c r="J199" s="5">
        <f t="shared" si="5"/>
        <v>8749</v>
      </c>
      <c r="K199" s="7">
        <v>5618.0</v>
      </c>
      <c r="L199" s="7">
        <v>3131.0</v>
      </c>
      <c r="M199" s="5"/>
      <c r="N199" s="8" t="s">
        <v>47</v>
      </c>
      <c r="O199" s="12">
        <v>45786.0</v>
      </c>
      <c r="P199" s="5">
        <f t="shared" si="6"/>
        <v>3386</v>
      </c>
      <c r="Q199" s="10">
        <v>900.0</v>
      </c>
      <c r="R199" s="10">
        <v>2486.0</v>
      </c>
      <c r="T199" s="1" t="s">
        <v>47</v>
      </c>
      <c r="U199" s="13">
        <v>45786.0</v>
      </c>
      <c r="V199" s="5">
        <f t="shared" si="7"/>
        <v>86</v>
      </c>
      <c r="W199" s="1">
        <v>22.0</v>
      </c>
      <c r="X199" s="1">
        <v>64.0</v>
      </c>
    </row>
    <row r="200">
      <c r="B200" s="6" t="str">
        <f t="shared" ref="B200:C200" si="398">H200</f>
        <v>Jat</v>
      </c>
      <c r="C200" s="6" t="str">
        <f t="shared" si="398"/>
        <v>10–14</v>
      </c>
      <c r="D200" s="6">
        <f t="shared" ref="D200:F200" si="399">J200+P200+V200</f>
        <v>6690</v>
      </c>
      <c r="E200" s="6">
        <f t="shared" si="399"/>
        <v>3168</v>
      </c>
      <c r="F200" s="6">
        <f t="shared" si="399"/>
        <v>3522</v>
      </c>
      <c r="G200" s="6"/>
      <c r="H200" s="6" t="s">
        <v>47</v>
      </c>
      <c r="I200" s="6" t="s">
        <v>13</v>
      </c>
      <c r="J200" s="5">
        <f t="shared" si="5"/>
        <v>2904</v>
      </c>
      <c r="K200" s="7">
        <v>2477.0</v>
      </c>
      <c r="L200" s="7">
        <v>427.0</v>
      </c>
      <c r="M200" s="5"/>
      <c r="N200" s="8" t="s">
        <v>47</v>
      </c>
      <c r="O200" s="12">
        <v>45944.0</v>
      </c>
      <c r="P200" s="5">
        <f t="shared" si="6"/>
        <v>3690</v>
      </c>
      <c r="Q200" s="10">
        <v>646.0</v>
      </c>
      <c r="R200" s="10">
        <v>3044.0</v>
      </c>
      <c r="T200" s="1" t="s">
        <v>47</v>
      </c>
      <c r="U200" s="13">
        <v>45944.0</v>
      </c>
      <c r="V200" s="5">
        <f t="shared" si="7"/>
        <v>96</v>
      </c>
      <c r="W200" s="1">
        <v>45.0</v>
      </c>
      <c r="X200" s="1">
        <v>51.0</v>
      </c>
    </row>
    <row r="201">
      <c r="B201" s="6" t="str">
        <f t="shared" ref="B201:C201" si="400">H201</f>
        <v>Jat</v>
      </c>
      <c r="C201" s="6" t="str">
        <f t="shared" si="400"/>
        <v>15–19</v>
      </c>
      <c r="D201" s="6">
        <f t="shared" ref="D201:F201" si="401">J201+P201+V201</f>
        <v>5026</v>
      </c>
      <c r="E201" s="6">
        <f t="shared" si="401"/>
        <v>2618</v>
      </c>
      <c r="F201" s="6">
        <f t="shared" si="401"/>
        <v>2408</v>
      </c>
      <c r="G201" s="6"/>
      <c r="H201" s="6" t="s">
        <v>47</v>
      </c>
      <c r="I201" s="6" t="s">
        <v>14</v>
      </c>
      <c r="J201" s="5">
        <f t="shared" si="5"/>
        <v>1316</v>
      </c>
      <c r="K201" s="7">
        <v>1251.0</v>
      </c>
      <c r="L201" s="8">
        <v>65.0</v>
      </c>
      <c r="M201" s="5"/>
      <c r="N201" s="8" t="s">
        <v>47</v>
      </c>
      <c r="O201" s="9" t="s">
        <v>15</v>
      </c>
      <c r="P201" s="5">
        <f t="shared" si="6"/>
        <v>3585</v>
      </c>
      <c r="Q201" s="10">
        <v>1305.0</v>
      </c>
      <c r="R201" s="10">
        <v>2280.0</v>
      </c>
      <c r="T201" s="1" t="s">
        <v>47</v>
      </c>
      <c r="U201" s="11" t="s">
        <v>15</v>
      </c>
      <c r="V201" s="5">
        <f t="shared" si="7"/>
        <v>125</v>
      </c>
      <c r="W201" s="1">
        <v>62.0</v>
      </c>
      <c r="X201" s="1">
        <v>63.0</v>
      </c>
    </row>
    <row r="202">
      <c r="B202" s="6" t="str">
        <f t="shared" ref="B202:C202" si="402">H202</f>
        <v>Jat</v>
      </c>
      <c r="C202" s="6" t="str">
        <f t="shared" si="402"/>
        <v>20–24</v>
      </c>
      <c r="D202" s="6">
        <f t="shared" ref="D202:F202" si="403">J202+P202+V202</f>
        <v>12428</v>
      </c>
      <c r="E202" s="6">
        <f t="shared" si="403"/>
        <v>2979</v>
      </c>
      <c r="F202" s="6">
        <f t="shared" si="403"/>
        <v>9449</v>
      </c>
      <c r="G202" s="6"/>
      <c r="H202" s="6" t="s">
        <v>47</v>
      </c>
      <c r="I202" s="6" t="s">
        <v>16</v>
      </c>
      <c r="J202" s="5">
        <f t="shared" si="5"/>
        <v>736</v>
      </c>
      <c r="K202" s="7">
        <v>667.0</v>
      </c>
      <c r="L202" s="7">
        <v>69.0</v>
      </c>
      <c r="M202" s="5"/>
      <c r="N202" s="8" t="s">
        <v>47</v>
      </c>
      <c r="O202" s="9" t="s">
        <v>17</v>
      </c>
      <c r="P202" s="5">
        <f t="shared" si="6"/>
        <v>11439</v>
      </c>
      <c r="Q202" s="10">
        <v>2228.0</v>
      </c>
      <c r="R202" s="10">
        <v>9211.0</v>
      </c>
      <c r="T202" s="1" t="s">
        <v>47</v>
      </c>
      <c r="U202" s="11" t="s">
        <v>17</v>
      </c>
      <c r="V202" s="5">
        <f t="shared" si="7"/>
        <v>253</v>
      </c>
      <c r="W202" s="1">
        <v>84.0</v>
      </c>
      <c r="X202" s="1">
        <v>169.0</v>
      </c>
    </row>
    <row r="203">
      <c r="B203" s="6" t="str">
        <f t="shared" ref="B203:C203" si="404">H203</f>
        <v>Jat</v>
      </c>
      <c r="C203" s="6" t="str">
        <f t="shared" si="404"/>
        <v>25–29</v>
      </c>
      <c r="D203" s="6">
        <f t="shared" ref="D203:F203" si="405">J203+P203+V203</f>
        <v>11194</v>
      </c>
      <c r="E203" s="6">
        <f t="shared" si="405"/>
        <v>5455</v>
      </c>
      <c r="F203" s="6">
        <f t="shared" si="405"/>
        <v>5739</v>
      </c>
      <c r="G203" s="6"/>
      <c r="H203" s="6" t="s">
        <v>47</v>
      </c>
      <c r="I203" s="6" t="s">
        <v>18</v>
      </c>
      <c r="J203" s="5">
        <f t="shared" si="5"/>
        <v>380</v>
      </c>
      <c r="K203" s="7">
        <v>319.0</v>
      </c>
      <c r="L203" s="7">
        <v>61.0</v>
      </c>
      <c r="M203" s="5"/>
      <c r="N203" s="8" t="s">
        <v>47</v>
      </c>
      <c r="O203" s="9" t="s">
        <v>19</v>
      </c>
      <c r="P203" s="5">
        <f t="shared" si="6"/>
        <v>10415</v>
      </c>
      <c r="Q203" s="8">
        <v>5029.0</v>
      </c>
      <c r="R203" s="8">
        <v>5386.0</v>
      </c>
      <c r="T203" s="1" t="s">
        <v>47</v>
      </c>
      <c r="U203" s="11" t="s">
        <v>19</v>
      </c>
      <c r="V203" s="5">
        <f t="shared" si="7"/>
        <v>399</v>
      </c>
      <c r="W203" s="1">
        <v>107.0</v>
      </c>
      <c r="X203" s="1">
        <v>292.0</v>
      </c>
    </row>
    <row r="204">
      <c r="B204" s="6" t="str">
        <f t="shared" ref="B204:C204" si="406">H204</f>
        <v>Jat</v>
      </c>
      <c r="C204" s="6" t="str">
        <f t="shared" si="406"/>
        <v>30–34</v>
      </c>
      <c r="D204" s="6">
        <f t="shared" ref="D204:F204" si="407">J204+P204+V204</f>
        <v>10613</v>
      </c>
      <c r="E204" s="6">
        <f t="shared" si="407"/>
        <v>5282</v>
      </c>
      <c r="F204" s="6">
        <f t="shared" si="407"/>
        <v>5331</v>
      </c>
      <c r="G204" s="6"/>
      <c r="H204" s="6" t="s">
        <v>47</v>
      </c>
      <c r="I204" s="6" t="s">
        <v>20</v>
      </c>
      <c r="J204" s="5">
        <f t="shared" si="5"/>
        <v>194</v>
      </c>
      <c r="K204" s="7">
        <v>120.0</v>
      </c>
      <c r="L204" s="7">
        <v>74.0</v>
      </c>
      <c r="M204" s="5"/>
      <c r="N204" s="8" t="s">
        <v>47</v>
      </c>
      <c r="O204" s="9" t="s">
        <v>21</v>
      </c>
      <c r="P204" s="5">
        <f t="shared" si="6"/>
        <v>9785</v>
      </c>
      <c r="Q204" s="8">
        <v>5039.0</v>
      </c>
      <c r="R204" s="8">
        <v>4746.0</v>
      </c>
      <c r="T204" s="1" t="s">
        <v>47</v>
      </c>
      <c r="U204" s="11" t="s">
        <v>21</v>
      </c>
      <c r="V204" s="5">
        <f t="shared" si="7"/>
        <v>634</v>
      </c>
      <c r="W204" s="1">
        <v>123.0</v>
      </c>
      <c r="X204" s="1">
        <v>511.0</v>
      </c>
    </row>
    <row r="205">
      <c r="B205" s="6" t="str">
        <f t="shared" ref="B205:C205" si="408">H205</f>
        <v>Jat</v>
      </c>
      <c r="C205" s="6" t="str">
        <f t="shared" si="408"/>
        <v>35–39</v>
      </c>
      <c r="D205" s="6">
        <f t="shared" ref="D205:F205" si="409">J205+P205+V205</f>
        <v>6953</v>
      </c>
      <c r="E205" s="6">
        <f t="shared" si="409"/>
        <v>3779</v>
      </c>
      <c r="F205" s="6">
        <f t="shared" si="409"/>
        <v>3174</v>
      </c>
      <c r="G205" s="6"/>
      <c r="H205" s="6" t="s">
        <v>47</v>
      </c>
      <c r="I205" s="6" t="s">
        <v>22</v>
      </c>
      <c r="J205" s="5">
        <f t="shared" si="5"/>
        <v>86</v>
      </c>
      <c r="K205" s="7">
        <v>57.0</v>
      </c>
      <c r="L205" s="7">
        <v>29.0</v>
      </c>
      <c r="M205" s="5"/>
      <c r="N205" s="8" t="s">
        <v>47</v>
      </c>
      <c r="O205" s="9" t="s">
        <v>23</v>
      </c>
      <c r="P205" s="5">
        <f t="shared" si="6"/>
        <v>6260</v>
      </c>
      <c r="Q205" s="8">
        <v>3594.0</v>
      </c>
      <c r="R205" s="8">
        <v>2666.0</v>
      </c>
      <c r="T205" s="1" t="s">
        <v>47</v>
      </c>
      <c r="U205" s="11" t="s">
        <v>23</v>
      </c>
      <c r="V205" s="5">
        <f t="shared" si="7"/>
        <v>607</v>
      </c>
      <c r="W205" s="1">
        <v>128.0</v>
      </c>
      <c r="X205" s="1">
        <v>479.0</v>
      </c>
    </row>
    <row r="206">
      <c r="B206" s="6" t="str">
        <f t="shared" ref="B206:C206" si="410">H206</f>
        <v>Jat</v>
      </c>
      <c r="C206" s="6" t="str">
        <f t="shared" si="410"/>
        <v>40–44</v>
      </c>
      <c r="D206" s="6">
        <f t="shared" ref="D206:F206" si="411">J206+P206+V206</f>
        <v>8329</v>
      </c>
      <c r="E206" s="6">
        <f t="shared" si="411"/>
        <v>4447</v>
      </c>
      <c r="F206" s="6">
        <f t="shared" si="411"/>
        <v>3882</v>
      </c>
      <c r="G206" s="6"/>
      <c r="H206" s="6" t="s">
        <v>47</v>
      </c>
      <c r="I206" s="6" t="s">
        <v>24</v>
      </c>
      <c r="J206" s="5">
        <f t="shared" si="5"/>
        <v>109</v>
      </c>
      <c r="K206" s="7">
        <v>54.0</v>
      </c>
      <c r="L206" s="7">
        <v>55.0</v>
      </c>
      <c r="M206" s="5"/>
      <c r="N206" s="8" t="s">
        <v>47</v>
      </c>
      <c r="O206" s="9" t="s">
        <v>25</v>
      </c>
      <c r="P206" s="5">
        <f t="shared" si="6"/>
        <v>7042</v>
      </c>
      <c r="Q206" s="8">
        <v>4182.0</v>
      </c>
      <c r="R206" s="8">
        <v>2860.0</v>
      </c>
      <c r="T206" s="1" t="s">
        <v>47</v>
      </c>
      <c r="U206" s="11" t="s">
        <v>25</v>
      </c>
      <c r="V206" s="5">
        <f t="shared" si="7"/>
        <v>1178</v>
      </c>
      <c r="W206" s="1">
        <v>211.0</v>
      </c>
      <c r="X206" s="1">
        <v>967.0</v>
      </c>
    </row>
    <row r="207">
      <c r="B207" s="6" t="str">
        <f t="shared" ref="B207:C207" si="412">H207</f>
        <v>Jat</v>
      </c>
      <c r="C207" s="6" t="str">
        <f t="shared" si="412"/>
        <v>45–49</v>
      </c>
      <c r="D207" s="6">
        <f t="shared" ref="D207:F207" si="413">J207+P207+V207</f>
        <v>5200</v>
      </c>
      <c r="E207" s="6">
        <f t="shared" si="413"/>
        <v>3521</v>
      </c>
      <c r="F207" s="6">
        <f t="shared" si="413"/>
        <v>1679</v>
      </c>
      <c r="G207" s="6"/>
      <c r="H207" s="6" t="s">
        <v>47</v>
      </c>
      <c r="I207" s="6" t="s">
        <v>26</v>
      </c>
      <c r="J207" s="5">
        <f t="shared" si="5"/>
        <v>35</v>
      </c>
      <c r="K207" s="7">
        <v>17.0</v>
      </c>
      <c r="L207" s="7">
        <v>18.0</v>
      </c>
      <c r="M207" s="5"/>
      <c r="N207" s="8" t="s">
        <v>47</v>
      </c>
      <c r="O207" s="9" t="s">
        <v>27</v>
      </c>
      <c r="P207" s="5">
        <f t="shared" si="6"/>
        <v>4435</v>
      </c>
      <c r="Q207" s="8">
        <v>3358.0</v>
      </c>
      <c r="R207" s="8">
        <v>1077.0</v>
      </c>
      <c r="T207" s="1" t="s">
        <v>47</v>
      </c>
      <c r="U207" s="11" t="s">
        <v>27</v>
      </c>
      <c r="V207" s="5">
        <f t="shared" si="7"/>
        <v>730</v>
      </c>
      <c r="W207" s="1">
        <v>146.0</v>
      </c>
      <c r="X207" s="1">
        <v>584.0</v>
      </c>
    </row>
    <row r="208">
      <c r="B208" s="6" t="str">
        <f t="shared" ref="B208:C208" si="414">H208</f>
        <v>Jat</v>
      </c>
      <c r="C208" s="6" t="str">
        <f t="shared" si="414"/>
        <v>50–54</v>
      </c>
      <c r="D208" s="6">
        <f t="shared" ref="D208:F208" si="415">J208+P208+V208</f>
        <v>5342</v>
      </c>
      <c r="E208" s="6">
        <f t="shared" si="415"/>
        <v>3126</v>
      </c>
      <c r="F208" s="6">
        <f t="shared" si="415"/>
        <v>2216</v>
      </c>
      <c r="G208" s="6"/>
      <c r="H208" s="6" t="s">
        <v>47</v>
      </c>
      <c r="I208" s="6" t="s">
        <v>28</v>
      </c>
      <c r="J208" s="5">
        <f t="shared" si="5"/>
        <v>42</v>
      </c>
      <c r="K208" s="7">
        <v>18.0</v>
      </c>
      <c r="L208" s="7">
        <v>24.0</v>
      </c>
      <c r="M208" s="5"/>
      <c r="N208" s="8" t="s">
        <v>47</v>
      </c>
      <c r="O208" s="9" t="s">
        <v>29</v>
      </c>
      <c r="P208" s="5">
        <f t="shared" si="6"/>
        <v>3915</v>
      </c>
      <c r="Q208" s="8">
        <v>2827.0</v>
      </c>
      <c r="R208" s="8">
        <v>1088.0</v>
      </c>
      <c r="T208" s="1" t="s">
        <v>47</v>
      </c>
      <c r="U208" s="11" t="s">
        <v>29</v>
      </c>
      <c r="V208" s="5">
        <f t="shared" si="7"/>
        <v>1385</v>
      </c>
      <c r="W208" s="1">
        <v>281.0</v>
      </c>
      <c r="X208" s="1">
        <v>1104.0</v>
      </c>
    </row>
    <row r="209">
      <c r="B209" s="6" t="str">
        <f t="shared" ref="B209:C209" si="416">H209</f>
        <v>Jat</v>
      </c>
      <c r="C209" s="6" t="str">
        <f t="shared" si="416"/>
        <v>55–59</v>
      </c>
      <c r="D209" s="6">
        <f t="shared" ref="D209:F209" si="417">J209+P209+V209</f>
        <v>1755</v>
      </c>
      <c r="E209" s="6">
        <f t="shared" si="417"/>
        <v>1040</v>
      </c>
      <c r="F209" s="6">
        <f t="shared" si="417"/>
        <v>715</v>
      </c>
      <c r="G209" s="6"/>
      <c r="H209" s="6" t="s">
        <v>47</v>
      </c>
      <c r="I209" s="6" t="s">
        <v>30</v>
      </c>
      <c r="J209" s="5">
        <f t="shared" si="5"/>
        <v>20</v>
      </c>
      <c r="K209" s="7">
        <v>8.0</v>
      </c>
      <c r="L209" s="7">
        <v>12.0</v>
      </c>
      <c r="M209" s="5"/>
      <c r="N209" s="8" t="s">
        <v>47</v>
      </c>
      <c r="O209" s="9" t="s">
        <v>31</v>
      </c>
      <c r="P209" s="5">
        <f t="shared" si="6"/>
        <v>1236</v>
      </c>
      <c r="Q209" s="8">
        <v>908.0</v>
      </c>
      <c r="R209" s="8">
        <v>328.0</v>
      </c>
      <c r="T209" s="1" t="s">
        <v>47</v>
      </c>
      <c r="U209" s="11" t="s">
        <v>31</v>
      </c>
      <c r="V209" s="5">
        <f t="shared" si="7"/>
        <v>499</v>
      </c>
      <c r="W209" s="1">
        <v>124.0</v>
      </c>
      <c r="X209" s="1">
        <v>375.0</v>
      </c>
    </row>
    <row r="210">
      <c r="B210" s="6" t="str">
        <f t="shared" ref="B210:C210" si="418">H210</f>
        <v>Jat</v>
      </c>
      <c r="C210" s="6" t="str">
        <f t="shared" si="418"/>
        <v>60 and over</v>
      </c>
      <c r="D210" s="6">
        <f t="shared" ref="D210:F210" si="419">J210+P210+V210</f>
        <v>5137</v>
      </c>
      <c r="E210" s="6">
        <f t="shared" si="419"/>
        <v>2576</v>
      </c>
      <c r="F210" s="6">
        <f t="shared" si="419"/>
        <v>2561</v>
      </c>
      <c r="G210" s="6"/>
      <c r="H210" s="6" t="s">
        <v>47</v>
      </c>
      <c r="I210" s="6" t="s">
        <v>32</v>
      </c>
      <c r="J210" s="5">
        <f t="shared" si="5"/>
        <v>37</v>
      </c>
      <c r="K210" s="7">
        <v>23.0</v>
      </c>
      <c r="L210" s="7">
        <v>14.0</v>
      </c>
      <c r="M210" s="5"/>
      <c r="N210" s="8" t="s">
        <v>47</v>
      </c>
      <c r="O210" s="6" t="s">
        <v>32</v>
      </c>
      <c r="P210" s="5">
        <f t="shared" si="6"/>
        <v>2556</v>
      </c>
      <c r="Q210" s="8">
        <v>2020.0</v>
      </c>
      <c r="R210" s="8">
        <v>536.0</v>
      </c>
      <c r="T210" s="1" t="s">
        <v>47</v>
      </c>
      <c r="U210" s="6" t="s">
        <v>32</v>
      </c>
      <c r="V210" s="5">
        <f t="shared" si="7"/>
        <v>2544</v>
      </c>
      <c r="W210" s="1">
        <v>533.0</v>
      </c>
      <c r="X210" s="1">
        <v>2011.0</v>
      </c>
    </row>
    <row r="211">
      <c r="B211" s="6" t="str">
        <f t="shared" ref="B211:C211" si="420">H211</f>
        <v>Kolhapur</v>
      </c>
      <c r="C211" s="6" t="str">
        <f t="shared" si="420"/>
        <v>0–4</v>
      </c>
      <c r="D211" s="6">
        <f t="shared" ref="D211:F211" si="421">J211+P211+V211</f>
        <v>141951</v>
      </c>
      <c r="E211" s="6">
        <f t="shared" si="421"/>
        <v>67554</v>
      </c>
      <c r="F211" s="6">
        <f t="shared" si="421"/>
        <v>74397</v>
      </c>
      <c r="G211" s="6"/>
      <c r="H211" s="6" t="s">
        <v>48</v>
      </c>
      <c r="I211" s="6" t="s">
        <v>10</v>
      </c>
      <c r="J211" s="5">
        <f t="shared" si="5"/>
        <v>133735</v>
      </c>
      <c r="K211" s="7">
        <v>66771.0</v>
      </c>
      <c r="L211" s="7">
        <v>66964.0</v>
      </c>
      <c r="M211" s="5"/>
      <c r="N211" s="8" t="s">
        <v>48</v>
      </c>
      <c r="O211" s="9" t="s">
        <v>11</v>
      </c>
      <c r="P211" s="5">
        <f t="shared" si="6"/>
        <v>8164</v>
      </c>
      <c r="Q211" s="10">
        <v>771.0</v>
      </c>
      <c r="R211" s="10">
        <v>7393.0</v>
      </c>
      <c r="T211" s="1" t="s">
        <v>48</v>
      </c>
      <c r="U211" s="11" t="s">
        <v>11</v>
      </c>
      <c r="V211" s="5">
        <f t="shared" si="7"/>
        <v>52</v>
      </c>
      <c r="W211" s="1">
        <v>12.0</v>
      </c>
      <c r="X211" s="1">
        <v>40.0</v>
      </c>
    </row>
    <row r="212">
      <c r="B212" s="6" t="str">
        <f t="shared" ref="B212:C212" si="422">H212</f>
        <v>Kolhapur</v>
      </c>
      <c r="C212" s="6" t="str">
        <f t="shared" si="422"/>
        <v>5–9</v>
      </c>
      <c r="D212" s="6">
        <f t="shared" ref="D212:F212" si="423">J212+P212+V212</f>
        <v>128293</v>
      </c>
      <c r="E212" s="6">
        <f t="shared" si="423"/>
        <v>68508</v>
      </c>
      <c r="F212" s="6">
        <f t="shared" si="423"/>
        <v>59785</v>
      </c>
      <c r="G212" s="6"/>
      <c r="H212" s="6" t="s">
        <v>48</v>
      </c>
      <c r="I212" s="6" t="s">
        <v>12</v>
      </c>
      <c r="J212" s="5">
        <f t="shared" si="5"/>
        <v>98969</v>
      </c>
      <c r="K212" s="7">
        <v>60219.0</v>
      </c>
      <c r="L212" s="7">
        <v>38750.0</v>
      </c>
      <c r="M212" s="5"/>
      <c r="N212" s="8" t="s">
        <v>48</v>
      </c>
      <c r="O212" s="12">
        <v>45786.0</v>
      </c>
      <c r="P212" s="5">
        <f t="shared" si="6"/>
        <v>28834</v>
      </c>
      <c r="Q212" s="10">
        <v>8108.0</v>
      </c>
      <c r="R212" s="10">
        <v>20726.0</v>
      </c>
      <c r="T212" s="1" t="s">
        <v>48</v>
      </c>
      <c r="U212" s="13">
        <v>45786.0</v>
      </c>
      <c r="V212" s="5">
        <f t="shared" si="7"/>
        <v>490</v>
      </c>
      <c r="W212" s="1">
        <v>181.0</v>
      </c>
      <c r="X212" s="1">
        <v>309.0</v>
      </c>
    </row>
    <row r="213">
      <c r="B213" s="6" t="str">
        <f t="shared" ref="B213:C213" si="424">H213</f>
        <v>Kolhapur</v>
      </c>
      <c r="C213" s="6" t="str">
        <f t="shared" si="424"/>
        <v>10–14</v>
      </c>
      <c r="D213" s="6">
        <f t="shared" ref="D213:F213" si="425">J213+P213+V213</f>
        <v>91045</v>
      </c>
      <c r="E213" s="6">
        <f t="shared" si="425"/>
        <v>50464</v>
      </c>
      <c r="F213" s="6">
        <f t="shared" si="425"/>
        <v>40581</v>
      </c>
      <c r="G213" s="6"/>
      <c r="H213" s="6" t="s">
        <v>48</v>
      </c>
      <c r="I213" s="6" t="s">
        <v>13</v>
      </c>
      <c r="J213" s="5">
        <f t="shared" si="5"/>
        <v>46915</v>
      </c>
      <c r="K213" s="7">
        <v>39110.0</v>
      </c>
      <c r="L213" s="7">
        <v>7805.0</v>
      </c>
      <c r="M213" s="5"/>
      <c r="N213" s="8" t="s">
        <v>48</v>
      </c>
      <c r="O213" s="12">
        <v>45944.0</v>
      </c>
      <c r="P213" s="5">
        <f t="shared" si="6"/>
        <v>42690</v>
      </c>
      <c r="Q213" s="10">
        <v>10822.0</v>
      </c>
      <c r="R213" s="10">
        <v>31868.0</v>
      </c>
      <c r="T213" s="1" t="s">
        <v>48</v>
      </c>
      <c r="U213" s="13">
        <v>45944.0</v>
      </c>
      <c r="V213" s="5">
        <f t="shared" si="7"/>
        <v>1440</v>
      </c>
      <c r="W213" s="1">
        <v>532.0</v>
      </c>
      <c r="X213" s="1">
        <v>908.0</v>
      </c>
    </row>
    <row r="214">
      <c r="B214" s="6" t="str">
        <f t="shared" ref="B214:C214" si="426">H214</f>
        <v>Kolhapur</v>
      </c>
      <c r="C214" s="6" t="str">
        <f t="shared" si="426"/>
        <v>15–19</v>
      </c>
      <c r="D214" s="6">
        <f t="shared" ref="D214:F214" si="427">J214+P214+V214</f>
        <v>63660</v>
      </c>
      <c r="E214" s="6">
        <f t="shared" si="427"/>
        <v>34194</v>
      </c>
      <c r="F214" s="6">
        <f t="shared" si="427"/>
        <v>29466</v>
      </c>
      <c r="G214" s="6"/>
      <c r="H214" s="6" t="s">
        <v>48</v>
      </c>
      <c r="I214" s="6" t="s">
        <v>14</v>
      </c>
      <c r="J214" s="5">
        <f t="shared" si="5"/>
        <v>17032</v>
      </c>
      <c r="K214" s="7">
        <v>16300.0</v>
      </c>
      <c r="L214" s="7">
        <v>732.0</v>
      </c>
      <c r="M214" s="5"/>
      <c r="N214" s="8" t="s">
        <v>48</v>
      </c>
      <c r="O214" s="9" t="s">
        <v>15</v>
      </c>
      <c r="P214" s="5">
        <f t="shared" si="6"/>
        <v>45150</v>
      </c>
      <c r="Q214" s="10">
        <v>17320.0</v>
      </c>
      <c r="R214" s="10">
        <v>27830.0</v>
      </c>
      <c r="T214" s="1" t="s">
        <v>48</v>
      </c>
      <c r="U214" s="11" t="s">
        <v>15</v>
      </c>
      <c r="V214" s="5">
        <f t="shared" si="7"/>
        <v>1478</v>
      </c>
      <c r="W214" s="1">
        <v>574.0</v>
      </c>
      <c r="X214" s="1">
        <v>904.0</v>
      </c>
    </row>
    <row r="215">
      <c r="B215" s="6" t="str">
        <f t="shared" ref="B215:C215" si="428">H215</f>
        <v>Kolhapur</v>
      </c>
      <c r="C215" s="6" t="str">
        <f t="shared" si="428"/>
        <v>20–24</v>
      </c>
      <c r="D215" s="6">
        <f t="shared" ref="D215:F215" si="429">J215+P215+V215</f>
        <v>74362</v>
      </c>
      <c r="E215" s="6">
        <f t="shared" si="429"/>
        <v>33371</v>
      </c>
      <c r="F215" s="6">
        <f t="shared" si="429"/>
        <v>40991</v>
      </c>
      <c r="G215" s="6"/>
      <c r="H215" s="6" t="s">
        <v>48</v>
      </c>
      <c r="I215" s="6" t="s">
        <v>16</v>
      </c>
      <c r="J215" s="5">
        <f t="shared" si="5"/>
        <v>7347</v>
      </c>
      <c r="K215" s="7">
        <v>6839.0</v>
      </c>
      <c r="L215" s="7">
        <v>508.0</v>
      </c>
      <c r="M215" s="5"/>
      <c r="N215" s="8" t="s">
        <v>48</v>
      </c>
      <c r="O215" s="9" t="s">
        <v>17</v>
      </c>
      <c r="P215" s="5">
        <f t="shared" si="6"/>
        <v>64639</v>
      </c>
      <c r="Q215" s="10">
        <v>25786.0</v>
      </c>
      <c r="R215" s="10">
        <v>38853.0</v>
      </c>
      <c r="T215" s="1" t="s">
        <v>48</v>
      </c>
      <c r="U215" s="11" t="s">
        <v>17</v>
      </c>
      <c r="V215" s="5">
        <f t="shared" si="7"/>
        <v>2376</v>
      </c>
      <c r="W215" s="1">
        <v>746.0</v>
      </c>
      <c r="X215" s="1">
        <v>1630.0</v>
      </c>
    </row>
    <row r="216">
      <c r="B216" s="6" t="str">
        <f t="shared" ref="B216:C216" si="430">H216</f>
        <v>Kolhapur</v>
      </c>
      <c r="C216" s="6" t="str">
        <f t="shared" si="430"/>
        <v>25–29</v>
      </c>
      <c r="D216" s="6">
        <f t="shared" ref="D216:F216" si="431">J216+P216+V216</f>
        <v>43072</v>
      </c>
      <c r="E216" s="6">
        <f t="shared" si="431"/>
        <v>22039</v>
      </c>
      <c r="F216" s="6">
        <f t="shared" si="431"/>
        <v>21033</v>
      </c>
      <c r="G216" s="6"/>
      <c r="H216" s="6" t="s">
        <v>48</v>
      </c>
      <c r="I216" s="6" t="s">
        <v>18</v>
      </c>
      <c r="J216" s="5">
        <f t="shared" si="5"/>
        <v>3934</v>
      </c>
      <c r="K216" s="7">
        <v>3369.0</v>
      </c>
      <c r="L216" s="7">
        <v>565.0</v>
      </c>
      <c r="M216" s="5"/>
      <c r="N216" s="8" t="s">
        <v>48</v>
      </c>
      <c r="O216" s="9" t="s">
        <v>19</v>
      </c>
      <c r="P216" s="5">
        <f t="shared" si="6"/>
        <v>34696</v>
      </c>
      <c r="Q216" s="8">
        <v>17476.0</v>
      </c>
      <c r="R216" s="8">
        <v>17220.0</v>
      </c>
      <c r="T216" s="1" t="s">
        <v>48</v>
      </c>
      <c r="U216" s="11" t="s">
        <v>19</v>
      </c>
      <c r="V216" s="5">
        <f t="shared" si="7"/>
        <v>4442</v>
      </c>
      <c r="W216" s="1">
        <v>1194.0</v>
      </c>
      <c r="X216" s="1">
        <v>3248.0</v>
      </c>
    </row>
    <row r="217">
      <c r="B217" s="6" t="str">
        <f t="shared" ref="B217:C217" si="432">H217</f>
        <v>Kolhapur</v>
      </c>
      <c r="C217" s="6" t="str">
        <f t="shared" si="432"/>
        <v>30–34</v>
      </c>
      <c r="D217" s="6">
        <f t="shared" ref="D217:F217" si="433">J217+P217+V217</f>
        <v>40059</v>
      </c>
      <c r="E217" s="6">
        <f t="shared" si="433"/>
        <v>18165</v>
      </c>
      <c r="F217" s="6">
        <f t="shared" si="433"/>
        <v>21894</v>
      </c>
      <c r="G217" s="6"/>
      <c r="H217" s="6" t="s">
        <v>48</v>
      </c>
      <c r="I217" s="6" t="s">
        <v>20</v>
      </c>
      <c r="J217" s="5">
        <f t="shared" si="5"/>
        <v>1990</v>
      </c>
      <c r="K217" s="7">
        <v>1500.0</v>
      </c>
      <c r="L217" s="7">
        <v>490.0</v>
      </c>
      <c r="M217" s="5"/>
      <c r="N217" s="8" t="s">
        <v>48</v>
      </c>
      <c r="O217" s="9" t="s">
        <v>21</v>
      </c>
      <c r="P217" s="5">
        <f t="shared" si="6"/>
        <v>30922</v>
      </c>
      <c r="Q217" s="8">
        <v>15079.0</v>
      </c>
      <c r="R217" s="8">
        <v>15843.0</v>
      </c>
      <c r="T217" s="1" t="s">
        <v>48</v>
      </c>
      <c r="U217" s="11" t="s">
        <v>21</v>
      </c>
      <c r="V217" s="5">
        <f t="shared" si="7"/>
        <v>7147</v>
      </c>
      <c r="W217" s="1">
        <v>1586.0</v>
      </c>
      <c r="X217" s="1">
        <v>5561.0</v>
      </c>
    </row>
    <row r="218">
      <c r="B218" s="6" t="str">
        <f t="shared" ref="B218:C218" si="434">H218</f>
        <v>Kolhapur</v>
      </c>
      <c r="C218" s="6" t="str">
        <f t="shared" si="434"/>
        <v>35–39</v>
      </c>
      <c r="D218" s="6">
        <f t="shared" ref="D218:F218" si="435">J218+P218+V218</f>
        <v>28261</v>
      </c>
      <c r="E218" s="6">
        <f t="shared" si="435"/>
        <v>14142</v>
      </c>
      <c r="F218" s="6">
        <f t="shared" si="435"/>
        <v>14119</v>
      </c>
      <c r="G218" s="6"/>
      <c r="H218" s="6" t="s">
        <v>48</v>
      </c>
      <c r="I218" s="6" t="s">
        <v>22</v>
      </c>
      <c r="J218" s="5">
        <f t="shared" si="5"/>
        <v>1030</v>
      </c>
      <c r="K218" s="7">
        <v>776.0</v>
      </c>
      <c r="L218" s="7">
        <v>254.0</v>
      </c>
      <c r="M218" s="5"/>
      <c r="N218" s="8" t="s">
        <v>48</v>
      </c>
      <c r="O218" s="9" t="s">
        <v>23</v>
      </c>
      <c r="P218" s="5">
        <f t="shared" si="6"/>
        <v>20306</v>
      </c>
      <c r="Q218" s="8">
        <v>11809.0</v>
      </c>
      <c r="R218" s="8">
        <v>8497.0</v>
      </c>
      <c r="T218" s="1" t="s">
        <v>48</v>
      </c>
      <c r="U218" s="11" t="s">
        <v>23</v>
      </c>
      <c r="V218" s="5">
        <f t="shared" si="7"/>
        <v>6925</v>
      </c>
      <c r="W218" s="1">
        <v>1557.0</v>
      </c>
      <c r="X218" s="1">
        <v>5368.0</v>
      </c>
    </row>
    <row r="219">
      <c r="B219" s="6" t="str">
        <f t="shared" ref="B219:C219" si="436">H219</f>
        <v>Kolhapur</v>
      </c>
      <c r="C219" s="6" t="str">
        <f t="shared" si="436"/>
        <v>40–44</v>
      </c>
      <c r="D219" s="6">
        <f t="shared" ref="D219:F219" si="437">J219+P219+V219</f>
        <v>36774</v>
      </c>
      <c r="E219" s="6">
        <f t="shared" si="437"/>
        <v>15570</v>
      </c>
      <c r="F219" s="6">
        <f t="shared" si="437"/>
        <v>21204</v>
      </c>
      <c r="G219" s="6"/>
      <c r="H219" s="6" t="s">
        <v>48</v>
      </c>
      <c r="I219" s="6" t="s">
        <v>24</v>
      </c>
      <c r="J219" s="5">
        <f t="shared" si="5"/>
        <v>1056</v>
      </c>
      <c r="K219" s="7">
        <v>718.0</v>
      </c>
      <c r="L219" s="7">
        <v>338.0</v>
      </c>
      <c r="M219" s="5"/>
      <c r="N219" s="8" t="s">
        <v>48</v>
      </c>
      <c r="O219" s="9" t="s">
        <v>25</v>
      </c>
      <c r="P219" s="5">
        <f t="shared" si="6"/>
        <v>22115</v>
      </c>
      <c r="Q219" s="8">
        <v>12300.0</v>
      </c>
      <c r="R219" s="8">
        <v>9815.0</v>
      </c>
      <c r="T219" s="1" t="s">
        <v>48</v>
      </c>
      <c r="U219" s="11" t="s">
        <v>25</v>
      </c>
      <c r="V219" s="5">
        <f t="shared" si="7"/>
        <v>13603</v>
      </c>
      <c r="W219" s="1">
        <v>2552.0</v>
      </c>
      <c r="X219" s="1">
        <v>11051.0</v>
      </c>
    </row>
    <row r="220">
      <c r="B220" s="6" t="str">
        <f t="shared" ref="B220:C220" si="438">H220</f>
        <v>Kolhapur</v>
      </c>
      <c r="C220" s="6" t="str">
        <f t="shared" si="438"/>
        <v>45–49</v>
      </c>
      <c r="D220" s="6">
        <f t="shared" ref="D220:F220" si="439">J220+P220+V220</f>
        <v>19564</v>
      </c>
      <c r="E220" s="6">
        <f t="shared" si="439"/>
        <v>9520</v>
      </c>
      <c r="F220" s="6">
        <f t="shared" si="439"/>
        <v>10044</v>
      </c>
      <c r="G220" s="6"/>
      <c r="H220" s="6" t="s">
        <v>48</v>
      </c>
      <c r="I220" s="6" t="s">
        <v>26</v>
      </c>
      <c r="J220" s="5">
        <f t="shared" si="5"/>
        <v>504</v>
      </c>
      <c r="K220" s="7">
        <v>362.0</v>
      </c>
      <c r="L220" s="7">
        <v>142.0</v>
      </c>
      <c r="M220" s="5"/>
      <c r="N220" s="8" t="s">
        <v>48</v>
      </c>
      <c r="O220" s="9" t="s">
        <v>27</v>
      </c>
      <c r="P220" s="5">
        <f t="shared" si="6"/>
        <v>10440</v>
      </c>
      <c r="Q220" s="8">
        <v>7252.0</v>
      </c>
      <c r="R220" s="8">
        <v>3188.0</v>
      </c>
      <c r="T220" s="1" t="s">
        <v>48</v>
      </c>
      <c r="U220" s="11" t="s">
        <v>27</v>
      </c>
      <c r="V220" s="5">
        <f t="shared" si="7"/>
        <v>8620</v>
      </c>
      <c r="W220" s="1">
        <v>1906.0</v>
      </c>
      <c r="X220" s="1">
        <v>6714.0</v>
      </c>
    </row>
    <row r="221">
      <c r="B221" s="6" t="str">
        <f t="shared" ref="B221:C221" si="440">H221</f>
        <v>Kolhapur</v>
      </c>
      <c r="C221" s="6" t="str">
        <f t="shared" si="440"/>
        <v>50–54</v>
      </c>
      <c r="D221" s="6">
        <f t="shared" ref="D221:F221" si="441">J221+P221+V221</f>
        <v>29906</v>
      </c>
      <c r="E221" s="6">
        <f t="shared" si="441"/>
        <v>13317</v>
      </c>
      <c r="F221" s="6">
        <f t="shared" si="441"/>
        <v>16589</v>
      </c>
      <c r="G221" s="6"/>
      <c r="H221" s="6" t="s">
        <v>48</v>
      </c>
      <c r="I221" s="6" t="s">
        <v>28</v>
      </c>
      <c r="J221" s="5">
        <f t="shared" si="5"/>
        <v>534</v>
      </c>
      <c r="K221" s="7">
        <v>352.0</v>
      </c>
      <c r="L221" s="7">
        <v>182.0</v>
      </c>
      <c r="M221" s="5"/>
      <c r="N221" s="8" t="s">
        <v>48</v>
      </c>
      <c r="O221" s="9" t="s">
        <v>29</v>
      </c>
      <c r="P221" s="5">
        <f t="shared" si="6"/>
        <v>12823</v>
      </c>
      <c r="Q221" s="8">
        <v>9820.0</v>
      </c>
      <c r="R221" s="8">
        <v>3003.0</v>
      </c>
      <c r="T221" s="1" t="s">
        <v>48</v>
      </c>
      <c r="U221" s="11" t="s">
        <v>29</v>
      </c>
      <c r="V221" s="5">
        <f t="shared" si="7"/>
        <v>16549</v>
      </c>
      <c r="W221" s="1">
        <v>3145.0</v>
      </c>
      <c r="X221" s="1">
        <v>13404.0</v>
      </c>
    </row>
    <row r="222">
      <c r="B222" s="6" t="str">
        <f t="shared" ref="B222:C222" si="442">H222</f>
        <v>Kolhapur</v>
      </c>
      <c r="C222" s="6" t="str">
        <f t="shared" si="442"/>
        <v>55–59</v>
      </c>
      <c r="D222" s="6">
        <f t="shared" ref="D222:F222" si="443">J222+P222+V222</f>
        <v>7048</v>
      </c>
      <c r="E222" s="6">
        <f t="shared" si="443"/>
        <v>1438</v>
      </c>
      <c r="F222" s="6">
        <f t="shared" si="443"/>
        <v>5610</v>
      </c>
      <c r="G222" s="6"/>
      <c r="H222" s="6" t="s">
        <v>48</v>
      </c>
      <c r="I222" s="6" t="s">
        <v>30</v>
      </c>
      <c r="J222" s="5">
        <f t="shared" si="5"/>
        <v>174</v>
      </c>
      <c r="K222" s="7">
        <v>118.0</v>
      </c>
      <c r="L222" s="7">
        <v>56.0</v>
      </c>
      <c r="M222" s="5"/>
      <c r="N222" s="8" t="s">
        <v>48</v>
      </c>
      <c r="O222" s="9" t="s">
        <v>31</v>
      </c>
      <c r="P222" s="5">
        <f t="shared" si="6"/>
        <v>3615</v>
      </c>
      <c r="Q222" s="8">
        <v>2789.0</v>
      </c>
      <c r="R222" s="8">
        <v>826.0</v>
      </c>
      <c r="T222" s="1" t="s">
        <v>48</v>
      </c>
      <c r="U222" s="11" t="s">
        <v>31</v>
      </c>
      <c r="V222" s="5">
        <f t="shared" si="7"/>
        <v>3259</v>
      </c>
      <c r="W222" s="1">
        <v>-1469.0</v>
      </c>
      <c r="X222" s="1">
        <v>4728.0</v>
      </c>
    </row>
    <row r="223">
      <c r="B223" s="6" t="str">
        <f t="shared" ref="B223:C223" si="444">H223</f>
        <v>Kolhapur</v>
      </c>
      <c r="C223" s="6" t="str">
        <f t="shared" si="444"/>
        <v>60 and over</v>
      </c>
      <c r="D223" s="6">
        <f t="shared" ref="D223:F223" si="445">J223+P223+V223</f>
        <v>41470</v>
      </c>
      <c r="E223" s="6">
        <f t="shared" si="445"/>
        <v>13514</v>
      </c>
      <c r="F223" s="6">
        <f t="shared" si="445"/>
        <v>27956</v>
      </c>
      <c r="G223" s="6"/>
      <c r="H223" s="6" t="s">
        <v>48</v>
      </c>
      <c r="I223" s="6" t="s">
        <v>32</v>
      </c>
      <c r="J223" s="5">
        <f t="shared" si="5"/>
        <v>488</v>
      </c>
      <c r="K223" s="7">
        <v>285.0</v>
      </c>
      <c r="L223" s="7">
        <v>203.0</v>
      </c>
      <c r="M223" s="5"/>
      <c r="N223" s="8" t="s">
        <v>48</v>
      </c>
      <c r="O223" s="6" t="s">
        <v>32</v>
      </c>
      <c r="P223" s="5">
        <f t="shared" si="6"/>
        <v>7770</v>
      </c>
      <c r="Q223" s="8">
        <v>6474.0</v>
      </c>
      <c r="R223" s="8">
        <v>1296.0</v>
      </c>
      <c r="T223" s="1" t="s">
        <v>48</v>
      </c>
      <c r="U223" s="6" t="s">
        <v>32</v>
      </c>
      <c r="V223" s="5">
        <f t="shared" si="7"/>
        <v>33212</v>
      </c>
      <c r="W223" s="1">
        <v>6755.0</v>
      </c>
      <c r="X223" s="1">
        <v>26457.0</v>
      </c>
    </row>
    <row r="224">
      <c r="B224" s="6" t="str">
        <f t="shared" ref="B224:C224" si="446">H224</f>
        <v>Southern Maratha Jaghirs</v>
      </c>
      <c r="C224" s="6" t="str">
        <f t="shared" si="446"/>
        <v>0–4</v>
      </c>
      <c r="D224" s="6">
        <f t="shared" ref="D224:F224" si="447">J224+P224+V224</f>
        <v>101329</v>
      </c>
      <c r="E224" s="6">
        <f t="shared" si="447"/>
        <v>50239</v>
      </c>
      <c r="F224" s="6">
        <f t="shared" si="447"/>
        <v>51090</v>
      </c>
      <c r="G224" s="6"/>
      <c r="H224" s="6" t="s">
        <v>49</v>
      </c>
      <c r="I224" s="6" t="s">
        <v>10</v>
      </c>
      <c r="J224" s="5">
        <f t="shared" si="5"/>
        <v>97799</v>
      </c>
      <c r="K224" s="7">
        <v>49605.0</v>
      </c>
      <c r="L224" s="7">
        <v>48194.0</v>
      </c>
      <c r="M224" s="5"/>
      <c r="N224" s="8" t="s">
        <v>50</v>
      </c>
      <c r="O224" s="9" t="s">
        <v>11</v>
      </c>
      <c r="P224" s="5">
        <f t="shared" si="6"/>
        <v>3454</v>
      </c>
      <c r="Q224" s="10">
        <v>617.0</v>
      </c>
      <c r="R224" s="10">
        <v>2837.0</v>
      </c>
      <c r="T224" s="1" t="s">
        <v>50</v>
      </c>
      <c r="U224" s="11" t="s">
        <v>11</v>
      </c>
      <c r="V224" s="5">
        <f t="shared" si="7"/>
        <v>76</v>
      </c>
      <c r="W224" s="1">
        <v>17.0</v>
      </c>
      <c r="X224" s="1">
        <v>59.0</v>
      </c>
    </row>
    <row r="225">
      <c r="B225" s="6" t="str">
        <f t="shared" ref="B225:C225" si="448">H225</f>
        <v>Southern Maratha Jaghirs</v>
      </c>
      <c r="C225" s="6" t="str">
        <f t="shared" si="448"/>
        <v>5–9</v>
      </c>
      <c r="D225" s="6">
        <f t="shared" ref="D225:F225" si="449">J225+P225+V225</f>
        <v>85628</v>
      </c>
      <c r="E225" s="6">
        <f t="shared" si="449"/>
        <v>43677</v>
      </c>
      <c r="F225" s="6">
        <f t="shared" si="449"/>
        <v>41951</v>
      </c>
      <c r="G225" s="6"/>
      <c r="H225" s="6" t="s">
        <v>49</v>
      </c>
      <c r="I225" s="6" t="s">
        <v>12</v>
      </c>
      <c r="J225" s="5">
        <f t="shared" si="5"/>
        <v>68679</v>
      </c>
      <c r="K225" s="7">
        <v>41169.0</v>
      </c>
      <c r="L225" s="7">
        <v>27510.0</v>
      </c>
      <c r="M225" s="5"/>
      <c r="N225" s="8" t="s">
        <v>50</v>
      </c>
      <c r="O225" s="12">
        <v>45786.0</v>
      </c>
      <c r="P225" s="5">
        <f t="shared" si="6"/>
        <v>16468</v>
      </c>
      <c r="Q225" s="10">
        <v>2353.0</v>
      </c>
      <c r="R225" s="10">
        <v>14115.0</v>
      </c>
      <c r="T225" s="1" t="s">
        <v>50</v>
      </c>
      <c r="U225" s="13">
        <v>45786.0</v>
      </c>
      <c r="V225" s="5">
        <f t="shared" si="7"/>
        <v>481</v>
      </c>
      <c r="W225" s="1">
        <v>155.0</v>
      </c>
      <c r="X225" s="1">
        <v>326.0</v>
      </c>
    </row>
    <row r="226">
      <c r="B226" s="6" t="str">
        <f t="shared" ref="B226:C226" si="450">H226</f>
        <v>Southern Maratha Jaghirs</v>
      </c>
      <c r="C226" s="6" t="str">
        <f t="shared" si="450"/>
        <v>10–14</v>
      </c>
      <c r="D226" s="6">
        <f t="shared" ref="D226:F226" si="451">J226+P226+V226</f>
        <v>56560</v>
      </c>
      <c r="E226" s="6">
        <f t="shared" si="451"/>
        <v>30526</v>
      </c>
      <c r="F226" s="6">
        <f t="shared" si="451"/>
        <v>26034</v>
      </c>
      <c r="G226" s="6"/>
      <c r="H226" s="6" t="s">
        <v>49</v>
      </c>
      <c r="I226" s="6" t="s">
        <v>13</v>
      </c>
      <c r="J226" s="5">
        <f t="shared" si="5"/>
        <v>30012</v>
      </c>
      <c r="K226" s="7">
        <v>23465.0</v>
      </c>
      <c r="L226" s="7">
        <v>6547.0</v>
      </c>
      <c r="M226" s="5"/>
      <c r="N226" s="8" t="s">
        <v>50</v>
      </c>
      <c r="O226" s="12">
        <v>45944.0</v>
      </c>
      <c r="P226" s="5">
        <f t="shared" si="6"/>
        <v>25447</v>
      </c>
      <c r="Q226" s="10">
        <v>6648.0</v>
      </c>
      <c r="R226" s="10">
        <v>18799.0</v>
      </c>
      <c r="T226" s="1" t="s">
        <v>50</v>
      </c>
      <c r="U226" s="13">
        <v>45944.0</v>
      </c>
      <c r="V226" s="5">
        <f t="shared" si="7"/>
        <v>1101</v>
      </c>
      <c r="W226" s="1">
        <v>413.0</v>
      </c>
      <c r="X226" s="1">
        <v>688.0</v>
      </c>
    </row>
    <row r="227">
      <c r="B227" s="6" t="str">
        <f t="shared" ref="B227:C227" si="452">H227</f>
        <v>Southern Maratha Jaghirs</v>
      </c>
      <c r="C227" s="6" t="str">
        <f t="shared" si="452"/>
        <v>15–19</v>
      </c>
      <c r="D227" s="6">
        <f t="shared" ref="D227:F227" si="453">J227+P227+V227</f>
        <v>45073</v>
      </c>
      <c r="E227" s="6">
        <f t="shared" si="453"/>
        <v>23447</v>
      </c>
      <c r="F227" s="6">
        <f t="shared" si="453"/>
        <v>21626</v>
      </c>
      <c r="G227" s="6"/>
      <c r="H227" s="6" t="s">
        <v>49</v>
      </c>
      <c r="I227" s="6" t="s">
        <v>14</v>
      </c>
      <c r="J227" s="5">
        <f t="shared" si="5"/>
        <v>11799</v>
      </c>
      <c r="K227" s="7">
        <v>10984.0</v>
      </c>
      <c r="L227" s="7">
        <v>815.0</v>
      </c>
      <c r="M227" s="5"/>
      <c r="N227" s="8" t="s">
        <v>50</v>
      </c>
      <c r="O227" s="9" t="s">
        <v>15</v>
      </c>
      <c r="P227" s="5">
        <f t="shared" si="6"/>
        <v>31958</v>
      </c>
      <c r="Q227" s="10">
        <v>11951.0</v>
      </c>
      <c r="R227" s="10">
        <v>20007.0</v>
      </c>
      <c r="T227" s="1" t="s">
        <v>50</v>
      </c>
      <c r="U227" s="11" t="s">
        <v>15</v>
      </c>
      <c r="V227" s="5">
        <f t="shared" si="7"/>
        <v>1316</v>
      </c>
      <c r="W227" s="1">
        <v>512.0</v>
      </c>
      <c r="X227" s="1">
        <v>804.0</v>
      </c>
    </row>
    <row r="228">
      <c r="B228" s="6" t="str">
        <f t="shared" ref="B228:C228" si="454">H228</f>
        <v>Southern Maratha Jaghirs</v>
      </c>
      <c r="C228" s="6" t="str">
        <f t="shared" si="454"/>
        <v>20–24</v>
      </c>
      <c r="D228" s="6">
        <f t="shared" ref="D228:F228" si="455">J228+P228+V228</f>
        <v>51134</v>
      </c>
      <c r="E228" s="6">
        <f t="shared" si="455"/>
        <v>23242</v>
      </c>
      <c r="F228" s="6">
        <f t="shared" si="455"/>
        <v>27892</v>
      </c>
      <c r="G228" s="6"/>
      <c r="H228" s="6" t="s">
        <v>49</v>
      </c>
      <c r="I228" s="6" t="s">
        <v>16</v>
      </c>
      <c r="J228" s="5">
        <f t="shared" si="5"/>
        <v>5787</v>
      </c>
      <c r="K228" s="7">
        <v>4922.0</v>
      </c>
      <c r="L228" s="7">
        <v>865.0</v>
      </c>
      <c r="M228" s="5"/>
      <c r="N228" s="8" t="s">
        <v>50</v>
      </c>
      <c r="O228" s="9" t="s">
        <v>17</v>
      </c>
      <c r="P228" s="5">
        <f t="shared" si="6"/>
        <v>43224</v>
      </c>
      <c r="Q228" s="10">
        <v>17682.0</v>
      </c>
      <c r="R228" s="10">
        <v>25542.0</v>
      </c>
      <c r="T228" s="1" t="s">
        <v>50</v>
      </c>
      <c r="U228" s="11" t="s">
        <v>17</v>
      </c>
      <c r="V228" s="5">
        <f t="shared" si="7"/>
        <v>2123</v>
      </c>
      <c r="W228" s="1">
        <v>638.0</v>
      </c>
      <c r="X228" s="1">
        <v>1485.0</v>
      </c>
    </row>
    <row r="229">
      <c r="B229" s="6" t="str">
        <f t="shared" ref="B229:C229" si="456">H229</f>
        <v>Southern Maratha Jaghirs</v>
      </c>
      <c r="C229" s="6" t="str">
        <f t="shared" si="456"/>
        <v>25–29</v>
      </c>
      <c r="D229" s="6">
        <f t="shared" ref="D229:F229" si="457">J229+P229+V229</f>
        <v>14106</v>
      </c>
      <c r="E229" s="6">
        <f t="shared" si="457"/>
        <v>7356</v>
      </c>
      <c r="F229" s="6">
        <f t="shared" si="457"/>
        <v>6750</v>
      </c>
      <c r="G229" s="6"/>
      <c r="H229" s="6" t="s">
        <v>49</v>
      </c>
      <c r="I229" s="6" t="s">
        <v>18</v>
      </c>
      <c r="J229" s="5">
        <f t="shared" si="5"/>
        <v>3737</v>
      </c>
      <c r="K229" s="7">
        <v>2864.0</v>
      </c>
      <c r="L229" s="7">
        <v>873.0</v>
      </c>
      <c r="M229" s="5"/>
      <c r="N229" s="8" t="s">
        <v>50</v>
      </c>
      <c r="O229" s="9" t="s">
        <v>19</v>
      </c>
      <c r="P229" s="5">
        <f t="shared" si="6"/>
        <v>6906</v>
      </c>
      <c r="Q229" s="8">
        <v>3455.0</v>
      </c>
      <c r="R229" s="8">
        <v>3451.0</v>
      </c>
      <c r="T229" s="1" t="s">
        <v>50</v>
      </c>
      <c r="U229" s="11" t="s">
        <v>19</v>
      </c>
      <c r="V229" s="5">
        <f t="shared" si="7"/>
        <v>3463</v>
      </c>
      <c r="W229" s="1">
        <v>1037.0</v>
      </c>
      <c r="X229" s="1">
        <v>2426.0</v>
      </c>
    </row>
    <row r="230">
      <c r="B230" s="6" t="str">
        <f t="shared" ref="B230:C230" si="458">H230</f>
        <v>Southern Maratha Jaghirs</v>
      </c>
      <c r="C230" s="6" t="str">
        <f t="shared" si="458"/>
        <v>30–34</v>
      </c>
      <c r="D230" s="6">
        <f t="shared" ref="D230:F230" si="459">J230+P230+V230</f>
        <v>14422</v>
      </c>
      <c r="E230" s="6">
        <f t="shared" si="459"/>
        <v>5915</v>
      </c>
      <c r="F230" s="6">
        <f t="shared" si="459"/>
        <v>8507</v>
      </c>
      <c r="G230" s="6"/>
      <c r="H230" s="6" t="s">
        <v>49</v>
      </c>
      <c r="I230" s="6" t="s">
        <v>20</v>
      </c>
      <c r="J230" s="5">
        <f t="shared" si="5"/>
        <v>1953</v>
      </c>
      <c r="K230" s="7">
        <v>1177.0</v>
      </c>
      <c r="L230" s="7">
        <v>776.0</v>
      </c>
      <c r="M230" s="5"/>
      <c r="N230" s="8" t="s">
        <v>50</v>
      </c>
      <c r="O230" s="9" t="s">
        <v>21</v>
      </c>
      <c r="P230" s="5">
        <f t="shared" si="6"/>
        <v>6663</v>
      </c>
      <c r="Q230" s="8">
        <v>3417.0</v>
      </c>
      <c r="R230" s="8">
        <v>3246.0</v>
      </c>
      <c r="T230" s="1" t="s">
        <v>50</v>
      </c>
      <c r="U230" s="11" t="s">
        <v>21</v>
      </c>
      <c r="V230" s="5">
        <f t="shared" si="7"/>
        <v>5806</v>
      </c>
      <c r="W230" s="1">
        <v>1321.0</v>
      </c>
      <c r="X230" s="1">
        <v>4485.0</v>
      </c>
    </row>
    <row r="231">
      <c r="B231" s="6" t="str">
        <f t="shared" ref="B231:C231" si="460">H231</f>
        <v>Southern Maratha Jaghirs</v>
      </c>
      <c r="C231" s="6" t="str">
        <f t="shared" si="460"/>
        <v>35–39</v>
      </c>
      <c r="D231" s="6">
        <f t="shared" ref="D231:F231" si="461">J231+P231+V231</f>
        <v>9961</v>
      </c>
      <c r="E231" s="6">
        <f t="shared" si="461"/>
        <v>4127</v>
      </c>
      <c r="F231" s="6">
        <f t="shared" si="461"/>
        <v>5834</v>
      </c>
      <c r="G231" s="6"/>
      <c r="H231" s="6" t="s">
        <v>49</v>
      </c>
      <c r="I231" s="6" t="s">
        <v>22</v>
      </c>
      <c r="J231" s="5">
        <f t="shared" si="5"/>
        <v>1022</v>
      </c>
      <c r="K231" s="8">
        <v>599.0</v>
      </c>
      <c r="L231" s="7">
        <v>423.0</v>
      </c>
      <c r="M231" s="5"/>
      <c r="N231" s="8" t="s">
        <v>50</v>
      </c>
      <c r="O231" s="9" t="s">
        <v>23</v>
      </c>
      <c r="P231" s="5">
        <f t="shared" si="6"/>
        <v>3844</v>
      </c>
      <c r="Q231" s="8">
        <v>2325.0</v>
      </c>
      <c r="R231" s="8">
        <v>1519.0</v>
      </c>
      <c r="T231" s="1" t="s">
        <v>50</v>
      </c>
      <c r="U231" s="11" t="s">
        <v>23</v>
      </c>
      <c r="V231" s="5">
        <f t="shared" si="7"/>
        <v>5095</v>
      </c>
      <c r="W231" s="1">
        <v>1203.0</v>
      </c>
      <c r="X231" s="1">
        <v>3892.0</v>
      </c>
    </row>
    <row r="232">
      <c r="B232" s="6" t="str">
        <f t="shared" ref="B232:C232" si="462">H232</f>
        <v>Southern Maratha Jaghirs</v>
      </c>
      <c r="C232" s="6" t="str">
        <f t="shared" si="462"/>
        <v>40–44</v>
      </c>
      <c r="D232" s="6">
        <f t="shared" ref="D232:F232" si="463">J232+P232+V232</f>
        <v>15979</v>
      </c>
      <c r="E232" s="6">
        <f t="shared" si="463"/>
        <v>5410</v>
      </c>
      <c r="F232" s="6">
        <f t="shared" si="463"/>
        <v>10569</v>
      </c>
      <c r="G232" s="6"/>
      <c r="H232" s="6" t="s">
        <v>49</v>
      </c>
      <c r="I232" s="6" t="s">
        <v>24</v>
      </c>
      <c r="J232" s="5">
        <f t="shared" si="5"/>
        <v>1077</v>
      </c>
      <c r="K232" s="7">
        <v>555.0</v>
      </c>
      <c r="L232" s="7">
        <v>522.0</v>
      </c>
      <c r="M232" s="5"/>
      <c r="N232" s="8" t="s">
        <v>50</v>
      </c>
      <c r="O232" s="9" t="s">
        <v>25</v>
      </c>
      <c r="P232" s="5">
        <f t="shared" si="6"/>
        <v>4398</v>
      </c>
      <c r="Q232" s="8">
        <v>2711.0</v>
      </c>
      <c r="R232" s="8">
        <v>1687.0</v>
      </c>
      <c r="T232" s="1" t="s">
        <v>50</v>
      </c>
      <c r="U232" s="11" t="s">
        <v>25</v>
      </c>
      <c r="V232" s="5">
        <f t="shared" si="7"/>
        <v>10504</v>
      </c>
      <c r="W232" s="1">
        <v>2144.0</v>
      </c>
      <c r="X232" s="1">
        <v>8360.0</v>
      </c>
    </row>
    <row r="233">
      <c r="B233" s="6" t="str">
        <f t="shared" ref="B233:C233" si="464">H233</f>
        <v>Southern Maratha Jaghirs</v>
      </c>
      <c r="C233" s="6" t="str">
        <f t="shared" si="464"/>
        <v>45–49</v>
      </c>
      <c r="D233" s="6">
        <f t="shared" ref="D233:F233" si="465">J233+P233+V233</f>
        <v>8477</v>
      </c>
      <c r="E233" s="6">
        <f t="shared" si="465"/>
        <v>3030</v>
      </c>
      <c r="F233" s="6">
        <f t="shared" si="465"/>
        <v>5447</v>
      </c>
      <c r="G233" s="6"/>
      <c r="H233" s="6" t="s">
        <v>49</v>
      </c>
      <c r="I233" s="6" t="s">
        <v>26</v>
      </c>
      <c r="J233" s="5">
        <f t="shared" si="5"/>
        <v>426</v>
      </c>
      <c r="K233" s="7">
        <v>210.0</v>
      </c>
      <c r="L233" s="8">
        <v>216.0</v>
      </c>
      <c r="M233" s="5"/>
      <c r="N233" s="8" t="s">
        <v>50</v>
      </c>
      <c r="O233" s="9" t="s">
        <v>27</v>
      </c>
      <c r="P233" s="5">
        <f t="shared" si="6"/>
        <v>1826</v>
      </c>
      <c r="Q233" s="8">
        <v>1319.0</v>
      </c>
      <c r="R233" s="8">
        <v>507.0</v>
      </c>
      <c r="T233" s="1" t="s">
        <v>50</v>
      </c>
      <c r="U233" s="11" t="s">
        <v>27</v>
      </c>
      <c r="V233" s="5">
        <f t="shared" si="7"/>
        <v>6225</v>
      </c>
      <c r="W233" s="1">
        <v>1501.0</v>
      </c>
      <c r="X233" s="1">
        <v>4724.0</v>
      </c>
    </row>
    <row r="234">
      <c r="B234" s="6" t="str">
        <f t="shared" ref="B234:C234" si="466">H234</f>
        <v>Southern Maratha Jaghirs</v>
      </c>
      <c r="C234" s="6" t="str">
        <f t="shared" si="466"/>
        <v>50–54</v>
      </c>
      <c r="D234" s="6">
        <f t="shared" ref="D234:F234" si="467">J234+P234+V234</f>
        <v>15546</v>
      </c>
      <c r="E234" s="6">
        <f t="shared" si="467"/>
        <v>4384</v>
      </c>
      <c r="F234" s="6">
        <f t="shared" si="467"/>
        <v>11162</v>
      </c>
      <c r="G234" s="6"/>
      <c r="H234" s="6" t="s">
        <v>49</v>
      </c>
      <c r="I234" s="6" t="s">
        <v>28</v>
      </c>
      <c r="J234" s="5">
        <f t="shared" si="5"/>
        <v>598</v>
      </c>
      <c r="K234" s="7">
        <v>250.0</v>
      </c>
      <c r="L234" s="7">
        <v>348.0</v>
      </c>
      <c r="M234" s="5"/>
      <c r="N234" s="8" t="s">
        <v>50</v>
      </c>
      <c r="O234" s="9" t="s">
        <v>29</v>
      </c>
      <c r="P234" s="5">
        <f t="shared" si="6"/>
        <v>2238</v>
      </c>
      <c r="Q234" s="8">
        <v>1611.0</v>
      </c>
      <c r="R234" s="8">
        <v>627.0</v>
      </c>
      <c r="T234" s="1" t="s">
        <v>50</v>
      </c>
      <c r="U234" s="11" t="s">
        <v>29</v>
      </c>
      <c r="V234" s="5">
        <f t="shared" si="7"/>
        <v>12710</v>
      </c>
      <c r="W234" s="1">
        <v>2523.0</v>
      </c>
      <c r="X234" s="1">
        <v>10187.0</v>
      </c>
    </row>
    <row r="235">
      <c r="B235" s="6" t="str">
        <f t="shared" ref="B235:C235" si="468">H235</f>
        <v>Southern Maratha Jaghirs</v>
      </c>
      <c r="C235" s="6" t="str">
        <f t="shared" si="468"/>
        <v>55–59</v>
      </c>
      <c r="D235" s="6">
        <f t="shared" ref="D235:F235" si="469">J235+P235+V235</f>
        <v>5369</v>
      </c>
      <c r="E235" s="6">
        <f t="shared" si="469"/>
        <v>1757</v>
      </c>
      <c r="F235" s="6">
        <f t="shared" si="469"/>
        <v>3612</v>
      </c>
      <c r="G235" s="6"/>
      <c r="H235" s="6" t="s">
        <v>49</v>
      </c>
      <c r="I235" s="6" t="s">
        <v>30</v>
      </c>
      <c r="J235" s="5">
        <f t="shared" si="5"/>
        <v>180</v>
      </c>
      <c r="K235" s="7">
        <v>85.0</v>
      </c>
      <c r="L235" s="7">
        <v>95.0</v>
      </c>
      <c r="M235" s="5"/>
      <c r="N235" s="8" t="s">
        <v>50</v>
      </c>
      <c r="O235" s="9" t="s">
        <v>31</v>
      </c>
      <c r="P235" s="5">
        <f t="shared" si="6"/>
        <v>669</v>
      </c>
      <c r="Q235" s="8">
        <v>556.0</v>
      </c>
      <c r="R235" s="8">
        <v>113.0</v>
      </c>
      <c r="T235" s="1" t="s">
        <v>50</v>
      </c>
      <c r="U235" s="11" t="s">
        <v>31</v>
      </c>
      <c r="V235" s="5">
        <f t="shared" si="7"/>
        <v>4520</v>
      </c>
      <c r="W235" s="1">
        <v>1116.0</v>
      </c>
      <c r="X235" s="1">
        <v>3404.0</v>
      </c>
    </row>
    <row r="236">
      <c r="B236" s="6" t="str">
        <f t="shared" ref="B236:C236" si="470">H236</f>
        <v>Southern Maratha Jaghirs</v>
      </c>
      <c r="C236" s="6" t="str">
        <f t="shared" si="470"/>
        <v>60 and over</v>
      </c>
      <c r="D236" s="6">
        <f t="shared" ref="D236:F236" si="471">J236+P236+V236</f>
        <v>26042</v>
      </c>
      <c r="E236" s="6">
        <f t="shared" si="471"/>
        <v>6772</v>
      </c>
      <c r="F236" s="6">
        <f t="shared" si="471"/>
        <v>19270</v>
      </c>
      <c r="G236" s="6"/>
      <c r="H236" s="6" t="s">
        <v>49</v>
      </c>
      <c r="I236" s="6" t="s">
        <v>32</v>
      </c>
      <c r="J236" s="5">
        <f t="shared" si="5"/>
        <v>579</v>
      </c>
      <c r="K236" s="8">
        <v>237.0</v>
      </c>
      <c r="L236" s="8">
        <v>342.0</v>
      </c>
      <c r="M236" s="5"/>
      <c r="N236" s="8" t="s">
        <v>50</v>
      </c>
      <c r="O236" s="6" t="s">
        <v>32</v>
      </c>
      <c r="P236" s="5">
        <f t="shared" si="6"/>
        <v>1410</v>
      </c>
      <c r="Q236" s="8">
        <v>1163.0</v>
      </c>
      <c r="R236" s="8">
        <v>247.0</v>
      </c>
      <c r="T236" s="1" t="s">
        <v>50</v>
      </c>
      <c r="U236" s="6" t="s">
        <v>32</v>
      </c>
      <c r="V236" s="5">
        <f t="shared" si="7"/>
        <v>24053</v>
      </c>
      <c r="W236" s="1">
        <v>5372.0</v>
      </c>
      <c r="X236" s="1">
        <v>18681.0</v>
      </c>
    </row>
    <row r="237">
      <c r="B237" s="6" t="str">
        <f t="shared" ref="B237:C237" si="472">H237</f>
        <v>Sawanur</v>
      </c>
      <c r="C237" s="6" t="str">
        <f t="shared" si="472"/>
        <v>0–4</v>
      </c>
      <c r="D237" s="6">
        <f t="shared" ref="D237:F237" si="473">J237+P237+V237</f>
        <v>2662</v>
      </c>
      <c r="E237" s="6">
        <f t="shared" si="473"/>
        <v>1291</v>
      </c>
      <c r="F237" s="6">
        <f t="shared" si="473"/>
        <v>1371</v>
      </c>
      <c r="G237" s="6"/>
      <c r="H237" s="6" t="s">
        <v>51</v>
      </c>
      <c r="I237" s="6" t="s">
        <v>10</v>
      </c>
      <c r="J237" s="5">
        <f t="shared" si="5"/>
        <v>2625</v>
      </c>
      <c r="K237" s="7">
        <v>1290.0</v>
      </c>
      <c r="L237" s="7">
        <v>1335.0</v>
      </c>
      <c r="M237" s="5"/>
      <c r="N237" s="6" t="s">
        <v>51</v>
      </c>
      <c r="O237" s="9" t="s">
        <v>11</v>
      </c>
      <c r="P237" s="5">
        <f t="shared" si="6"/>
        <v>37</v>
      </c>
      <c r="Q237" s="10">
        <v>1.0</v>
      </c>
      <c r="R237" s="10">
        <v>36.0</v>
      </c>
      <c r="T237" s="1" t="s">
        <v>51</v>
      </c>
      <c r="U237" s="11" t="s">
        <v>11</v>
      </c>
      <c r="V237" s="5">
        <f t="shared" si="7"/>
        <v>0</v>
      </c>
      <c r="W237" s="1">
        <v>0.0</v>
      </c>
      <c r="X237" s="1">
        <v>0.0</v>
      </c>
    </row>
    <row r="238">
      <c r="B238" s="6" t="str">
        <f t="shared" ref="B238:C238" si="474">H238</f>
        <v>Sawanur</v>
      </c>
      <c r="C238" s="6" t="str">
        <f t="shared" si="474"/>
        <v>5–9</v>
      </c>
      <c r="D238" s="6">
        <f t="shared" ref="D238:F238" si="475">J238+P238+V238</f>
        <v>2521</v>
      </c>
      <c r="E238" s="6">
        <f t="shared" si="475"/>
        <v>1246</v>
      </c>
      <c r="F238" s="6">
        <f t="shared" si="475"/>
        <v>1275</v>
      </c>
      <c r="G238" s="6"/>
      <c r="H238" s="6" t="s">
        <v>51</v>
      </c>
      <c r="I238" s="6" t="s">
        <v>12</v>
      </c>
      <c r="J238" s="5">
        <f t="shared" si="5"/>
        <v>2173</v>
      </c>
      <c r="K238" s="7">
        <v>1148.0</v>
      </c>
      <c r="L238" s="7">
        <v>1025.0</v>
      </c>
      <c r="M238" s="5"/>
      <c r="N238" s="8" t="s">
        <v>51</v>
      </c>
      <c r="O238" s="12">
        <v>45786.0</v>
      </c>
      <c r="P238" s="5">
        <f t="shared" si="6"/>
        <v>341</v>
      </c>
      <c r="Q238" s="10">
        <v>95.0</v>
      </c>
      <c r="R238" s="10">
        <v>246.0</v>
      </c>
      <c r="T238" s="1" t="s">
        <v>51</v>
      </c>
      <c r="U238" s="13">
        <v>45786.0</v>
      </c>
      <c r="V238" s="5">
        <f t="shared" si="7"/>
        <v>7</v>
      </c>
      <c r="W238" s="1">
        <v>3.0</v>
      </c>
      <c r="X238" s="1">
        <v>4.0</v>
      </c>
    </row>
    <row r="239">
      <c r="B239" s="6" t="str">
        <f t="shared" ref="B239:C239" si="476">H239</f>
        <v>Sawanur</v>
      </c>
      <c r="C239" s="6" t="str">
        <f t="shared" si="476"/>
        <v>10–14</v>
      </c>
      <c r="D239" s="6">
        <f t="shared" ref="D239:F239" si="477">J239+P239+V239</f>
        <v>1641</v>
      </c>
      <c r="E239" s="6">
        <f t="shared" si="477"/>
        <v>900</v>
      </c>
      <c r="F239" s="6">
        <f t="shared" si="477"/>
        <v>741</v>
      </c>
      <c r="G239" s="6"/>
      <c r="H239" s="6" t="s">
        <v>51</v>
      </c>
      <c r="I239" s="6" t="s">
        <v>13</v>
      </c>
      <c r="J239" s="5">
        <f t="shared" si="5"/>
        <v>1208</v>
      </c>
      <c r="K239" s="7">
        <v>828.0</v>
      </c>
      <c r="L239" s="7">
        <v>380.0</v>
      </c>
      <c r="M239" s="5"/>
      <c r="N239" s="8" t="s">
        <v>51</v>
      </c>
      <c r="O239" s="12">
        <v>45944.0</v>
      </c>
      <c r="P239" s="5">
        <f t="shared" si="6"/>
        <v>419</v>
      </c>
      <c r="Q239" s="10">
        <v>69.0</v>
      </c>
      <c r="R239" s="10">
        <v>350.0</v>
      </c>
      <c r="T239" s="1" t="s">
        <v>51</v>
      </c>
      <c r="U239" s="13">
        <v>45944.0</v>
      </c>
      <c r="V239" s="5">
        <f t="shared" si="7"/>
        <v>14</v>
      </c>
      <c r="W239" s="1">
        <v>3.0</v>
      </c>
      <c r="X239" s="1">
        <v>11.0</v>
      </c>
    </row>
    <row r="240">
      <c r="B240" s="6" t="str">
        <f t="shared" ref="B240:C240" si="478">H240</f>
        <v>Sawanur</v>
      </c>
      <c r="C240" s="6" t="str">
        <f t="shared" si="478"/>
        <v>15–19</v>
      </c>
      <c r="D240" s="6">
        <f t="shared" ref="D240:F240" si="479">J240+P240+V240</f>
        <v>1165</v>
      </c>
      <c r="E240" s="6">
        <f t="shared" si="479"/>
        <v>593</v>
      </c>
      <c r="F240" s="6">
        <f t="shared" si="479"/>
        <v>572</v>
      </c>
      <c r="G240" s="6"/>
      <c r="H240" s="6" t="s">
        <v>51</v>
      </c>
      <c r="I240" s="6" t="s">
        <v>14</v>
      </c>
      <c r="J240" s="5">
        <f t="shared" si="5"/>
        <v>508</v>
      </c>
      <c r="K240" s="7">
        <v>439.0</v>
      </c>
      <c r="L240" s="7">
        <v>69.0</v>
      </c>
      <c r="M240" s="5"/>
      <c r="N240" s="8" t="s">
        <v>51</v>
      </c>
      <c r="O240" s="9" t="s">
        <v>15</v>
      </c>
      <c r="P240" s="5">
        <f t="shared" si="6"/>
        <v>633</v>
      </c>
      <c r="Q240" s="10">
        <v>147.0</v>
      </c>
      <c r="R240" s="10">
        <v>486.0</v>
      </c>
      <c r="T240" s="1" t="s">
        <v>51</v>
      </c>
      <c r="U240" s="11" t="s">
        <v>15</v>
      </c>
      <c r="V240" s="5">
        <f t="shared" si="7"/>
        <v>24</v>
      </c>
      <c r="W240" s="1">
        <v>7.0</v>
      </c>
      <c r="X240" s="1">
        <v>17.0</v>
      </c>
    </row>
    <row r="241">
      <c r="B241" s="6" t="str">
        <f t="shared" ref="B241:C241" si="480">H241</f>
        <v>Sawanur</v>
      </c>
      <c r="C241" s="6" t="str">
        <f t="shared" si="480"/>
        <v>20–24</v>
      </c>
      <c r="D241" s="6">
        <f t="shared" ref="D241:F241" si="481">J241+P241+V241</f>
        <v>1416</v>
      </c>
      <c r="E241" s="6">
        <f t="shared" si="481"/>
        <v>687</v>
      </c>
      <c r="F241" s="6">
        <f t="shared" si="481"/>
        <v>729</v>
      </c>
      <c r="G241" s="6"/>
      <c r="H241" s="6" t="s">
        <v>51</v>
      </c>
      <c r="I241" s="6" t="s">
        <v>16</v>
      </c>
      <c r="J241" s="5">
        <f t="shared" si="5"/>
        <v>362</v>
      </c>
      <c r="K241" s="7">
        <v>317.0</v>
      </c>
      <c r="L241" s="7">
        <v>45.0</v>
      </c>
      <c r="M241" s="5"/>
      <c r="N241" s="8" t="s">
        <v>51</v>
      </c>
      <c r="O241" s="9" t="s">
        <v>17</v>
      </c>
      <c r="P241" s="5">
        <f t="shared" si="6"/>
        <v>1012</v>
      </c>
      <c r="Q241" s="10">
        <v>363.0</v>
      </c>
      <c r="R241" s="10">
        <v>649.0</v>
      </c>
      <c r="T241" s="1" t="s">
        <v>51</v>
      </c>
      <c r="U241" s="11" t="s">
        <v>17</v>
      </c>
      <c r="V241" s="5">
        <f t="shared" si="7"/>
        <v>42</v>
      </c>
      <c r="W241" s="1">
        <v>7.0</v>
      </c>
      <c r="X241" s="1">
        <v>35.0</v>
      </c>
    </row>
    <row r="242">
      <c r="B242" s="6" t="str">
        <f t="shared" ref="B242:C242" si="482">H242</f>
        <v>Sawanur</v>
      </c>
      <c r="C242" s="6" t="str">
        <f t="shared" si="482"/>
        <v>25–29</v>
      </c>
      <c r="D242" s="6">
        <f t="shared" ref="D242:F242" si="483">J242+P242+V242</f>
        <v>7854</v>
      </c>
      <c r="E242" s="6">
        <f t="shared" si="483"/>
        <v>3961</v>
      </c>
      <c r="F242" s="6">
        <f t="shared" si="483"/>
        <v>3893</v>
      </c>
      <c r="G242" s="6"/>
      <c r="H242" s="6" t="s">
        <v>51</v>
      </c>
      <c r="I242" s="6" t="s">
        <v>18</v>
      </c>
      <c r="J242" s="5">
        <f t="shared" si="5"/>
        <v>175</v>
      </c>
      <c r="K242" s="7">
        <v>152.0</v>
      </c>
      <c r="L242" s="7">
        <v>23.0</v>
      </c>
      <c r="M242" s="5"/>
      <c r="N242" s="8" t="s">
        <v>51</v>
      </c>
      <c r="O242" s="9" t="s">
        <v>19</v>
      </c>
      <c r="P242" s="5">
        <f t="shared" si="6"/>
        <v>7595</v>
      </c>
      <c r="Q242" s="8">
        <v>3787.0</v>
      </c>
      <c r="R242" s="8">
        <v>3808.0</v>
      </c>
      <c r="T242" s="1" t="s">
        <v>51</v>
      </c>
      <c r="U242" s="11" t="s">
        <v>19</v>
      </c>
      <c r="V242" s="5">
        <f t="shared" si="7"/>
        <v>84</v>
      </c>
      <c r="W242" s="1">
        <v>22.0</v>
      </c>
      <c r="X242" s="1">
        <v>62.0</v>
      </c>
    </row>
    <row r="243">
      <c r="B243" s="6" t="str">
        <f t="shared" ref="B243:C243" si="484">H243</f>
        <v>Sawanur</v>
      </c>
      <c r="C243" s="6" t="str">
        <f t="shared" si="484"/>
        <v>30–34</v>
      </c>
      <c r="D243" s="6">
        <f t="shared" ref="D243:F243" si="485">J243+P243+V243</f>
        <v>7381</v>
      </c>
      <c r="E243" s="6">
        <f t="shared" si="485"/>
        <v>3825</v>
      </c>
      <c r="F243" s="6">
        <f t="shared" si="485"/>
        <v>3556</v>
      </c>
      <c r="G243" s="6"/>
      <c r="H243" s="6" t="s">
        <v>51</v>
      </c>
      <c r="I243" s="6" t="s">
        <v>20</v>
      </c>
      <c r="J243" s="5">
        <f t="shared" si="5"/>
        <v>100</v>
      </c>
      <c r="K243" s="7">
        <v>67.0</v>
      </c>
      <c r="L243" s="7">
        <v>33.0</v>
      </c>
      <c r="M243" s="5"/>
      <c r="N243" s="8" t="s">
        <v>51</v>
      </c>
      <c r="O243" s="9" t="s">
        <v>21</v>
      </c>
      <c r="P243" s="5">
        <f t="shared" si="6"/>
        <v>7131</v>
      </c>
      <c r="Q243" s="8">
        <v>3729.0</v>
      </c>
      <c r="R243" s="8">
        <v>3402.0</v>
      </c>
      <c r="T243" s="1" t="s">
        <v>51</v>
      </c>
      <c r="U243" s="11" t="s">
        <v>21</v>
      </c>
      <c r="V243" s="5">
        <f t="shared" si="7"/>
        <v>150</v>
      </c>
      <c r="W243" s="1">
        <v>29.0</v>
      </c>
      <c r="X243" s="1">
        <v>121.0</v>
      </c>
    </row>
    <row r="244">
      <c r="B244" s="6" t="str">
        <f t="shared" ref="B244:C244" si="486">H244</f>
        <v>Sawanur</v>
      </c>
      <c r="C244" s="6" t="str">
        <f t="shared" si="486"/>
        <v>35–39</v>
      </c>
      <c r="D244" s="6">
        <f t="shared" ref="D244:F244" si="487">J244+P244+V244</f>
        <v>4816</v>
      </c>
      <c r="E244" s="6">
        <f t="shared" si="487"/>
        <v>2790</v>
      </c>
      <c r="F244" s="6">
        <f t="shared" si="487"/>
        <v>2026</v>
      </c>
      <c r="G244" s="6"/>
      <c r="H244" s="6" t="s">
        <v>51</v>
      </c>
      <c r="I244" s="6" t="s">
        <v>22</v>
      </c>
      <c r="J244" s="5">
        <f t="shared" si="5"/>
        <v>42</v>
      </c>
      <c r="K244" s="7">
        <v>27.0</v>
      </c>
      <c r="L244" s="7">
        <v>15.0</v>
      </c>
      <c r="M244" s="5"/>
      <c r="N244" s="8" t="s">
        <v>51</v>
      </c>
      <c r="O244" s="9" t="s">
        <v>23</v>
      </c>
      <c r="P244" s="5">
        <f t="shared" si="6"/>
        <v>4614</v>
      </c>
      <c r="Q244" s="8">
        <v>2730.0</v>
      </c>
      <c r="R244" s="8">
        <v>1884.0</v>
      </c>
      <c r="T244" s="1" t="s">
        <v>51</v>
      </c>
      <c r="U244" s="11" t="s">
        <v>23</v>
      </c>
      <c r="V244" s="5">
        <f t="shared" si="7"/>
        <v>160</v>
      </c>
      <c r="W244" s="1">
        <v>33.0</v>
      </c>
      <c r="X244" s="1">
        <v>127.0</v>
      </c>
    </row>
    <row r="245">
      <c r="B245" s="6" t="str">
        <f t="shared" ref="B245:C245" si="488">H245</f>
        <v>Sawanur</v>
      </c>
      <c r="C245" s="6" t="str">
        <f t="shared" si="488"/>
        <v>40–44</v>
      </c>
      <c r="D245" s="6">
        <f t="shared" ref="D245:F245" si="489">J245+P245+V245</f>
        <v>4162</v>
      </c>
      <c r="E245" s="6">
        <f t="shared" si="489"/>
        <v>2103</v>
      </c>
      <c r="F245" s="6">
        <f t="shared" si="489"/>
        <v>2059</v>
      </c>
      <c r="G245" s="6"/>
      <c r="H245" s="6" t="s">
        <v>51</v>
      </c>
      <c r="I245" s="6" t="s">
        <v>24</v>
      </c>
      <c r="J245" s="5">
        <f t="shared" si="5"/>
        <v>34</v>
      </c>
      <c r="K245" s="7">
        <v>22.0</v>
      </c>
      <c r="L245" s="7">
        <v>12.0</v>
      </c>
      <c r="M245" s="5"/>
      <c r="N245" s="8" t="s">
        <v>51</v>
      </c>
      <c r="O245" s="9" t="s">
        <v>25</v>
      </c>
      <c r="P245" s="5">
        <f t="shared" si="6"/>
        <v>3872</v>
      </c>
      <c r="Q245" s="8">
        <v>2024.0</v>
      </c>
      <c r="R245" s="8">
        <v>1848.0</v>
      </c>
      <c r="T245" s="1" t="s">
        <v>51</v>
      </c>
      <c r="U245" s="11" t="s">
        <v>25</v>
      </c>
      <c r="V245" s="5">
        <f t="shared" si="7"/>
        <v>256</v>
      </c>
      <c r="W245" s="1">
        <v>57.0</v>
      </c>
      <c r="X245" s="1">
        <v>199.0</v>
      </c>
    </row>
    <row r="246">
      <c r="B246" s="6" t="str">
        <f t="shared" ref="B246:C246" si="490">H246</f>
        <v>Sawanur</v>
      </c>
      <c r="C246" s="6" t="str">
        <f t="shared" si="490"/>
        <v>45–49</v>
      </c>
      <c r="D246" s="6">
        <f t="shared" ref="D246:F246" si="491">J246+P246+V246</f>
        <v>9772</v>
      </c>
      <c r="E246" s="6">
        <f t="shared" si="491"/>
        <v>1757</v>
      </c>
      <c r="F246" s="6">
        <f t="shared" si="491"/>
        <v>8015</v>
      </c>
      <c r="G246" s="6"/>
      <c r="H246" s="6" t="s">
        <v>51</v>
      </c>
      <c r="I246" s="6" t="s">
        <v>26</v>
      </c>
      <c r="J246" s="5">
        <f t="shared" si="5"/>
        <v>14</v>
      </c>
      <c r="K246" s="7">
        <v>9.0</v>
      </c>
      <c r="L246" s="7">
        <v>5.0</v>
      </c>
      <c r="M246" s="5"/>
      <c r="N246" s="8" t="s">
        <v>51</v>
      </c>
      <c r="O246" s="9" t="s">
        <v>27</v>
      </c>
      <c r="P246" s="5">
        <f t="shared" si="6"/>
        <v>9617</v>
      </c>
      <c r="Q246" s="8">
        <v>1710.0</v>
      </c>
      <c r="R246" s="8">
        <v>7907.0</v>
      </c>
      <c r="T246" s="1" t="s">
        <v>51</v>
      </c>
      <c r="U246" s="11" t="s">
        <v>27</v>
      </c>
      <c r="V246" s="5">
        <f t="shared" si="7"/>
        <v>141</v>
      </c>
      <c r="W246" s="1">
        <v>38.0</v>
      </c>
      <c r="X246" s="1">
        <v>103.0</v>
      </c>
    </row>
    <row r="247">
      <c r="B247" s="6" t="str">
        <f t="shared" ref="B247:C247" si="492">H247</f>
        <v>Sawanur</v>
      </c>
      <c r="C247" s="6" t="str">
        <f t="shared" si="492"/>
        <v>50–54</v>
      </c>
      <c r="D247" s="6">
        <f t="shared" ref="D247:F247" si="493">J247+P247+V247</f>
        <v>9928</v>
      </c>
      <c r="E247" s="6">
        <f t="shared" si="493"/>
        <v>1947</v>
      </c>
      <c r="F247" s="6">
        <f t="shared" si="493"/>
        <v>7981</v>
      </c>
      <c r="G247" s="6"/>
      <c r="H247" s="6" t="s">
        <v>51</v>
      </c>
      <c r="I247" s="6" t="s">
        <v>28</v>
      </c>
      <c r="J247" s="5">
        <f t="shared" si="5"/>
        <v>33</v>
      </c>
      <c r="K247" s="7">
        <v>18.0</v>
      </c>
      <c r="L247" s="7">
        <v>15.0</v>
      </c>
      <c r="M247" s="5"/>
      <c r="N247" s="8" t="s">
        <v>51</v>
      </c>
      <c r="O247" s="9" t="s">
        <v>29</v>
      </c>
      <c r="P247" s="5">
        <f t="shared" si="6"/>
        <v>9504</v>
      </c>
      <c r="Q247" s="8">
        <v>1848.0</v>
      </c>
      <c r="R247" s="8">
        <v>7656.0</v>
      </c>
      <c r="T247" s="1" t="s">
        <v>51</v>
      </c>
      <c r="U247" s="11" t="s">
        <v>29</v>
      </c>
      <c r="V247" s="5">
        <f t="shared" si="7"/>
        <v>391</v>
      </c>
      <c r="W247" s="1">
        <v>81.0</v>
      </c>
      <c r="X247" s="1">
        <v>310.0</v>
      </c>
    </row>
    <row r="248">
      <c r="B248" s="6" t="str">
        <f t="shared" ref="B248:C248" si="494">H248</f>
        <v>Sawanur</v>
      </c>
      <c r="C248" s="6" t="str">
        <f t="shared" si="494"/>
        <v>55–59</v>
      </c>
      <c r="D248" s="6">
        <f t="shared" ref="D248:F248" si="495">J248+P248+V248</f>
        <v>9239</v>
      </c>
      <c r="E248" s="6">
        <f t="shared" si="495"/>
        <v>6993</v>
      </c>
      <c r="F248" s="6">
        <f t="shared" si="495"/>
        <v>2246</v>
      </c>
      <c r="G248" s="6"/>
      <c r="H248" s="6" t="s">
        <v>51</v>
      </c>
      <c r="I248" s="6" t="s">
        <v>30</v>
      </c>
      <c r="J248" s="5">
        <f t="shared" si="5"/>
        <v>4</v>
      </c>
      <c r="K248" s="7">
        <v>1.0</v>
      </c>
      <c r="L248" s="7">
        <v>3.0</v>
      </c>
      <c r="M248" s="5"/>
      <c r="N248" s="8" t="s">
        <v>51</v>
      </c>
      <c r="O248" s="9" t="s">
        <v>31</v>
      </c>
      <c r="P248" s="5">
        <f t="shared" si="6"/>
        <v>9078</v>
      </c>
      <c r="Q248" s="8">
        <v>6956.0</v>
      </c>
      <c r="R248" s="8">
        <v>2122.0</v>
      </c>
      <c r="T248" s="1" t="s">
        <v>51</v>
      </c>
      <c r="U248" s="11" t="s">
        <v>31</v>
      </c>
      <c r="V248" s="5">
        <f t="shared" si="7"/>
        <v>157</v>
      </c>
      <c r="W248" s="1">
        <v>36.0</v>
      </c>
      <c r="X248" s="1">
        <v>121.0</v>
      </c>
    </row>
    <row r="249">
      <c r="B249" s="6" t="str">
        <f t="shared" ref="B249:C249" si="496">H249</f>
        <v>Sawanur</v>
      </c>
      <c r="C249" s="6" t="str">
        <f t="shared" si="496"/>
        <v>60 and over</v>
      </c>
      <c r="D249" s="6">
        <f t="shared" ref="D249:F249" si="497">J249+P249+V249</f>
        <v>21144</v>
      </c>
      <c r="E249" s="6">
        <f t="shared" si="497"/>
        <v>16712</v>
      </c>
      <c r="F249" s="6">
        <f t="shared" si="497"/>
        <v>4432</v>
      </c>
      <c r="G249" s="6"/>
      <c r="H249" s="6" t="s">
        <v>51</v>
      </c>
      <c r="I249" s="6" t="s">
        <v>32</v>
      </c>
      <c r="J249" s="5">
        <f t="shared" si="5"/>
        <v>23</v>
      </c>
      <c r="K249" s="7">
        <v>9.0</v>
      </c>
      <c r="L249" s="7">
        <v>14.0</v>
      </c>
      <c r="M249" s="5"/>
      <c r="N249" s="8" t="s">
        <v>51</v>
      </c>
      <c r="O249" s="6" t="s">
        <v>32</v>
      </c>
      <c r="P249" s="5">
        <f t="shared" si="6"/>
        <v>20466</v>
      </c>
      <c r="Q249" s="8">
        <v>16577.0</v>
      </c>
      <c r="R249" s="8">
        <v>3889.0</v>
      </c>
      <c r="T249" s="1" t="s">
        <v>51</v>
      </c>
      <c r="U249" s="6" t="s">
        <v>32</v>
      </c>
      <c r="V249" s="5">
        <f t="shared" si="7"/>
        <v>655</v>
      </c>
      <c r="W249" s="1">
        <v>126.0</v>
      </c>
      <c r="X249" s="1">
        <v>529.0</v>
      </c>
    </row>
    <row r="250">
      <c r="B250" s="6" t="str">
        <f t="shared" ref="B250:C250" si="498">H250</f>
        <v>Khairpur</v>
      </c>
      <c r="C250" s="6" t="str">
        <f t="shared" si="498"/>
        <v>0–4</v>
      </c>
      <c r="D250" s="6">
        <f t="shared" ref="D250:F250" si="499">J250+P250+V250</f>
        <v>20529</v>
      </c>
      <c r="E250" s="6">
        <f t="shared" si="499"/>
        <v>11009</v>
      </c>
      <c r="F250" s="6">
        <f t="shared" si="499"/>
        <v>9520</v>
      </c>
      <c r="G250" s="6"/>
      <c r="H250" s="6" t="s">
        <v>52</v>
      </c>
      <c r="I250" s="6" t="s">
        <v>10</v>
      </c>
      <c r="J250" s="5">
        <f t="shared" si="5"/>
        <v>20465</v>
      </c>
      <c r="K250" s="8">
        <v>10980.0</v>
      </c>
      <c r="L250" s="8">
        <v>9485.0</v>
      </c>
      <c r="M250" s="5"/>
      <c r="N250" s="8" t="s">
        <v>52</v>
      </c>
      <c r="O250" s="9" t="s">
        <v>11</v>
      </c>
      <c r="P250" s="5">
        <f t="shared" si="6"/>
        <v>64</v>
      </c>
      <c r="Q250" s="10">
        <v>29.0</v>
      </c>
      <c r="R250" s="10">
        <v>35.0</v>
      </c>
      <c r="T250" s="1" t="s">
        <v>52</v>
      </c>
      <c r="U250" s="11" t="s">
        <v>11</v>
      </c>
      <c r="V250" s="5">
        <f t="shared" si="7"/>
        <v>0</v>
      </c>
      <c r="W250" s="1">
        <v>0.0</v>
      </c>
      <c r="X250" s="1">
        <v>0.0</v>
      </c>
    </row>
    <row r="251">
      <c r="B251" s="6" t="str">
        <f t="shared" ref="B251:C251" si="500">H251</f>
        <v>Khairpur</v>
      </c>
      <c r="C251" s="6" t="str">
        <f t="shared" si="500"/>
        <v>5–9</v>
      </c>
      <c r="D251" s="6">
        <f t="shared" ref="D251:F251" si="501">J251+P251+V251</f>
        <v>18323</v>
      </c>
      <c r="E251" s="6">
        <f t="shared" si="501"/>
        <v>11060</v>
      </c>
      <c r="F251" s="6">
        <f t="shared" si="501"/>
        <v>7263</v>
      </c>
      <c r="G251" s="6"/>
      <c r="H251" s="6" t="s">
        <v>52</v>
      </c>
      <c r="I251" s="6" t="s">
        <v>12</v>
      </c>
      <c r="J251" s="5">
        <f t="shared" si="5"/>
        <v>18147</v>
      </c>
      <c r="K251" s="8">
        <v>10987.0</v>
      </c>
      <c r="L251" s="8">
        <v>7160.0</v>
      </c>
      <c r="M251" s="5"/>
      <c r="N251" s="8" t="s">
        <v>52</v>
      </c>
      <c r="O251" s="12">
        <v>45786.0</v>
      </c>
      <c r="P251" s="5">
        <f t="shared" si="6"/>
        <v>170</v>
      </c>
      <c r="Q251" s="10">
        <v>70.0</v>
      </c>
      <c r="R251" s="10">
        <v>100.0</v>
      </c>
      <c r="T251" s="1" t="s">
        <v>52</v>
      </c>
      <c r="U251" s="13">
        <v>45786.0</v>
      </c>
      <c r="V251" s="5">
        <f t="shared" si="7"/>
        <v>6</v>
      </c>
      <c r="W251" s="1">
        <v>3.0</v>
      </c>
      <c r="X251" s="1">
        <v>3.0</v>
      </c>
    </row>
    <row r="252">
      <c r="B252" s="6" t="str">
        <f t="shared" ref="B252:C252" si="502">H252</f>
        <v>Khairpur</v>
      </c>
      <c r="C252" s="6" t="str">
        <f t="shared" si="502"/>
        <v>10–14</v>
      </c>
      <c r="D252" s="6">
        <f t="shared" ref="D252:F252" si="503">J252+P252+V252</f>
        <v>9623</v>
      </c>
      <c r="E252" s="6">
        <f t="shared" si="503"/>
        <v>6044</v>
      </c>
      <c r="F252" s="6">
        <f t="shared" si="503"/>
        <v>3579</v>
      </c>
      <c r="G252" s="6"/>
      <c r="H252" s="6" t="s">
        <v>52</v>
      </c>
      <c r="I252" s="6" t="s">
        <v>13</v>
      </c>
      <c r="J252" s="5">
        <f t="shared" si="5"/>
        <v>8102</v>
      </c>
      <c r="K252" s="8">
        <v>5701.0</v>
      </c>
      <c r="L252" s="8">
        <v>2401.0</v>
      </c>
      <c r="M252" s="5"/>
      <c r="N252" s="8" t="s">
        <v>52</v>
      </c>
      <c r="O252" s="12">
        <v>45944.0</v>
      </c>
      <c r="P252" s="5">
        <f t="shared" si="6"/>
        <v>1506</v>
      </c>
      <c r="Q252" s="10">
        <v>340.0</v>
      </c>
      <c r="R252" s="10">
        <v>1166.0</v>
      </c>
      <c r="T252" s="1" t="s">
        <v>52</v>
      </c>
      <c r="U252" s="13">
        <v>45944.0</v>
      </c>
      <c r="V252" s="5">
        <f t="shared" si="7"/>
        <v>15</v>
      </c>
      <c r="W252" s="1">
        <v>3.0</v>
      </c>
      <c r="X252" s="1">
        <v>12.0</v>
      </c>
    </row>
    <row r="253">
      <c r="B253" s="6" t="str">
        <f t="shared" ref="B253:C253" si="504">H253</f>
        <v>Khairpur</v>
      </c>
      <c r="C253" s="6" t="str">
        <f t="shared" si="504"/>
        <v>15–19</v>
      </c>
      <c r="D253" s="6">
        <f t="shared" ref="D253:F253" si="505">J253+P253+V253</f>
        <v>8185</v>
      </c>
      <c r="E253" s="6">
        <f t="shared" si="505"/>
        <v>4833</v>
      </c>
      <c r="F253" s="6">
        <f t="shared" si="505"/>
        <v>3352</v>
      </c>
      <c r="G253" s="6"/>
      <c r="H253" s="6" t="s">
        <v>52</v>
      </c>
      <c r="I253" s="6" t="s">
        <v>14</v>
      </c>
      <c r="J253" s="5">
        <f t="shared" si="5"/>
        <v>4248</v>
      </c>
      <c r="K253" s="8">
        <v>3626.0</v>
      </c>
      <c r="L253" s="8">
        <v>622.0</v>
      </c>
      <c r="M253" s="5"/>
      <c r="N253" s="8" t="s">
        <v>52</v>
      </c>
      <c r="O253" s="9" t="s">
        <v>15</v>
      </c>
      <c r="P253" s="5">
        <f t="shared" si="6"/>
        <v>3851</v>
      </c>
      <c r="Q253" s="10">
        <v>1174.0</v>
      </c>
      <c r="R253" s="10">
        <v>2677.0</v>
      </c>
      <c r="T253" s="1" t="s">
        <v>52</v>
      </c>
      <c r="U253" s="11" t="s">
        <v>15</v>
      </c>
      <c r="V253" s="5">
        <f t="shared" si="7"/>
        <v>86</v>
      </c>
      <c r="W253" s="1">
        <v>33.0</v>
      </c>
      <c r="X253" s="1">
        <v>53.0</v>
      </c>
    </row>
    <row r="254">
      <c r="B254" s="6" t="str">
        <f t="shared" ref="B254:C254" si="506">H254</f>
        <v>Khairpur</v>
      </c>
      <c r="C254" s="6" t="str">
        <f t="shared" si="506"/>
        <v>20–24</v>
      </c>
      <c r="D254" s="6">
        <f t="shared" ref="D254:F254" si="507">J254+P254+V254</f>
        <v>5599</v>
      </c>
      <c r="E254" s="6">
        <f t="shared" si="507"/>
        <v>3745</v>
      </c>
      <c r="F254" s="6">
        <f t="shared" si="507"/>
        <v>1854</v>
      </c>
      <c r="G254" s="6"/>
      <c r="H254" s="6" t="s">
        <v>52</v>
      </c>
      <c r="I254" s="6" t="s">
        <v>16</v>
      </c>
      <c r="J254" s="5">
        <f t="shared" si="5"/>
        <v>2943</v>
      </c>
      <c r="K254" s="8">
        <v>2768.0</v>
      </c>
      <c r="L254" s="8">
        <v>175.0</v>
      </c>
      <c r="M254" s="5"/>
      <c r="N254" s="8" t="s">
        <v>52</v>
      </c>
      <c r="O254" s="9" t="s">
        <v>17</v>
      </c>
      <c r="P254" s="5">
        <f t="shared" si="6"/>
        <v>2380</v>
      </c>
      <c r="Q254" s="10">
        <v>856.0</v>
      </c>
      <c r="R254" s="10">
        <v>1524.0</v>
      </c>
      <c r="T254" s="1" t="s">
        <v>52</v>
      </c>
      <c r="U254" s="11" t="s">
        <v>17</v>
      </c>
      <c r="V254" s="5">
        <f t="shared" si="7"/>
        <v>276</v>
      </c>
      <c r="W254" s="1">
        <v>121.0</v>
      </c>
      <c r="X254" s="1">
        <v>155.0</v>
      </c>
    </row>
    <row r="255">
      <c r="B255" s="6" t="str">
        <f t="shared" ref="B255:C255" si="508">H255</f>
        <v>Khairpur</v>
      </c>
      <c r="C255" s="6" t="str">
        <f t="shared" si="508"/>
        <v>25–29</v>
      </c>
      <c r="D255" s="6">
        <f t="shared" ref="D255:F255" si="509">J255+P255+V255</f>
        <v>7776</v>
      </c>
      <c r="E255" s="6">
        <f t="shared" si="509"/>
        <v>4812</v>
      </c>
      <c r="F255" s="6">
        <f t="shared" si="509"/>
        <v>2964</v>
      </c>
      <c r="G255" s="6"/>
      <c r="H255" s="6" t="s">
        <v>52</v>
      </c>
      <c r="I255" s="6" t="s">
        <v>18</v>
      </c>
      <c r="J255" s="5">
        <f t="shared" si="5"/>
        <v>2120</v>
      </c>
      <c r="K255" s="7">
        <v>2042.0</v>
      </c>
      <c r="L255" s="7">
        <v>78.0</v>
      </c>
      <c r="M255" s="5"/>
      <c r="N255" s="8" t="s">
        <v>52</v>
      </c>
      <c r="O255" s="9" t="s">
        <v>19</v>
      </c>
      <c r="P255" s="5">
        <f t="shared" si="6"/>
        <v>5150</v>
      </c>
      <c r="Q255" s="8">
        <v>2546.0</v>
      </c>
      <c r="R255" s="8">
        <v>2604.0</v>
      </c>
      <c r="T255" s="1" t="s">
        <v>52</v>
      </c>
      <c r="U255" s="11" t="s">
        <v>19</v>
      </c>
      <c r="V255" s="5">
        <f t="shared" si="7"/>
        <v>506</v>
      </c>
      <c r="W255" s="1">
        <v>224.0</v>
      </c>
      <c r="X255" s="1">
        <v>282.0</v>
      </c>
    </row>
    <row r="256">
      <c r="B256" s="6" t="str">
        <f t="shared" ref="B256:C256" si="510">H256</f>
        <v>Khairpur</v>
      </c>
      <c r="C256" s="6" t="str">
        <f t="shared" si="510"/>
        <v>30–34</v>
      </c>
      <c r="D256" s="6">
        <f t="shared" ref="D256:F256" si="511">J256+P256+V256</f>
        <v>7134</v>
      </c>
      <c r="E256" s="6">
        <f t="shared" si="511"/>
        <v>4131</v>
      </c>
      <c r="F256" s="6">
        <f t="shared" si="511"/>
        <v>3003</v>
      </c>
      <c r="G256" s="6"/>
      <c r="H256" s="6" t="s">
        <v>52</v>
      </c>
      <c r="I256" s="6" t="s">
        <v>20</v>
      </c>
      <c r="J256" s="5">
        <f t="shared" si="5"/>
        <v>1346</v>
      </c>
      <c r="K256" s="7">
        <v>1296.0</v>
      </c>
      <c r="L256" s="7">
        <v>50.0</v>
      </c>
      <c r="M256" s="5"/>
      <c r="N256" s="8" t="s">
        <v>52</v>
      </c>
      <c r="O256" s="9" t="s">
        <v>21</v>
      </c>
      <c r="P256" s="5">
        <f t="shared" si="6"/>
        <v>4929</v>
      </c>
      <c r="Q256" s="8">
        <v>2468.0</v>
      </c>
      <c r="R256" s="8">
        <v>2461.0</v>
      </c>
      <c r="T256" s="1" t="s">
        <v>52</v>
      </c>
      <c r="U256" s="11" t="s">
        <v>21</v>
      </c>
      <c r="V256" s="5">
        <f t="shared" si="7"/>
        <v>859</v>
      </c>
      <c r="W256" s="1">
        <v>367.0</v>
      </c>
      <c r="X256" s="1">
        <v>492.0</v>
      </c>
    </row>
    <row r="257">
      <c r="B257" s="6" t="str">
        <f t="shared" ref="B257:C257" si="512">H257</f>
        <v>Khairpur</v>
      </c>
      <c r="C257" s="6" t="str">
        <f t="shared" si="512"/>
        <v>35–39</v>
      </c>
      <c r="D257" s="6">
        <f t="shared" ref="D257:F257" si="513">J257+P257+V257</f>
        <v>4438</v>
      </c>
      <c r="E257" s="6">
        <f t="shared" si="513"/>
        <v>2603</v>
      </c>
      <c r="F257" s="6">
        <f t="shared" si="513"/>
        <v>1835</v>
      </c>
      <c r="G257" s="6"/>
      <c r="H257" s="6" t="s">
        <v>52</v>
      </c>
      <c r="I257" s="6" t="s">
        <v>22</v>
      </c>
      <c r="J257" s="5">
        <f t="shared" si="5"/>
        <v>528</v>
      </c>
      <c r="K257" s="7">
        <v>506.0</v>
      </c>
      <c r="L257" s="7">
        <v>22.0</v>
      </c>
      <c r="M257" s="5"/>
      <c r="N257" s="8" t="s">
        <v>52</v>
      </c>
      <c r="O257" s="9" t="s">
        <v>23</v>
      </c>
      <c r="P257" s="5">
        <f t="shared" si="6"/>
        <v>3195</v>
      </c>
      <c r="Q257" s="8">
        <v>1813.0</v>
      </c>
      <c r="R257" s="8">
        <v>1382.0</v>
      </c>
      <c r="T257" s="1" t="s">
        <v>52</v>
      </c>
      <c r="U257" s="11" t="s">
        <v>23</v>
      </c>
      <c r="V257" s="5">
        <f t="shared" si="7"/>
        <v>715</v>
      </c>
      <c r="W257" s="1">
        <v>284.0</v>
      </c>
      <c r="X257" s="1">
        <v>431.0</v>
      </c>
    </row>
    <row r="258">
      <c r="B258" s="6" t="str">
        <f t="shared" ref="B258:C258" si="514">H258</f>
        <v>Khairpur</v>
      </c>
      <c r="C258" s="6" t="str">
        <f t="shared" si="514"/>
        <v>40–44</v>
      </c>
      <c r="D258" s="6">
        <f t="shared" ref="D258:F258" si="515">J258+P258+V258</f>
        <v>5562</v>
      </c>
      <c r="E258" s="6">
        <f t="shared" si="515"/>
        <v>3059</v>
      </c>
      <c r="F258" s="6">
        <f t="shared" si="515"/>
        <v>2503</v>
      </c>
      <c r="G258" s="6"/>
      <c r="H258" s="6" t="s">
        <v>52</v>
      </c>
      <c r="I258" s="6" t="s">
        <v>24</v>
      </c>
      <c r="J258" s="5">
        <f t="shared" si="5"/>
        <v>442</v>
      </c>
      <c r="K258" s="7">
        <v>412.0</v>
      </c>
      <c r="L258" s="7">
        <v>30.0</v>
      </c>
      <c r="M258" s="5"/>
      <c r="N258" s="8" t="s">
        <v>52</v>
      </c>
      <c r="O258" s="9" t="s">
        <v>25</v>
      </c>
      <c r="P258" s="5">
        <f t="shared" si="6"/>
        <v>3378</v>
      </c>
      <c r="Q258" s="8">
        <v>2073.0</v>
      </c>
      <c r="R258" s="8">
        <v>1305.0</v>
      </c>
      <c r="T258" s="1" t="s">
        <v>52</v>
      </c>
      <c r="U258" s="11" t="s">
        <v>25</v>
      </c>
      <c r="V258" s="5">
        <f t="shared" si="7"/>
        <v>1742</v>
      </c>
      <c r="W258" s="1">
        <v>574.0</v>
      </c>
      <c r="X258" s="1">
        <v>1168.0</v>
      </c>
    </row>
    <row r="259">
      <c r="B259" s="6" t="str">
        <f t="shared" ref="B259:C259" si="516">H259</f>
        <v>Khairpur</v>
      </c>
      <c r="C259" s="6" t="str">
        <f t="shared" si="516"/>
        <v>45–49</v>
      </c>
      <c r="D259" s="6">
        <f t="shared" ref="D259:F259" si="517">J259+P259+V259</f>
        <v>17139</v>
      </c>
      <c r="E259" s="6">
        <f t="shared" si="517"/>
        <v>11391</v>
      </c>
      <c r="F259" s="6">
        <f t="shared" si="517"/>
        <v>5748</v>
      </c>
      <c r="G259" s="6"/>
      <c r="H259" s="6" t="s">
        <v>52</v>
      </c>
      <c r="I259" s="6" t="s">
        <v>26</v>
      </c>
      <c r="J259" s="5">
        <f t="shared" si="5"/>
        <v>150</v>
      </c>
      <c r="K259" s="7">
        <v>139.0</v>
      </c>
      <c r="L259" s="7">
        <v>11.0</v>
      </c>
      <c r="M259" s="5"/>
      <c r="N259" s="8" t="s">
        <v>52</v>
      </c>
      <c r="O259" s="9" t="s">
        <v>27</v>
      </c>
      <c r="P259" s="5">
        <f t="shared" si="6"/>
        <v>15975</v>
      </c>
      <c r="Q259" s="8">
        <v>10903.0</v>
      </c>
      <c r="R259" s="8">
        <v>5072.0</v>
      </c>
      <c r="T259" s="1" t="s">
        <v>52</v>
      </c>
      <c r="U259" s="11" t="s">
        <v>27</v>
      </c>
      <c r="V259" s="5">
        <f t="shared" si="7"/>
        <v>1014</v>
      </c>
      <c r="W259" s="1">
        <v>349.0</v>
      </c>
      <c r="X259" s="1">
        <v>665.0</v>
      </c>
    </row>
    <row r="260">
      <c r="B260" s="6" t="str">
        <f t="shared" ref="B260:C260" si="518">H260</f>
        <v>Khairpur</v>
      </c>
      <c r="C260" s="6" t="str">
        <f t="shared" si="518"/>
        <v>50–54</v>
      </c>
      <c r="D260" s="6">
        <f t="shared" ref="D260:F260" si="519">J260+P260+V260</f>
        <v>19827</v>
      </c>
      <c r="E260" s="6">
        <f t="shared" si="519"/>
        <v>13168</v>
      </c>
      <c r="F260" s="6">
        <f t="shared" si="519"/>
        <v>6659</v>
      </c>
      <c r="G260" s="6"/>
      <c r="H260" s="6" t="s">
        <v>52</v>
      </c>
      <c r="I260" s="6" t="s">
        <v>28</v>
      </c>
      <c r="J260" s="5">
        <f t="shared" si="5"/>
        <v>215</v>
      </c>
      <c r="K260" s="7">
        <v>204.0</v>
      </c>
      <c r="L260" s="7">
        <v>11.0</v>
      </c>
      <c r="M260" s="5"/>
      <c r="N260" s="8" t="s">
        <v>52</v>
      </c>
      <c r="O260" s="9" t="s">
        <v>29</v>
      </c>
      <c r="P260" s="5">
        <f t="shared" si="6"/>
        <v>17370</v>
      </c>
      <c r="Q260" s="8">
        <v>12216.0</v>
      </c>
      <c r="R260" s="8">
        <v>5154.0</v>
      </c>
      <c r="T260" s="1" t="s">
        <v>52</v>
      </c>
      <c r="U260" s="11" t="s">
        <v>29</v>
      </c>
      <c r="V260" s="5">
        <f t="shared" si="7"/>
        <v>2242</v>
      </c>
      <c r="W260" s="1">
        <v>748.0</v>
      </c>
      <c r="X260" s="1">
        <v>1494.0</v>
      </c>
    </row>
    <row r="261">
      <c r="B261" s="6" t="str">
        <f t="shared" ref="B261:C261" si="520">H261</f>
        <v>Khairpur</v>
      </c>
      <c r="C261" s="6" t="str">
        <f t="shared" si="520"/>
        <v>55–59</v>
      </c>
      <c r="D261" s="6">
        <f t="shared" ref="D261:F261" si="521">J261+P261+V261</f>
        <v>6264</v>
      </c>
      <c r="E261" s="6">
        <f t="shared" si="521"/>
        <v>4533</v>
      </c>
      <c r="F261" s="6">
        <f t="shared" si="521"/>
        <v>1731</v>
      </c>
      <c r="G261" s="6"/>
      <c r="H261" s="6" t="s">
        <v>52</v>
      </c>
      <c r="I261" s="6" t="s">
        <v>30</v>
      </c>
      <c r="J261" s="5">
        <f t="shared" si="5"/>
        <v>41</v>
      </c>
      <c r="K261" s="7">
        <v>38.0</v>
      </c>
      <c r="L261" s="7">
        <v>3.0</v>
      </c>
      <c r="M261" s="5"/>
      <c r="N261" s="8" t="s">
        <v>52</v>
      </c>
      <c r="O261" s="9" t="s">
        <v>31</v>
      </c>
      <c r="P261" s="5">
        <f t="shared" si="6"/>
        <v>5707</v>
      </c>
      <c r="Q261" s="8">
        <v>4303.0</v>
      </c>
      <c r="R261" s="8">
        <v>1404.0</v>
      </c>
      <c r="T261" s="1" t="s">
        <v>52</v>
      </c>
      <c r="U261" s="11" t="s">
        <v>31</v>
      </c>
      <c r="V261" s="5">
        <f t="shared" si="7"/>
        <v>516</v>
      </c>
      <c r="W261" s="1">
        <v>192.0</v>
      </c>
      <c r="X261" s="1">
        <v>324.0</v>
      </c>
    </row>
    <row r="262">
      <c r="B262" s="6" t="str">
        <f t="shared" ref="B262:C262" si="522">H262</f>
        <v>Khairpur</v>
      </c>
      <c r="C262" s="6" t="str">
        <f t="shared" si="522"/>
        <v>60 and over</v>
      </c>
      <c r="D262" s="6">
        <f t="shared" ref="D262:F262" si="523">J262+P262+V262</f>
        <v>17209</v>
      </c>
      <c r="E262" s="6">
        <f t="shared" si="523"/>
        <v>12307</v>
      </c>
      <c r="F262" s="6">
        <f t="shared" si="523"/>
        <v>4902</v>
      </c>
      <c r="G262" s="6"/>
      <c r="H262" s="6" t="s">
        <v>52</v>
      </c>
      <c r="I262" s="6" t="s">
        <v>32</v>
      </c>
      <c r="J262" s="5">
        <f t="shared" si="5"/>
        <v>192</v>
      </c>
      <c r="K262" s="8">
        <v>158.0</v>
      </c>
      <c r="L262" s="8">
        <v>34.0</v>
      </c>
      <c r="M262" s="5"/>
      <c r="N262" s="8" t="s">
        <v>52</v>
      </c>
      <c r="O262" s="6" t="s">
        <v>32</v>
      </c>
      <c r="P262" s="5">
        <f t="shared" si="6"/>
        <v>13327</v>
      </c>
      <c r="Q262" s="8">
        <v>10746.0</v>
      </c>
      <c r="R262" s="8">
        <v>2581.0</v>
      </c>
      <c r="T262" s="1" t="s">
        <v>52</v>
      </c>
      <c r="U262" s="6" t="s">
        <v>32</v>
      </c>
      <c r="V262" s="5">
        <f t="shared" si="7"/>
        <v>3690</v>
      </c>
      <c r="W262" s="1">
        <v>1403.0</v>
      </c>
      <c r="X262" s="1">
        <v>2287.0</v>
      </c>
    </row>
  </sheetData>
  <drawing r:id="rId1"/>
</worksheet>
</file>