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am_1891" sheetId="1" r:id="rId5"/>
    <sheet state="visible" name="Assam_1901" sheetId="2" r:id="rId6"/>
  </sheets>
  <definedNames/>
  <calcPr/>
</workbook>
</file>

<file path=xl/sharedStrings.xml><?xml version="1.0" encoding="utf-8"?>
<sst xmlns="http://schemas.openxmlformats.org/spreadsheetml/2006/main" count="1267" uniqueCount="43">
  <si>
    <t>Total</t>
  </si>
  <si>
    <t>Unmarried</t>
  </si>
  <si>
    <t>Married</t>
  </si>
  <si>
    <t>Widowed</t>
  </si>
  <si>
    <t>District</t>
  </si>
  <si>
    <t>Age</t>
  </si>
  <si>
    <t>Persons</t>
  </si>
  <si>
    <t>Males</t>
  </si>
  <si>
    <t>Females</t>
  </si>
  <si>
    <t>Cachar Plains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</si>
  <si>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</si>
  <si>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</si>
  <si>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</si>
  <si>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</si>
  <si>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</si>
  <si>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</si>
  <si>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</si>
  <si>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</si>
  <si>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</si>
  <si>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</si>
  <si>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</si>
  <si>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</si>
  <si>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 and over</t>
  </si>
  <si>
    <t>Sylhet</t>
  </si>
  <si>
    <t>Goalpara</t>
  </si>
  <si>
    <t>Kamrup</t>
  </si>
  <si>
    <t>Darrang</t>
  </si>
  <si>
    <t>Nowgong</t>
  </si>
  <si>
    <t>Sibsagar</t>
  </si>
  <si>
    <t>Lakhimpur</t>
  </si>
  <si>
    <t>North Cachar</t>
  </si>
  <si>
    <t>Naga Hills</t>
  </si>
  <si>
    <t>Khasi and Jaintia Hills</t>
  </si>
  <si>
    <t>Garo Hills</t>
  </si>
  <si>
    <t>North Lushai (Civil and Military)</t>
  </si>
  <si>
    <t>0—5</t>
  </si>
  <si>
    <t>5—10</t>
  </si>
  <si>
    <t>10—15</t>
  </si>
  <si>
    <t>15—20</t>
  </si>
  <si>
    <t>20—40</t>
  </si>
  <si>
    <t>40—60</t>
  </si>
  <si>
    <t>Lushai Hills</t>
  </si>
  <si>
    <t>Manipur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</si>
</sst>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1">
      <c r="B1" s="1" t="s">
        <v>0</v>
      </c>
      <c r="C1" s="1"/>
      <c r="D1" s="1"/>
      <c r="E1" s="1"/>
      <c r="F1" s="1"/>
      <c r="G1" s="1"/>
      <c r="H1" s="1" t="s">
        <v>1</v>
      </c>
      <c r="N1" s="1" t="s">
        <v>2</v>
      </c>
      <c r="T1" s="1" t="s">
        <v>3</v>
      </c>
    </row>
    <row r="2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4"/>
      <c r="H2" s="2" t="s">
        <v>4</v>
      </c>
      <c r="I2" s="2" t="s">
        <v>5</v>
      </c>
      <c r="J2" s="3" t="s">
        <v>6</v>
      </c>
      <c r="K2" s="3" t="s">
        <v>7</v>
      </c>
      <c r="L2" s="3" t="s">
        <v>8</v>
      </c>
      <c r="N2" s="2" t="s">
        <v>4</v>
      </c>
      <c r="O2" s="2" t="s">
        <v>5</v>
      </c>
      <c r="P2" s="3" t="s">
        <v>6</v>
      </c>
      <c r="Q2" s="3" t="s">
        <v>7</v>
      </c>
      <c r="R2" s="3" t="s">
        <v>8</v>
      </c>
      <c r="T2" s="2" t="s">
        <v>4</v>
      </c>
      <c r="U2" s="2" t="s">
        <v>5</v>
      </c>
      <c r="V2" s="3" t="s">
        <v>6</v>
      </c>
      <c r="W2" s="3" t="s">
        <v>7</v>
      </c>
      <c r="X2" s="3" t="s">
        <v>8</v>
      </c>
    </row>
    <row r="3">
      <c r="B3" s="5" t="str">
        <f t="shared" ref="B3:C3" si="1">H3</f>
        <v>Cachar Plains</v>
      </c>
      <c r="C3" s="5" t="str">
        <f t="shared" si="1"/>
        <v>0–4</v>
      </c>
      <c r="D3" s="5">
        <f t="shared" ref="D3:F3" si="2">J3+P3+V3</f>
        <v>55353</v>
      </c>
      <c r="E3" s="5">
        <f t="shared" si="2"/>
        <v>27093</v>
      </c>
      <c r="F3" s="5">
        <f t="shared" si="2"/>
        <v>28260</v>
      </c>
      <c r="G3" s="5"/>
      <c r="H3" s="5" t="s">
        <v>9</v>
      </c>
      <c r="I3" s="5" t="s">
        <v>10</v>
      </c>
      <c r="J3" s="6">
        <f t="shared" ref="J3:J171" si="5">sum(K3+L3)</f>
        <v>55255</v>
      </c>
      <c r="K3" s="7">
        <v>27063.0</v>
      </c>
      <c r="L3" s="7">
        <v>28192.0</v>
      </c>
      <c r="N3" s="5" t="s">
        <v>9</v>
      </c>
      <c r="O3" s="5" t="s">
        <v>10</v>
      </c>
      <c r="P3" s="6">
        <f t="shared" ref="P3:P171" si="6">sum(Q3+R3)</f>
        <v>84</v>
      </c>
      <c r="Q3" s="7">
        <v>27.0</v>
      </c>
      <c r="R3" s="7">
        <v>57.0</v>
      </c>
      <c r="T3" s="5" t="s">
        <v>9</v>
      </c>
      <c r="U3" s="5" t="s">
        <v>10</v>
      </c>
      <c r="V3" s="6">
        <f t="shared" ref="V3:V171" si="7">sum(W3+X3)</f>
        <v>14</v>
      </c>
      <c r="W3" s="7">
        <v>3.0</v>
      </c>
      <c r="X3" s="7">
        <v>11.0</v>
      </c>
    </row>
    <row r="4">
      <c r="B4" s="5" t="str">
        <f t="shared" ref="B4:C4" si="3">H4</f>
        <v>Cachar Plains</v>
      </c>
      <c r="C4" s="5" t="str">
        <f t="shared" si="3"/>
        <v>5–9</v>
      </c>
      <c r="D4" s="5">
        <f t="shared" ref="D4:F4" si="4">J4+P4+V4</f>
        <v>56596</v>
      </c>
      <c r="E4" s="5">
        <f t="shared" si="4"/>
        <v>28469</v>
      </c>
      <c r="F4" s="5">
        <f t="shared" si="4"/>
        <v>28127</v>
      </c>
      <c r="G4" s="5"/>
      <c r="H4" s="5" t="s">
        <v>9</v>
      </c>
      <c r="I4" s="5" t="s">
        <v>11</v>
      </c>
      <c r="J4" s="6">
        <f t="shared" si="5"/>
        <v>55667</v>
      </c>
      <c r="K4" s="7">
        <v>28330.0</v>
      </c>
      <c r="L4" s="7">
        <v>27337.0</v>
      </c>
      <c r="N4" s="5" t="s">
        <v>9</v>
      </c>
      <c r="O4" s="5" t="s">
        <v>11</v>
      </c>
      <c r="P4" s="6">
        <f t="shared" si="6"/>
        <v>896</v>
      </c>
      <c r="Q4" s="7">
        <v>135.0</v>
      </c>
      <c r="R4" s="7">
        <v>761.0</v>
      </c>
      <c r="T4" s="5" t="s">
        <v>9</v>
      </c>
      <c r="U4" s="5" t="s">
        <v>11</v>
      </c>
      <c r="V4" s="6">
        <f t="shared" si="7"/>
        <v>33</v>
      </c>
      <c r="W4" s="7">
        <v>4.0</v>
      </c>
      <c r="X4" s="7">
        <v>29.0</v>
      </c>
    </row>
    <row r="5">
      <c r="B5" s="5" t="str">
        <f t="shared" ref="B5:C5" si="8">H5</f>
        <v>Cachar Plains</v>
      </c>
      <c r="C5" s="5" t="str">
        <f t="shared" si="8"/>
        <v>10–14</v>
      </c>
      <c r="D5" s="5">
        <f t="shared" ref="D5:F5" si="9">J5+P5+V5</f>
        <v>39779</v>
      </c>
      <c r="E5" s="5">
        <f t="shared" si="9"/>
        <v>26379</v>
      </c>
      <c r="F5" s="5">
        <f t="shared" si="9"/>
        <v>13400</v>
      </c>
      <c r="G5" s="5"/>
      <c r="H5" s="5" t="s">
        <v>9</v>
      </c>
      <c r="I5" s="5" t="s">
        <v>12</v>
      </c>
      <c r="J5" s="6">
        <f t="shared" si="5"/>
        <v>31848</v>
      </c>
      <c r="K5" s="7">
        <v>20891.0</v>
      </c>
      <c r="L5" s="7">
        <v>10957.0</v>
      </c>
      <c r="N5" s="5" t="s">
        <v>9</v>
      </c>
      <c r="O5" s="5" t="s">
        <v>12</v>
      </c>
      <c r="P5" s="6">
        <f t="shared" si="6"/>
        <v>7748</v>
      </c>
      <c r="Q5" s="7">
        <v>5462.0</v>
      </c>
      <c r="R5" s="7">
        <v>2286.0</v>
      </c>
      <c r="T5" s="5" t="s">
        <v>9</v>
      </c>
      <c r="U5" s="5" t="s">
        <v>12</v>
      </c>
      <c r="V5" s="6">
        <f t="shared" si="7"/>
        <v>183</v>
      </c>
      <c r="W5" s="7">
        <v>26.0</v>
      </c>
      <c r="X5" s="7">
        <v>157.0</v>
      </c>
    </row>
    <row r="6">
      <c r="B6" s="5" t="str">
        <f t="shared" ref="B6:C6" si="10">H6</f>
        <v>Cachar Plains</v>
      </c>
      <c r="C6" s="5" t="str">
        <f t="shared" si="10"/>
        <v>15–19</v>
      </c>
      <c r="D6" s="5">
        <f t="shared" ref="D6:F6" si="11">J6+P6+V6</f>
        <v>33581</v>
      </c>
      <c r="E6" s="5">
        <f t="shared" si="11"/>
        <v>23492</v>
      </c>
      <c r="F6" s="5">
        <f t="shared" si="11"/>
        <v>10089</v>
      </c>
      <c r="G6" s="5"/>
      <c r="H6" s="5" t="s">
        <v>9</v>
      </c>
      <c r="I6" s="5" t="s">
        <v>13</v>
      </c>
      <c r="J6" s="6">
        <f t="shared" si="5"/>
        <v>13679</v>
      </c>
      <c r="K6" s="7">
        <v>11399.0</v>
      </c>
      <c r="L6" s="7">
        <v>2280.0</v>
      </c>
      <c r="N6" s="5" t="s">
        <v>9</v>
      </c>
      <c r="O6" s="5" t="s">
        <v>13</v>
      </c>
      <c r="P6" s="6">
        <f t="shared" si="6"/>
        <v>19389</v>
      </c>
      <c r="Q6" s="7">
        <v>12059.0</v>
      </c>
      <c r="R6" s="7">
        <v>7330.0</v>
      </c>
      <c r="T6" s="5" t="s">
        <v>9</v>
      </c>
      <c r="U6" s="5" t="s">
        <v>13</v>
      </c>
      <c r="V6" s="6">
        <f t="shared" si="7"/>
        <v>513</v>
      </c>
      <c r="W6" s="7">
        <v>34.0</v>
      </c>
      <c r="X6" s="7">
        <v>479.0</v>
      </c>
    </row>
    <row r="7">
      <c r="B7" s="5" t="str">
        <f t="shared" ref="B7:C7" si="12">H7</f>
        <v>Cachar Plains</v>
      </c>
      <c r="C7" s="5" t="str">
        <f t="shared" si="12"/>
        <v>20–24</v>
      </c>
      <c r="D7" s="5">
        <f t="shared" ref="D7:F7" si="13">J7+P7+V7</f>
        <v>38778</v>
      </c>
      <c r="E7" s="5">
        <f t="shared" si="13"/>
        <v>23197</v>
      </c>
      <c r="F7" s="5">
        <f t="shared" si="13"/>
        <v>15581</v>
      </c>
      <c r="G7" s="5"/>
      <c r="H7" s="5" t="s">
        <v>9</v>
      </c>
      <c r="I7" s="5" t="s">
        <v>14</v>
      </c>
      <c r="J7" s="6">
        <f t="shared" si="5"/>
        <v>8441</v>
      </c>
      <c r="K7" s="7">
        <v>7860.0</v>
      </c>
      <c r="L7" s="7">
        <v>581.0</v>
      </c>
      <c r="N7" s="5" t="s">
        <v>9</v>
      </c>
      <c r="O7" s="5" t="s">
        <v>14</v>
      </c>
      <c r="P7" s="6">
        <f t="shared" si="6"/>
        <v>29113</v>
      </c>
      <c r="Q7" s="7">
        <v>15112.0</v>
      </c>
      <c r="R7" s="7">
        <v>14001.0</v>
      </c>
      <c r="T7" s="5" t="s">
        <v>9</v>
      </c>
      <c r="U7" s="5" t="s">
        <v>14</v>
      </c>
      <c r="V7" s="6">
        <f t="shared" si="7"/>
        <v>1224</v>
      </c>
      <c r="W7" s="7">
        <v>225.0</v>
      </c>
      <c r="X7" s="7">
        <v>999.0</v>
      </c>
    </row>
    <row r="8">
      <c r="B8" s="5" t="str">
        <f t="shared" ref="B8:C8" si="14">H8</f>
        <v>Cachar Plains</v>
      </c>
      <c r="C8" s="5" t="str">
        <f t="shared" si="14"/>
        <v>25–29</v>
      </c>
      <c r="D8" s="5">
        <f t="shared" ref="D8:F8" si="15">J8+P8+V8</f>
        <v>22500</v>
      </c>
      <c r="E8" s="5">
        <f t="shared" si="15"/>
        <v>20457</v>
      </c>
      <c r="F8" s="5">
        <f t="shared" si="15"/>
        <v>2043</v>
      </c>
      <c r="G8" s="5"/>
      <c r="H8" s="5" t="s">
        <v>9</v>
      </c>
      <c r="I8" s="5" t="s">
        <v>15</v>
      </c>
      <c r="J8" s="6">
        <f t="shared" si="5"/>
        <v>4943</v>
      </c>
      <c r="K8" s="7">
        <v>4669.0</v>
      </c>
      <c r="L8" s="7">
        <v>274.0</v>
      </c>
      <c r="N8" s="5" t="s">
        <v>9</v>
      </c>
      <c r="O8" s="5" t="s">
        <v>15</v>
      </c>
      <c r="P8" s="6">
        <f t="shared" si="6"/>
        <v>15244</v>
      </c>
      <c r="Q8" s="7">
        <v>15244.0</v>
      </c>
      <c r="R8" s="7">
        <v>0.0</v>
      </c>
      <c r="T8" s="5" t="s">
        <v>9</v>
      </c>
      <c r="U8" s="5" t="s">
        <v>15</v>
      </c>
      <c r="V8" s="6">
        <f t="shared" si="7"/>
        <v>2313</v>
      </c>
      <c r="W8" s="7">
        <v>544.0</v>
      </c>
      <c r="X8" s="7">
        <v>1769.0</v>
      </c>
    </row>
    <row r="9">
      <c r="B9" s="5" t="str">
        <f t="shared" ref="B9:C9" si="16">H9</f>
        <v>Cachar Plains</v>
      </c>
      <c r="C9" s="5" t="str">
        <f t="shared" si="16"/>
        <v>30–34</v>
      </c>
      <c r="D9" s="5">
        <f t="shared" ref="D9:F9" si="17">J9+P9+V9</f>
        <v>34010</v>
      </c>
      <c r="E9" s="5">
        <f t="shared" si="17"/>
        <v>18638</v>
      </c>
      <c r="F9" s="5">
        <f t="shared" si="17"/>
        <v>15372</v>
      </c>
      <c r="G9" s="5"/>
      <c r="H9" s="5" t="s">
        <v>9</v>
      </c>
      <c r="I9" s="5" t="s">
        <v>16</v>
      </c>
      <c r="J9" s="6">
        <f t="shared" si="5"/>
        <v>2022</v>
      </c>
      <c r="K9" s="7">
        <v>1876.0</v>
      </c>
      <c r="L9" s="7">
        <v>146.0</v>
      </c>
      <c r="N9" s="5" t="s">
        <v>9</v>
      </c>
      <c r="O9" s="5" t="s">
        <v>16</v>
      </c>
      <c r="P9" s="6">
        <f t="shared" si="6"/>
        <v>28473</v>
      </c>
      <c r="Q9" s="7">
        <v>15991.0</v>
      </c>
      <c r="R9" s="7">
        <v>12482.0</v>
      </c>
      <c r="T9" s="5" t="s">
        <v>9</v>
      </c>
      <c r="U9" s="5" t="s">
        <v>16</v>
      </c>
      <c r="V9" s="6">
        <f t="shared" si="7"/>
        <v>3515</v>
      </c>
      <c r="W9" s="7">
        <v>771.0</v>
      </c>
      <c r="X9" s="7">
        <v>2744.0</v>
      </c>
    </row>
    <row r="10">
      <c r="B10" s="5" t="str">
        <f t="shared" ref="B10:C10" si="18">H10</f>
        <v>Cachar Plains</v>
      </c>
      <c r="C10" s="5" t="str">
        <f t="shared" si="18"/>
        <v>35–39</v>
      </c>
      <c r="D10" s="5">
        <f t="shared" ref="D10:F10" si="19">J10+P10+V10</f>
        <v>24365</v>
      </c>
      <c r="E10" s="5">
        <f t="shared" si="19"/>
        <v>14955</v>
      </c>
      <c r="F10" s="5">
        <f t="shared" si="19"/>
        <v>9410</v>
      </c>
      <c r="G10" s="5"/>
      <c r="H10" s="5" t="s">
        <v>9</v>
      </c>
      <c r="I10" s="5" t="s">
        <v>17</v>
      </c>
      <c r="J10" s="6">
        <f t="shared" si="5"/>
        <v>870</v>
      </c>
      <c r="K10" s="7">
        <v>802.0</v>
      </c>
      <c r="L10" s="7">
        <v>68.0</v>
      </c>
      <c r="N10" s="5" t="s">
        <v>9</v>
      </c>
      <c r="O10" s="5" t="s">
        <v>17</v>
      </c>
      <c r="P10" s="6">
        <f t="shared" si="6"/>
        <v>20094</v>
      </c>
      <c r="Q10" s="7">
        <v>13377.0</v>
      </c>
      <c r="R10" s="7">
        <v>6717.0</v>
      </c>
      <c r="T10" s="5" t="s">
        <v>9</v>
      </c>
      <c r="U10" s="5" t="s">
        <v>17</v>
      </c>
      <c r="V10" s="6">
        <f t="shared" si="7"/>
        <v>3401</v>
      </c>
      <c r="W10" s="7">
        <v>776.0</v>
      </c>
      <c r="X10" s="7">
        <v>2625.0</v>
      </c>
    </row>
    <row r="11">
      <c r="B11" s="5" t="str">
        <f t="shared" ref="B11:C11" si="20">H11</f>
        <v>Cachar Plains</v>
      </c>
      <c r="C11" s="5" t="str">
        <f t="shared" si="20"/>
        <v>40–44</v>
      </c>
      <c r="D11" s="5">
        <f t="shared" ref="D11:F11" si="21">J11+P11+V11</f>
        <v>21187</v>
      </c>
      <c r="E11" s="5">
        <f t="shared" si="21"/>
        <v>12261</v>
      </c>
      <c r="F11" s="5">
        <f t="shared" si="21"/>
        <v>8926</v>
      </c>
      <c r="G11" s="5"/>
      <c r="H11" s="5" t="s">
        <v>9</v>
      </c>
      <c r="I11" s="5" t="s">
        <v>18</v>
      </c>
      <c r="J11" s="6">
        <f t="shared" si="5"/>
        <v>489</v>
      </c>
      <c r="K11" s="7">
        <v>439.0</v>
      </c>
      <c r="L11" s="7">
        <v>50.0</v>
      </c>
      <c r="N11" s="5" t="s">
        <v>9</v>
      </c>
      <c r="O11" s="5" t="s">
        <v>18</v>
      </c>
      <c r="P11" s="6">
        <f t="shared" si="6"/>
        <v>16083</v>
      </c>
      <c r="Q11" s="7">
        <v>10913.0</v>
      </c>
      <c r="R11" s="7">
        <v>5170.0</v>
      </c>
      <c r="T11" s="5" t="s">
        <v>9</v>
      </c>
      <c r="U11" s="5" t="s">
        <v>18</v>
      </c>
      <c r="V11" s="6">
        <f t="shared" si="7"/>
        <v>4615</v>
      </c>
      <c r="W11" s="7">
        <v>909.0</v>
      </c>
      <c r="X11" s="7">
        <v>3706.0</v>
      </c>
    </row>
    <row r="12">
      <c r="B12" s="5" t="str">
        <f t="shared" ref="B12:C12" si="22">H12</f>
        <v>Cachar Plains</v>
      </c>
      <c r="C12" s="5" t="str">
        <f t="shared" si="22"/>
        <v>45–49</v>
      </c>
      <c r="D12" s="5">
        <f t="shared" ref="D12:F12" si="23">J12+P12+V12</f>
        <v>10853</v>
      </c>
      <c r="E12" s="5">
        <f t="shared" si="23"/>
        <v>6869</v>
      </c>
      <c r="F12" s="5">
        <f t="shared" si="23"/>
        <v>3984</v>
      </c>
      <c r="G12" s="5"/>
      <c r="H12" s="5" t="s">
        <v>9</v>
      </c>
      <c r="I12" s="5" t="s">
        <v>19</v>
      </c>
      <c r="J12" s="6">
        <f t="shared" si="5"/>
        <v>182</v>
      </c>
      <c r="K12" s="7">
        <v>165.0</v>
      </c>
      <c r="L12" s="7">
        <v>17.0</v>
      </c>
      <c r="N12" s="5" t="s">
        <v>9</v>
      </c>
      <c r="O12" s="5" t="s">
        <v>19</v>
      </c>
      <c r="P12" s="6">
        <f t="shared" si="6"/>
        <v>7716</v>
      </c>
      <c r="Q12" s="7">
        <v>6067.0</v>
      </c>
      <c r="R12" s="7">
        <v>1649.0</v>
      </c>
      <c r="T12" s="5" t="s">
        <v>9</v>
      </c>
      <c r="U12" s="5" t="s">
        <v>19</v>
      </c>
      <c r="V12" s="6">
        <f t="shared" si="7"/>
        <v>2955</v>
      </c>
      <c r="W12" s="7">
        <v>637.0</v>
      </c>
      <c r="X12" s="7">
        <v>2318.0</v>
      </c>
    </row>
    <row r="13">
      <c r="B13" s="5" t="str">
        <f t="shared" ref="B13:C13" si="24">H13</f>
        <v>Cachar Plains</v>
      </c>
      <c r="C13" s="5" t="str">
        <f t="shared" si="24"/>
        <v>50–54</v>
      </c>
      <c r="D13" s="5">
        <f t="shared" ref="D13:F13" si="25">J13+P13+V13</f>
        <v>12151</v>
      </c>
      <c r="E13" s="5">
        <f t="shared" si="25"/>
        <v>6759</v>
      </c>
      <c r="F13" s="5">
        <f t="shared" si="25"/>
        <v>5392</v>
      </c>
      <c r="G13" s="5"/>
      <c r="H13" s="5" t="s">
        <v>9</v>
      </c>
      <c r="I13" s="5" t="s">
        <v>20</v>
      </c>
      <c r="J13" s="6">
        <f t="shared" si="5"/>
        <v>146</v>
      </c>
      <c r="K13" s="7">
        <v>120.0</v>
      </c>
      <c r="L13" s="7">
        <v>26.0</v>
      </c>
      <c r="N13" s="5" t="s">
        <v>9</v>
      </c>
      <c r="O13" s="5" t="s">
        <v>20</v>
      </c>
      <c r="P13" s="6">
        <f t="shared" si="6"/>
        <v>7530</v>
      </c>
      <c r="Q13" s="7">
        <v>5793.0</v>
      </c>
      <c r="R13" s="7">
        <v>1737.0</v>
      </c>
      <c r="T13" s="5" t="s">
        <v>9</v>
      </c>
      <c r="U13" s="5" t="s">
        <v>20</v>
      </c>
      <c r="V13" s="6">
        <f t="shared" si="7"/>
        <v>4475</v>
      </c>
      <c r="W13" s="7">
        <v>846.0</v>
      </c>
      <c r="X13" s="7">
        <v>3629.0</v>
      </c>
    </row>
    <row r="14">
      <c r="B14" s="5" t="str">
        <f t="shared" ref="B14:C14" si="26">H14</f>
        <v>Cachar Plains</v>
      </c>
      <c r="C14" s="5" t="str">
        <f t="shared" si="26"/>
        <v>55–59</v>
      </c>
      <c r="D14" s="5">
        <f t="shared" ref="D14:F14" si="27">J14+P14+V14</f>
        <v>3700</v>
      </c>
      <c r="E14" s="5">
        <f t="shared" si="27"/>
        <v>2192</v>
      </c>
      <c r="F14" s="5">
        <f t="shared" si="27"/>
        <v>1508</v>
      </c>
      <c r="G14" s="5"/>
      <c r="H14" s="5" t="s">
        <v>9</v>
      </c>
      <c r="I14" s="5" t="s">
        <v>21</v>
      </c>
      <c r="J14" s="6">
        <f t="shared" si="5"/>
        <v>30</v>
      </c>
      <c r="K14" s="7">
        <v>27.0</v>
      </c>
      <c r="L14" s="7">
        <v>3.0</v>
      </c>
      <c r="N14" s="5" t="s">
        <v>9</v>
      </c>
      <c r="O14" s="5" t="s">
        <v>21</v>
      </c>
      <c r="P14" s="6">
        <f t="shared" si="6"/>
        <v>2261</v>
      </c>
      <c r="Q14" s="7">
        <v>1872.0</v>
      </c>
      <c r="R14" s="7">
        <v>389.0</v>
      </c>
      <c r="T14" s="5" t="s">
        <v>9</v>
      </c>
      <c r="U14" s="5" t="s">
        <v>21</v>
      </c>
      <c r="V14" s="6">
        <f t="shared" si="7"/>
        <v>1409</v>
      </c>
      <c r="W14" s="7">
        <v>293.0</v>
      </c>
      <c r="X14" s="7">
        <v>1116.0</v>
      </c>
    </row>
    <row r="15">
      <c r="B15" s="5" t="str">
        <f t="shared" ref="B15:C15" si="28">H15</f>
        <v>Cachar Plains</v>
      </c>
      <c r="C15" s="5" t="str">
        <f t="shared" si="28"/>
        <v>60 and over</v>
      </c>
      <c r="D15" s="5">
        <f t="shared" ref="D15:F15" si="29">J15+P15+V15</f>
        <v>14003</v>
      </c>
      <c r="E15" s="5">
        <f t="shared" si="29"/>
        <v>7186</v>
      </c>
      <c r="F15" s="5">
        <f t="shared" si="29"/>
        <v>6817</v>
      </c>
      <c r="G15" s="5"/>
      <c r="H15" s="5" t="s">
        <v>9</v>
      </c>
      <c r="I15" s="5" t="s">
        <v>22</v>
      </c>
      <c r="J15" s="6">
        <f t="shared" si="5"/>
        <v>135</v>
      </c>
      <c r="K15" s="7">
        <v>96.0</v>
      </c>
      <c r="L15" s="7">
        <v>39.0</v>
      </c>
      <c r="N15" s="5" t="s">
        <v>9</v>
      </c>
      <c r="O15" s="5" t="s">
        <v>22</v>
      </c>
      <c r="P15" s="6">
        <f t="shared" si="6"/>
        <v>6531</v>
      </c>
      <c r="Q15" s="7">
        <v>5622.0</v>
      </c>
      <c r="R15" s="7">
        <v>909.0</v>
      </c>
      <c r="T15" s="5" t="s">
        <v>9</v>
      </c>
      <c r="U15" s="5" t="s">
        <v>22</v>
      </c>
      <c r="V15" s="6">
        <f t="shared" si="7"/>
        <v>7337</v>
      </c>
      <c r="W15" s="7">
        <v>1468.0</v>
      </c>
      <c r="X15" s="7">
        <v>5869.0</v>
      </c>
    </row>
    <row r="16">
      <c r="B16" s="5" t="str">
        <f t="shared" ref="B16:C16" si="30">H16</f>
        <v>Sylhet</v>
      </c>
      <c r="C16" s="5" t="str">
        <f t="shared" si="30"/>
        <v>0–4</v>
      </c>
      <c r="D16" s="5">
        <f t="shared" ref="D16:F16" si="31">J16+P16+V16</f>
        <v>330345</v>
      </c>
      <c r="E16" s="5">
        <f t="shared" si="31"/>
        <v>161133</v>
      </c>
      <c r="F16" s="5">
        <f t="shared" si="31"/>
        <v>169212</v>
      </c>
      <c r="G16" s="5"/>
      <c r="H16" s="5" t="s">
        <v>23</v>
      </c>
      <c r="I16" s="5" t="s">
        <v>10</v>
      </c>
      <c r="J16" s="6">
        <f t="shared" si="5"/>
        <v>329953</v>
      </c>
      <c r="K16" s="7">
        <v>161033.0</v>
      </c>
      <c r="L16" s="7">
        <v>168920.0</v>
      </c>
      <c r="N16" s="5" t="s">
        <v>23</v>
      </c>
      <c r="O16" s="5" t="s">
        <v>10</v>
      </c>
      <c r="P16" s="6">
        <f t="shared" si="6"/>
        <v>297</v>
      </c>
      <c r="Q16" s="7">
        <v>97.0</v>
      </c>
      <c r="R16" s="7">
        <v>200.0</v>
      </c>
      <c r="T16" s="5" t="s">
        <v>23</v>
      </c>
      <c r="U16" s="5" t="s">
        <v>10</v>
      </c>
      <c r="V16" s="6">
        <f t="shared" si="7"/>
        <v>95</v>
      </c>
      <c r="W16" s="7">
        <v>3.0</v>
      </c>
      <c r="X16" s="7">
        <v>92.0</v>
      </c>
    </row>
    <row r="17">
      <c r="B17" s="5" t="str">
        <f t="shared" ref="B17:C17" si="32">H17</f>
        <v>Sylhet</v>
      </c>
      <c r="C17" s="5" t="str">
        <f t="shared" si="32"/>
        <v>5–9</v>
      </c>
      <c r="D17" s="5">
        <f t="shared" ref="D17:F17" si="33">J17+P17+V17</f>
        <v>347659</v>
      </c>
      <c r="E17" s="5">
        <f t="shared" si="33"/>
        <v>174025</v>
      </c>
      <c r="F17" s="5">
        <f t="shared" si="33"/>
        <v>173634</v>
      </c>
      <c r="G17" s="5"/>
      <c r="H17" s="5" t="s">
        <v>23</v>
      </c>
      <c r="I17" s="5" t="s">
        <v>11</v>
      </c>
      <c r="J17" s="6">
        <f t="shared" si="5"/>
        <v>341692</v>
      </c>
      <c r="K17" s="7">
        <v>173683.0</v>
      </c>
      <c r="L17" s="7">
        <v>168009.0</v>
      </c>
      <c r="N17" s="5" t="s">
        <v>23</v>
      </c>
      <c r="O17" s="5" t="s">
        <v>11</v>
      </c>
      <c r="P17" s="6">
        <f t="shared" si="6"/>
        <v>5688</v>
      </c>
      <c r="Q17" s="7">
        <v>327.0</v>
      </c>
      <c r="R17" s="7">
        <v>5361.0</v>
      </c>
      <c r="T17" s="5" t="s">
        <v>23</v>
      </c>
      <c r="U17" s="5" t="s">
        <v>11</v>
      </c>
      <c r="V17" s="6">
        <f t="shared" si="7"/>
        <v>279</v>
      </c>
      <c r="W17" s="7">
        <v>15.0</v>
      </c>
      <c r="X17" s="7">
        <v>264.0</v>
      </c>
    </row>
    <row r="18">
      <c r="B18" s="5" t="str">
        <f t="shared" ref="B18:C18" si="34">H18</f>
        <v>Sylhet</v>
      </c>
      <c r="C18" s="5" t="str">
        <f t="shared" si="34"/>
        <v>10–14</v>
      </c>
      <c r="D18" s="5">
        <f t="shared" ref="D18:F18" si="35">J18+P18+V18</f>
        <v>253459</v>
      </c>
      <c r="E18" s="5">
        <f t="shared" si="35"/>
        <v>186778</v>
      </c>
      <c r="F18" s="5">
        <f t="shared" si="35"/>
        <v>66681</v>
      </c>
      <c r="G18" s="5"/>
      <c r="H18" s="5" t="s">
        <v>23</v>
      </c>
      <c r="I18" s="5" t="s">
        <v>12</v>
      </c>
      <c r="J18" s="6">
        <f t="shared" si="5"/>
        <v>188825</v>
      </c>
      <c r="K18" s="7">
        <v>135272.0</v>
      </c>
      <c r="L18" s="7">
        <v>53553.0</v>
      </c>
      <c r="N18" s="5" t="s">
        <v>23</v>
      </c>
      <c r="O18" s="5" t="s">
        <v>12</v>
      </c>
      <c r="P18" s="6">
        <f t="shared" si="6"/>
        <v>62706</v>
      </c>
      <c r="Q18" s="7">
        <v>51420.0</v>
      </c>
      <c r="R18" s="7">
        <v>11286.0</v>
      </c>
      <c r="T18" s="5" t="s">
        <v>23</v>
      </c>
      <c r="U18" s="5" t="s">
        <v>12</v>
      </c>
      <c r="V18" s="6">
        <f t="shared" si="7"/>
        <v>1928</v>
      </c>
      <c r="W18" s="7">
        <v>86.0</v>
      </c>
      <c r="X18" s="7">
        <v>1842.0</v>
      </c>
    </row>
    <row r="19">
      <c r="B19" s="5" t="str">
        <f t="shared" ref="B19:C19" si="36">H19</f>
        <v>Sylhet</v>
      </c>
      <c r="C19" s="5" t="str">
        <f t="shared" si="36"/>
        <v>15–19</v>
      </c>
      <c r="D19" s="5">
        <f t="shared" ref="D19:F19" si="37">J19+P19+V19</f>
        <v>207541</v>
      </c>
      <c r="E19" s="5">
        <f t="shared" si="37"/>
        <v>161872</v>
      </c>
      <c r="F19" s="5">
        <f t="shared" si="37"/>
        <v>45669</v>
      </c>
      <c r="G19" s="5"/>
      <c r="H19" s="5" t="s">
        <v>23</v>
      </c>
      <c r="I19" s="5" t="s">
        <v>13</v>
      </c>
      <c r="J19" s="6">
        <f t="shared" si="5"/>
        <v>80367</v>
      </c>
      <c r="K19" s="7">
        <v>75420.0</v>
      </c>
      <c r="L19" s="7">
        <v>4947.0</v>
      </c>
      <c r="N19" s="5" t="s">
        <v>23</v>
      </c>
      <c r="O19" s="5" t="s">
        <v>13</v>
      </c>
      <c r="P19" s="6">
        <f t="shared" si="6"/>
        <v>121002</v>
      </c>
      <c r="Q19" s="7">
        <v>86175.0</v>
      </c>
      <c r="R19" s="7">
        <v>34827.0</v>
      </c>
      <c r="T19" s="5" t="s">
        <v>23</v>
      </c>
      <c r="U19" s="5" t="s">
        <v>13</v>
      </c>
      <c r="V19" s="6">
        <f t="shared" si="7"/>
        <v>6172</v>
      </c>
      <c r="W19" s="7">
        <v>277.0</v>
      </c>
      <c r="X19" s="7">
        <v>5895.0</v>
      </c>
    </row>
    <row r="20">
      <c r="B20" s="5" t="str">
        <f t="shared" ref="B20:C20" si="38">H20</f>
        <v>Sylhet</v>
      </c>
      <c r="C20" s="5" t="str">
        <f t="shared" si="38"/>
        <v>20–24</v>
      </c>
      <c r="D20" s="5">
        <f t="shared" ref="D20:F20" si="39">J20+P20+V20</f>
        <v>215247</v>
      </c>
      <c r="E20" s="5">
        <f t="shared" si="39"/>
        <v>137246</v>
      </c>
      <c r="F20" s="5">
        <f t="shared" si="39"/>
        <v>78001</v>
      </c>
      <c r="G20" s="5"/>
      <c r="H20" s="5" t="s">
        <v>23</v>
      </c>
      <c r="I20" s="5" t="s">
        <v>14</v>
      </c>
      <c r="J20" s="6">
        <f t="shared" si="5"/>
        <v>49129</v>
      </c>
      <c r="K20" s="7">
        <v>47843.0</v>
      </c>
      <c r="L20" s="7">
        <v>1286.0</v>
      </c>
      <c r="N20" s="5" t="s">
        <v>23</v>
      </c>
      <c r="O20" s="5" t="s">
        <v>14</v>
      </c>
      <c r="P20" s="6">
        <f t="shared" si="6"/>
        <v>154695</v>
      </c>
      <c r="Q20" s="7">
        <v>88502.0</v>
      </c>
      <c r="R20" s="7">
        <v>66193.0</v>
      </c>
      <c r="T20" s="5" t="s">
        <v>23</v>
      </c>
      <c r="U20" s="5" t="s">
        <v>14</v>
      </c>
      <c r="V20" s="6">
        <f t="shared" si="7"/>
        <v>11423</v>
      </c>
      <c r="W20" s="7">
        <v>901.0</v>
      </c>
      <c r="X20" s="7">
        <v>10522.0</v>
      </c>
    </row>
    <row r="21">
      <c r="B21" s="5" t="str">
        <f t="shared" ref="B21:C21" si="40">H21</f>
        <v>Sylhet</v>
      </c>
      <c r="C21" s="5" t="str">
        <f t="shared" si="40"/>
        <v>25–29</v>
      </c>
      <c r="D21" s="5">
        <f t="shared" ref="D21:F21" si="41">J21+P21+V21</f>
        <v>125848</v>
      </c>
      <c r="E21" s="5">
        <f t="shared" si="41"/>
        <v>108217</v>
      </c>
      <c r="F21" s="5">
        <f t="shared" si="41"/>
        <v>17631</v>
      </c>
      <c r="G21" s="5"/>
      <c r="H21" s="5" t="s">
        <v>23</v>
      </c>
      <c r="I21" s="5" t="s">
        <v>15</v>
      </c>
      <c r="J21" s="6">
        <f t="shared" si="5"/>
        <v>27908</v>
      </c>
      <c r="K21" s="7">
        <v>27170.0</v>
      </c>
      <c r="L21" s="7">
        <v>738.0</v>
      </c>
      <c r="N21" s="5" t="s">
        <v>23</v>
      </c>
      <c r="O21" s="5" t="s">
        <v>15</v>
      </c>
      <c r="P21" s="6">
        <f t="shared" si="6"/>
        <v>78888</v>
      </c>
      <c r="Q21" s="7">
        <v>78888.0</v>
      </c>
      <c r="R21" s="7">
        <v>0.0</v>
      </c>
      <c r="T21" s="5" t="s">
        <v>23</v>
      </c>
      <c r="U21" s="5" t="s">
        <v>15</v>
      </c>
      <c r="V21" s="6">
        <f t="shared" si="7"/>
        <v>19052</v>
      </c>
      <c r="W21" s="7">
        <v>2159.0</v>
      </c>
      <c r="X21" s="7">
        <v>16893.0</v>
      </c>
    </row>
    <row r="22">
      <c r="B22" s="5" t="str">
        <f t="shared" ref="B22:C22" si="42">H22</f>
        <v>Sylhet</v>
      </c>
      <c r="C22" s="5" t="str">
        <f t="shared" si="42"/>
        <v>30–34</v>
      </c>
      <c r="D22" s="5">
        <f t="shared" ref="D22:F22" si="43">J22+P22+V22</f>
        <v>176970</v>
      </c>
      <c r="E22" s="5">
        <f t="shared" si="43"/>
        <v>94642</v>
      </c>
      <c r="F22" s="5">
        <f t="shared" si="43"/>
        <v>82328</v>
      </c>
      <c r="G22" s="5"/>
      <c r="H22" s="5" t="s">
        <v>23</v>
      </c>
      <c r="I22" s="5" t="s">
        <v>16</v>
      </c>
      <c r="J22" s="6">
        <f t="shared" si="5"/>
        <v>11391</v>
      </c>
      <c r="K22" s="7">
        <v>10889.0</v>
      </c>
      <c r="L22" s="7">
        <v>502.0</v>
      </c>
      <c r="N22" s="5" t="s">
        <v>23</v>
      </c>
      <c r="O22" s="5" t="s">
        <v>16</v>
      </c>
      <c r="P22" s="6">
        <f t="shared" si="6"/>
        <v>133682</v>
      </c>
      <c r="Q22" s="7">
        <v>75510.0</v>
      </c>
      <c r="R22" s="7">
        <v>58172.0</v>
      </c>
      <c r="T22" s="5" t="s">
        <v>23</v>
      </c>
      <c r="U22" s="5" t="s">
        <v>16</v>
      </c>
      <c r="V22" s="6">
        <f t="shared" si="7"/>
        <v>31897</v>
      </c>
      <c r="W22" s="7">
        <v>8243.0</v>
      </c>
      <c r="X22" s="7">
        <v>23654.0</v>
      </c>
    </row>
    <row r="23">
      <c r="B23" s="5" t="str">
        <f t="shared" ref="B23:C23" si="44">H23</f>
        <v>Sylhet</v>
      </c>
      <c r="C23" s="5" t="str">
        <f t="shared" si="44"/>
        <v>35–39</v>
      </c>
      <c r="D23" s="5">
        <f t="shared" ref="D23:F23" si="45">J23+P23+V23</f>
        <v>117794</v>
      </c>
      <c r="E23" s="5">
        <f t="shared" si="45"/>
        <v>69533</v>
      </c>
      <c r="F23" s="5">
        <f t="shared" si="45"/>
        <v>48261</v>
      </c>
      <c r="G23" s="5"/>
      <c r="H23" s="5" t="s">
        <v>23</v>
      </c>
      <c r="I23" s="5" t="s">
        <v>17</v>
      </c>
      <c r="J23" s="6">
        <f t="shared" si="5"/>
        <v>4609</v>
      </c>
      <c r="K23" s="7">
        <v>4345.0</v>
      </c>
      <c r="L23" s="7">
        <v>264.0</v>
      </c>
      <c r="N23" s="5" t="s">
        <v>23</v>
      </c>
      <c r="O23" s="5" t="s">
        <v>17</v>
      </c>
      <c r="P23" s="6">
        <f t="shared" si="6"/>
        <v>89195</v>
      </c>
      <c r="Q23" s="7">
        <v>62058.0</v>
      </c>
      <c r="R23" s="7">
        <v>27137.0</v>
      </c>
      <c r="T23" s="5" t="s">
        <v>23</v>
      </c>
      <c r="U23" s="5" t="s">
        <v>17</v>
      </c>
      <c r="V23" s="6">
        <f t="shared" si="7"/>
        <v>23990</v>
      </c>
      <c r="W23" s="7">
        <v>3130.0</v>
      </c>
      <c r="X23" s="7">
        <v>20860.0</v>
      </c>
    </row>
    <row r="24">
      <c r="B24" s="5" t="str">
        <f t="shared" ref="B24:C24" si="46">H24</f>
        <v>Sylhet</v>
      </c>
      <c r="C24" s="5" t="str">
        <f t="shared" si="46"/>
        <v>40–44</v>
      </c>
      <c r="D24" s="5">
        <f t="shared" ref="D24:F24" si="47">J24+P24+V24</f>
        <v>116702</v>
      </c>
      <c r="E24" s="5">
        <f t="shared" si="47"/>
        <v>62165</v>
      </c>
      <c r="F24" s="5">
        <f t="shared" si="47"/>
        <v>54537</v>
      </c>
      <c r="G24" s="5"/>
      <c r="H24" s="5" t="s">
        <v>23</v>
      </c>
      <c r="I24" s="5" t="s">
        <v>18</v>
      </c>
      <c r="J24" s="6">
        <f t="shared" si="5"/>
        <v>2697</v>
      </c>
      <c r="K24" s="7">
        <v>2447.0</v>
      </c>
      <c r="L24" s="7">
        <v>250.0</v>
      </c>
      <c r="N24" s="5" t="s">
        <v>23</v>
      </c>
      <c r="O24" s="5" t="s">
        <v>18</v>
      </c>
      <c r="P24" s="6">
        <f t="shared" si="6"/>
        <v>77825</v>
      </c>
      <c r="Q24" s="7">
        <v>55462.0</v>
      </c>
      <c r="R24" s="7">
        <v>22363.0</v>
      </c>
      <c r="T24" s="5" t="s">
        <v>23</v>
      </c>
      <c r="U24" s="5" t="s">
        <v>18</v>
      </c>
      <c r="V24" s="6">
        <f t="shared" si="7"/>
        <v>36180</v>
      </c>
      <c r="W24" s="7">
        <v>4256.0</v>
      </c>
      <c r="X24" s="7">
        <v>31924.0</v>
      </c>
    </row>
    <row r="25">
      <c r="B25" s="5" t="str">
        <f t="shared" ref="B25:C25" si="48">H25</f>
        <v>Sylhet</v>
      </c>
      <c r="C25" s="5" t="str">
        <f t="shared" si="48"/>
        <v>45–49</v>
      </c>
      <c r="D25" s="5">
        <f t="shared" ref="D25:F25" si="49">J25+P25+V25</f>
        <v>60621</v>
      </c>
      <c r="E25" s="5">
        <f t="shared" si="49"/>
        <v>35511</v>
      </c>
      <c r="F25" s="5">
        <f t="shared" si="49"/>
        <v>25110</v>
      </c>
      <c r="G25" s="5"/>
      <c r="H25" s="5" t="s">
        <v>23</v>
      </c>
      <c r="I25" s="5" t="s">
        <v>19</v>
      </c>
      <c r="J25" s="6">
        <f t="shared" si="5"/>
        <v>1210</v>
      </c>
      <c r="K25" s="7">
        <v>1110.0</v>
      </c>
      <c r="L25" s="7">
        <v>100.0</v>
      </c>
      <c r="N25" s="5" t="s">
        <v>23</v>
      </c>
      <c r="O25" s="5" t="s">
        <v>19</v>
      </c>
      <c r="P25" s="6">
        <f t="shared" si="6"/>
        <v>38286</v>
      </c>
      <c r="Q25" s="7">
        <v>31332.0</v>
      </c>
      <c r="R25" s="7">
        <v>6954.0</v>
      </c>
      <c r="T25" s="5" t="s">
        <v>23</v>
      </c>
      <c r="U25" s="5" t="s">
        <v>19</v>
      </c>
      <c r="V25" s="6">
        <f t="shared" si="7"/>
        <v>21125</v>
      </c>
      <c r="W25" s="7">
        <v>3069.0</v>
      </c>
      <c r="X25" s="7">
        <v>18056.0</v>
      </c>
    </row>
    <row r="26">
      <c r="B26" s="5" t="str">
        <f t="shared" ref="B26:C26" si="50">H26</f>
        <v>Sylhet</v>
      </c>
      <c r="C26" s="5" t="str">
        <f t="shared" si="50"/>
        <v>50–54</v>
      </c>
      <c r="D26" s="5">
        <f t="shared" ref="D26:F26" si="51">J26+P26+V26</f>
        <v>75596</v>
      </c>
      <c r="E26" s="5">
        <f t="shared" si="51"/>
        <v>38792</v>
      </c>
      <c r="F26" s="5">
        <f t="shared" si="51"/>
        <v>36804</v>
      </c>
      <c r="G26" s="5"/>
      <c r="H26" s="5" t="s">
        <v>23</v>
      </c>
      <c r="I26" s="5" t="s">
        <v>20</v>
      </c>
      <c r="J26" s="6">
        <f t="shared" si="5"/>
        <v>1187</v>
      </c>
      <c r="K26" s="7">
        <v>1053.0</v>
      </c>
      <c r="L26" s="7">
        <v>134.0</v>
      </c>
      <c r="N26" s="5" t="s">
        <v>23</v>
      </c>
      <c r="O26" s="5" t="s">
        <v>20</v>
      </c>
      <c r="P26" s="6">
        <f t="shared" si="6"/>
        <v>40945</v>
      </c>
      <c r="Q26" s="7">
        <v>33260.0</v>
      </c>
      <c r="R26" s="7">
        <v>7685.0</v>
      </c>
      <c r="T26" s="5" t="s">
        <v>23</v>
      </c>
      <c r="U26" s="5" t="s">
        <v>20</v>
      </c>
      <c r="V26" s="6">
        <f t="shared" si="7"/>
        <v>33464</v>
      </c>
      <c r="W26" s="7">
        <v>4479.0</v>
      </c>
      <c r="X26" s="7">
        <v>28985.0</v>
      </c>
    </row>
    <row r="27">
      <c r="B27" s="5" t="str">
        <f t="shared" ref="B27:C27" si="52">H27</f>
        <v>Sylhet</v>
      </c>
      <c r="C27" s="5" t="str">
        <f t="shared" si="52"/>
        <v>55–59</v>
      </c>
      <c r="D27" s="5">
        <f t="shared" ref="D27:F27" si="53">J27+P27+V27</f>
        <v>21355</v>
      </c>
      <c r="E27" s="5">
        <f t="shared" si="53"/>
        <v>12325</v>
      </c>
      <c r="F27" s="5">
        <f t="shared" si="53"/>
        <v>9030</v>
      </c>
      <c r="G27" s="5"/>
      <c r="H27" s="5" t="s">
        <v>23</v>
      </c>
      <c r="I27" s="5" t="s">
        <v>21</v>
      </c>
      <c r="J27" s="6">
        <f t="shared" si="5"/>
        <v>402</v>
      </c>
      <c r="K27" s="7">
        <v>376.0</v>
      </c>
      <c r="L27" s="7">
        <v>26.0</v>
      </c>
      <c r="N27" s="5" t="s">
        <v>23</v>
      </c>
      <c r="O27" s="5" t="s">
        <v>21</v>
      </c>
      <c r="P27" s="6">
        <f t="shared" si="6"/>
        <v>11486</v>
      </c>
      <c r="Q27" s="7">
        <v>10283.0</v>
      </c>
      <c r="R27" s="7">
        <v>1203.0</v>
      </c>
      <c r="T27" s="5" t="s">
        <v>23</v>
      </c>
      <c r="U27" s="5" t="s">
        <v>21</v>
      </c>
      <c r="V27" s="6">
        <f t="shared" si="7"/>
        <v>9467</v>
      </c>
      <c r="W27" s="7">
        <v>1666.0</v>
      </c>
      <c r="X27" s="7">
        <v>7801.0</v>
      </c>
    </row>
    <row r="28">
      <c r="B28" s="5" t="str">
        <f t="shared" ref="B28:C28" si="54">H28</f>
        <v>Sylhet</v>
      </c>
      <c r="C28" s="5" t="str">
        <f t="shared" si="54"/>
        <v>60 and over</v>
      </c>
      <c r="D28" s="5">
        <f t="shared" ref="D28:F28" si="55">J28+P28+V28</f>
        <v>109778</v>
      </c>
      <c r="E28" s="5">
        <f t="shared" si="55"/>
        <v>54580</v>
      </c>
      <c r="F28" s="5">
        <f t="shared" si="55"/>
        <v>55198</v>
      </c>
      <c r="G28" s="5"/>
      <c r="H28" s="5" t="s">
        <v>23</v>
      </c>
      <c r="I28" s="5" t="s">
        <v>22</v>
      </c>
      <c r="J28" s="6">
        <f t="shared" si="5"/>
        <v>1652</v>
      </c>
      <c r="K28" s="7">
        <v>1442.0</v>
      </c>
      <c r="L28" s="7">
        <v>210.0</v>
      </c>
      <c r="N28" s="5" t="s">
        <v>23</v>
      </c>
      <c r="O28" s="5" t="s">
        <v>22</v>
      </c>
      <c r="P28" s="6">
        <f t="shared" si="6"/>
        <v>44861</v>
      </c>
      <c r="Q28" s="7">
        <v>41346.0</v>
      </c>
      <c r="R28" s="7">
        <v>3515.0</v>
      </c>
      <c r="T28" s="5" t="s">
        <v>23</v>
      </c>
      <c r="U28" s="5" t="s">
        <v>22</v>
      </c>
      <c r="V28" s="6">
        <f t="shared" si="7"/>
        <v>63265</v>
      </c>
      <c r="W28" s="7">
        <v>11792.0</v>
      </c>
      <c r="X28" s="7">
        <v>51473.0</v>
      </c>
    </row>
    <row r="29">
      <c r="B29" s="5" t="str">
        <f t="shared" ref="B29:C29" si="56">H29</f>
        <v>Goalpara</v>
      </c>
      <c r="C29" s="5" t="str">
        <f t="shared" si="56"/>
        <v>0–4</v>
      </c>
      <c r="D29" s="5">
        <f t="shared" ref="D29:F29" si="57">J29+P29+V29</f>
        <v>76212</v>
      </c>
      <c r="E29" s="5">
        <f t="shared" si="57"/>
        <v>36921</v>
      </c>
      <c r="F29" s="5">
        <f t="shared" si="57"/>
        <v>39291</v>
      </c>
      <c r="G29" s="5"/>
      <c r="H29" s="5" t="s">
        <v>24</v>
      </c>
      <c r="I29" s="5" t="s">
        <v>10</v>
      </c>
      <c r="J29" s="6">
        <f t="shared" si="5"/>
        <v>76146</v>
      </c>
      <c r="K29" s="7">
        <v>36901.0</v>
      </c>
      <c r="L29" s="7">
        <v>39245.0</v>
      </c>
      <c r="N29" s="5" t="s">
        <v>24</v>
      </c>
      <c r="O29" s="5" t="s">
        <v>10</v>
      </c>
      <c r="P29" s="6">
        <f t="shared" si="6"/>
        <v>49</v>
      </c>
      <c r="Q29" s="7">
        <v>11.0</v>
      </c>
      <c r="R29" s="7">
        <v>38.0</v>
      </c>
      <c r="T29" s="5" t="s">
        <v>24</v>
      </c>
      <c r="U29" s="5" t="s">
        <v>10</v>
      </c>
      <c r="V29" s="6">
        <f t="shared" si="7"/>
        <v>17</v>
      </c>
      <c r="W29" s="7">
        <v>9.0</v>
      </c>
      <c r="X29" s="7">
        <v>8.0</v>
      </c>
    </row>
    <row r="30">
      <c r="B30" s="5" t="str">
        <f t="shared" ref="B30:C30" si="58">H30</f>
        <v>Goalpara</v>
      </c>
      <c r="C30" s="5" t="str">
        <f t="shared" si="58"/>
        <v>5–9</v>
      </c>
      <c r="D30" s="5">
        <f t="shared" ref="D30:F30" si="59">J30+P30+V30</f>
        <v>68551</v>
      </c>
      <c r="E30" s="5">
        <f t="shared" si="59"/>
        <v>35312</v>
      </c>
      <c r="F30" s="5">
        <f t="shared" si="59"/>
        <v>33239</v>
      </c>
      <c r="G30" s="5"/>
      <c r="H30" s="5" t="s">
        <v>24</v>
      </c>
      <c r="I30" s="5" t="s">
        <v>11</v>
      </c>
      <c r="J30" s="6">
        <f t="shared" si="5"/>
        <v>65873</v>
      </c>
      <c r="K30" s="7">
        <v>35104.0</v>
      </c>
      <c r="L30" s="7">
        <v>30769.0</v>
      </c>
      <c r="N30" s="5" t="s">
        <v>24</v>
      </c>
      <c r="O30" s="5" t="s">
        <v>11</v>
      </c>
      <c r="P30" s="6">
        <f t="shared" si="6"/>
        <v>2560</v>
      </c>
      <c r="Q30" s="7">
        <v>130.0</v>
      </c>
      <c r="R30" s="7">
        <v>2430.0</v>
      </c>
      <c r="T30" s="5" t="s">
        <v>24</v>
      </c>
      <c r="U30" s="5" t="s">
        <v>11</v>
      </c>
      <c r="V30" s="6">
        <f t="shared" si="7"/>
        <v>118</v>
      </c>
      <c r="W30" s="7">
        <v>78.0</v>
      </c>
      <c r="X30" s="7">
        <v>40.0</v>
      </c>
    </row>
    <row r="31">
      <c r="B31" s="5" t="str">
        <f t="shared" ref="B31:C31" si="60">H31</f>
        <v>Goalpara</v>
      </c>
      <c r="C31" s="5" t="str">
        <f t="shared" si="60"/>
        <v>10–14</v>
      </c>
      <c r="D31" s="5">
        <f t="shared" ref="D31:F31" si="61">J31+P31+V31</f>
        <v>46912</v>
      </c>
      <c r="E31" s="5">
        <f t="shared" si="61"/>
        <v>33365</v>
      </c>
      <c r="F31" s="5">
        <f t="shared" si="61"/>
        <v>13547</v>
      </c>
      <c r="G31" s="5"/>
      <c r="H31" s="5" t="s">
        <v>24</v>
      </c>
      <c r="I31" s="5" t="s">
        <v>12</v>
      </c>
      <c r="J31" s="6">
        <f t="shared" si="5"/>
        <v>32380</v>
      </c>
      <c r="K31" s="7">
        <v>23161.0</v>
      </c>
      <c r="L31" s="7">
        <v>9219.0</v>
      </c>
      <c r="N31" s="5" t="s">
        <v>24</v>
      </c>
      <c r="O31" s="5" t="s">
        <v>12</v>
      </c>
      <c r="P31" s="6">
        <f t="shared" si="6"/>
        <v>14379</v>
      </c>
      <c r="Q31" s="7">
        <v>10164.0</v>
      </c>
      <c r="R31" s="7">
        <v>4215.0</v>
      </c>
      <c r="T31" s="5" t="s">
        <v>24</v>
      </c>
      <c r="U31" s="5" t="s">
        <v>12</v>
      </c>
      <c r="V31" s="6">
        <f t="shared" si="7"/>
        <v>153</v>
      </c>
      <c r="W31" s="7">
        <v>40.0</v>
      </c>
      <c r="X31" s="7">
        <v>113.0</v>
      </c>
    </row>
    <row r="32">
      <c r="B32" s="5" t="str">
        <f t="shared" ref="B32:C32" si="62">H32</f>
        <v>Goalpara</v>
      </c>
      <c r="C32" s="5" t="str">
        <f t="shared" si="62"/>
        <v>15–19</v>
      </c>
      <c r="D32" s="5">
        <f t="shared" ref="D32:F32" si="63">J32+P32+V32</f>
        <v>40215</v>
      </c>
      <c r="E32" s="5">
        <f t="shared" si="63"/>
        <v>28248</v>
      </c>
      <c r="F32" s="5">
        <f t="shared" si="63"/>
        <v>11967</v>
      </c>
      <c r="G32" s="5"/>
      <c r="H32" s="5" t="s">
        <v>24</v>
      </c>
      <c r="I32" s="5" t="s">
        <v>13</v>
      </c>
      <c r="J32" s="6">
        <f t="shared" si="5"/>
        <v>14642</v>
      </c>
      <c r="K32" s="7">
        <v>12619.0</v>
      </c>
      <c r="L32" s="7">
        <v>2023.0</v>
      </c>
      <c r="N32" s="5" t="s">
        <v>24</v>
      </c>
      <c r="O32" s="5" t="s">
        <v>13</v>
      </c>
      <c r="P32" s="6">
        <f t="shared" si="6"/>
        <v>24453</v>
      </c>
      <c r="Q32" s="7">
        <v>15535.0</v>
      </c>
      <c r="R32" s="7">
        <v>8918.0</v>
      </c>
      <c r="T32" s="5" t="s">
        <v>24</v>
      </c>
      <c r="U32" s="5" t="s">
        <v>13</v>
      </c>
      <c r="V32" s="6">
        <f t="shared" si="7"/>
        <v>1120</v>
      </c>
      <c r="W32" s="7">
        <v>94.0</v>
      </c>
      <c r="X32" s="7">
        <v>1026.0</v>
      </c>
    </row>
    <row r="33">
      <c r="B33" s="5" t="str">
        <f t="shared" ref="B33:C33" si="64">H33</f>
        <v>Goalpara</v>
      </c>
      <c r="C33" s="5" t="str">
        <f t="shared" si="64"/>
        <v>20–24</v>
      </c>
      <c r="D33" s="5">
        <f t="shared" ref="D33:F33" si="65">J33+P33+V33</f>
        <v>41833</v>
      </c>
      <c r="E33" s="5">
        <f t="shared" si="65"/>
        <v>23542</v>
      </c>
      <c r="F33" s="5">
        <f t="shared" si="65"/>
        <v>18291</v>
      </c>
      <c r="G33" s="5"/>
      <c r="H33" s="5" t="s">
        <v>24</v>
      </c>
      <c r="I33" s="5" t="s">
        <v>14</v>
      </c>
      <c r="J33" s="6">
        <f t="shared" si="5"/>
        <v>8249</v>
      </c>
      <c r="K33" s="7">
        <v>7620.0</v>
      </c>
      <c r="L33" s="7">
        <v>629.0</v>
      </c>
      <c r="N33" s="5" t="s">
        <v>24</v>
      </c>
      <c r="O33" s="5" t="s">
        <v>14</v>
      </c>
      <c r="P33" s="6">
        <f t="shared" si="6"/>
        <v>31696</v>
      </c>
      <c r="Q33" s="7">
        <v>15669.0</v>
      </c>
      <c r="R33" s="7">
        <v>16027.0</v>
      </c>
      <c r="T33" s="5" t="s">
        <v>24</v>
      </c>
      <c r="U33" s="5" t="s">
        <v>14</v>
      </c>
      <c r="V33" s="6">
        <f t="shared" si="7"/>
        <v>1888</v>
      </c>
      <c r="W33" s="7">
        <v>253.0</v>
      </c>
      <c r="X33" s="7">
        <v>1635.0</v>
      </c>
    </row>
    <row r="34">
      <c r="B34" s="5" t="str">
        <f t="shared" ref="B34:C34" si="66">H34</f>
        <v>Goalpara</v>
      </c>
      <c r="C34" s="5" t="str">
        <f t="shared" si="66"/>
        <v>25–29</v>
      </c>
      <c r="D34" s="5">
        <f t="shared" ref="D34:F34" si="67">J34+P34+V34</f>
        <v>24894</v>
      </c>
      <c r="E34" s="5">
        <f t="shared" si="67"/>
        <v>21701</v>
      </c>
      <c r="F34" s="5">
        <f t="shared" si="67"/>
        <v>3193</v>
      </c>
      <c r="G34" s="5"/>
      <c r="H34" s="5" t="s">
        <v>24</v>
      </c>
      <c r="I34" s="5" t="s">
        <v>15</v>
      </c>
      <c r="J34" s="6">
        <f t="shared" si="5"/>
        <v>5627</v>
      </c>
      <c r="K34" s="7">
        <v>5294.0</v>
      </c>
      <c r="L34" s="7">
        <v>333.0</v>
      </c>
      <c r="N34" s="5" t="s">
        <v>24</v>
      </c>
      <c r="O34" s="5" t="s">
        <v>15</v>
      </c>
      <c r="P34" s="6">
        <f t="shared" si="6"/>
        <v>15845</v>
      </c>
      <c r="Q34" s="7">
        <v>15845.0</v>
      </c>
      <c r="R34" s="7">
        <v>0.0</v>
      </c>
      <c r="T34" s="5" t="s">
        <v>24</v>
      </c>
      <c r="U34" s="5" t="s">
        <v>15</v>
      </c>
      <c r="V34" s="6">
        <f t="shared" si="7"/>
        <v>3422</v>
      </c>
      <c r="W34" s="7">
        <v>562.0</v>
      </c>
      <c r="X34" s="7">
        <v>2860.0</v>
      </c>
    </row>
    <row r="35">
      <c r="B35" s="5" t="str">
        <f t="shared" ref="B35:C35" si="68">H35</f>
        <v>Goalpara</v>
      </c>
      <c r="C35" s="5" t="str">
        <f t="shared" si="68"/>
        <v>30–34</v>
      </c>
      <c r="D35" s="5">
        <f t="shared" ref="D35:F35" si="69">J35+P35+V35</f>
        <v>36409</v>
      </c>
      <c r="E35" s="5">
        <f t="shared" si="69"/>
        <v>20010</v>
      </c>
      <c r="F35" s="5">
        <f t="shared" si="69"/>
        <v>16399</v>
      </c>
      <c r="G35" s="5"/>
      <c r="H35" s="5" t="s">
        <v>24</v>
      </c>
      <c r="I35" s="5" t="s">
        <v>16</v>
      </c>
      <c r="J35" s="6">
        <f t="shared" si="5"/>
        <v>2497</v>
      </c>
      <c r="K35" s="7">
        <v>2314.0</v>
      </c>
      <c r="L35" s="7">
        <v>183.0</v>
      </c>
      <c r="N35" s="5" t="s">
        <v>24</v>
      </c>
      <c r="O35" s="5" t="s">
        <v>16</v>
      </c>
      <c r="P35" s="6">
        <f t="shared" si="6"/>
        <v>29391</v>
      </c>
      <c r="Q35" s="7">
        <v>16932.0</v>
      </c>
      <c r="R35" s="7">
        <v>12459.0</v>
      </c>
      <c r="T35" s="5" t="s">
        <v>24</v>
      </c>
      <c r="U35" s="5" t="s">
        <v>16</v>
      </c>
      <c r="V35" s="6">
        <f t="shared" si="7"/>
        <v>4521</v>
      </c>
      <c r="W35" s="7">
        <v>764.0</v>
      </c>
      <c r="X35" s="7">
        <v>3757.0</v>
      </c>
    </row>
    <row r="36">
      <c r="B36" s="5" t="str">
        <f t="shared" ref="B36:C36" si="70">H36</f>
        <v>Goalpara</v>
      </c>
      <c r="C36" s="5" t="str">
        <f t="shared" si="70"/>
        <v>35–39</v>
      </c>
      <c r="D36" s="5">
        <f t="shared" ref="D36:F36" si="71">J36+P36+V36</f>
        <v>26804</v>
      </c>
      <c r="E36" s="5">
        <f t="shared" si="71"/>
        <v>16333</v>
      </c>
      <c r="F36" s="5">
        <f t="shared" si="71"/>
        <v>10471</v>
      </c>
      <c r="G36" s="5"/>
      <c r="H36" s="5" t="s">
        <v>24</v>
      </c>
      <c r="I36" s="5" t="s">
        <v>17</v>
      </c>
      <c r="J36" s="6">
        <f t="shared" si="5"/>
        <v>1010</v>
      </c>
      <c r="K36" s="7">
        <v>908.0</v>
      </c>
      <c r="L36" s="7">
        <v>102.0</v>
      </c>
      <c r="N36" s="5" t="s">
        <v>24</v>
      </c>
      <c r="O36" s="5" t="s">
        <v>17</v>
      </c>
      <c r="P36" s="6">
        <f t="shared" si="6"/>
        <v>21262</v>
      </c>
      <c r="Q36" s="7">
        <v>14591.0</v>
      </c>
      <c r="R36" s="7">
        <v>6671.0</v>
      </c>
      <c r="T36" s="5" t="s">
        <v>24</v>
      </c>
      <c r="U36" s="5" t="s">
        <v>17</v>
      </c>
      <c r="V36" s="6">
        <f t="shared" si="7"/>
        <v>4532</v>
      </c>
      <c r="W36" s="7">
        <v>834.0</v>
      </c>
      <c r="X36" s="7">
        <v>3698.0</v>
      </c>
    </row>
    <row r="37">
      <c r="B37" s="5" t="str">
        <f t="shared" ref="B37:C37" si="72">H37</f>
        <v>Goalpara</v>
      </c>
      <c r="C37" s="5" t="str">
        <f t="shared" si="72"/>
        <v>40–44</v>
      </c>
      <c r="D37" s="5">
        <f t="shared" ref="D37:F37" si="73">J37+P37+V37</f>
        <v>26917</v>
      </c>
      <c r="E37" s="5">
        <f t="shared" si="73"/>
        <v>15216</v>
      </c>
      <c r="F37" s="5">
        <f t="shared" si="73"/>
        <v>11701</v>
      </c>
      <c r="G37" s="5"/>
      <c r="H37" s="5" t="s">
        <v>24</v>
      </c>
      <c r="I37" s="5" t="s">
        <v>18</v>
      </c>
      <c r="J37" s="6">
        <f t="shared" si="5"/>
        <v>600</v>
      </c>
      <c r="K37" s="7">
        <v>507.0</v>
      </c>
      <c r="L37" s="7">
        <v>93.0</v>
      </c>
      <c r="N37" s="5" t="s">
        <v>24</v>
      </c>
      <c r="O37" s="5" t="s">
        <v>18</v>
      </c>
      <c r="P37" s="6">
        <f t="shared" si="6"/>
        <v>19732</v>
      </c>
      <c r="Q37" s="7">
        <v>13650.0</v>
      </c>
      <c r="R37" s="7">
        <v>6082.0</v>
      </c>
      <c r="T37" s="5" t="s">
        <v>24</v>
      </c>
      <c r="U37" s="5" t="s">
        <v>18</v>
      </c>
      <c r="V37" s="6">
        <f t="shared" si="7"/>
        <v>6585</v>
      </c>
      <c r="W37" s="7">
        <v>1059.0</v>
      </c>
      <c r="X37" s="7">
        <v>5526.0</v>
      </c>
    </row>
    <row r="38">
      <c r="B38" s="5" t="str">
        <f t="shared" ref="B38:C38" si="74">H38</f>
        <v>Goalpara</v>
      </c>
      <c r="C38" s="5" t="str">
        <f t="shared" si="74"/>
        <v>45–49</v>
      </c>
      <c r="D38" s="5">
        <f t="shared" ref="D38:F38" si="75">J38+P38+V38</f>
        <v>12525</v>
      </c>
      <c r="E38" s="5">
        <f t="shared" si="75"/>
        <v>7568</v>
      </c>
      <c r="F38" s="5">
        <f t="shared" si="75"/>
        <v>4957</v>
      </c>
      <c r="G38" s="5"/>
      <c r="H38" s="5" t="s">
        <v>24</v>
      </c>
      <c r="I38" s="5" t="s">
        <v>19</v>
      </c>
      <c r="J38" s="6">
        <f t="shared" si="5"/>
        <v>229</v>
      </c>
      <c r="K38" s="7">
        <v>191.0</v>
      </c>
      <c r="L38" s="7">
        <v>38.0</v>
      </c>
      <c r="N38" s="5" t="s">
        <v>24</v>
      </c>
      <c r="O38" s="5" t="s">
        <v>19</v>
      </c>
      <c r="P38" s="6">
        <f t="shared" si="6"/>
        <v>8758</v>
      </c>
      <c r="Q38" s="7">
        <v>6699.0</v>
      </c>
      <c r="R38" s="7">
        <v>2059.0</v>
      </c>
      <c r="T38" s="5" t="s">
        <v>24</v>
      </c>
      <c r="U38" s="5" t="s">
        <v>19</v>
      </c>
      <c r="V38" s="6">
        <f t="shared" si="7"/>
        <v>3538</v>
      </c>
      <c r="W38" s="7">
        <v>678.0</v>
      </c>
      <c r="X38" s="7">
        <v>2860.0</v>
      </c>
    </row>
    <row r="39">
      <c r="B39" s="5" t="str">
        <f t="shared" ref="B39:C39" si="76">H39</f>
        <v>Goalpara</v>
      </c>
      <c r="C39" s="5" t="str">
        <f t="shared" si="76"/>
        <v>50–54</v>
      </c>
      <c r="D39" s="5">
        <f t="shared" ref="D39:F39" si="77">J39+P39+V39</f>
        <v>17067</v>
      </c>
      <c r="E39" s="5">
        <f t="shared" si="77"/>
        <v>9314</v>
      </c>
      <c r="F39" s="5">
        <f t="shared" si="77"/>
        <v>7753</v>
      </c>
      <c r="G39" s="5"/>
      <c r="H39" s="5" t="s">
        <v>24</v>
      </c>
      <c r="I39" s="5" t="s">
        <v>20</v>
      </c>
      <c r="J39" s="6">
        <f t="shared" si="5"/>
        <v>249</v>
      </c>
      <c r="K39" s="7">
        <v>188.0</v>
      </c>
      <c r="L39" s="7">
        <v>61.0</v>
      </c>
      <c r="N39" s="5" t="s">
        <v>24</v>
      </c>
      <c r="O39" s="5" t="s">
        <v>20</v>
      </c>
      <c r="P39" s="6">
        <f t="shared" si="6"/>
        <v>10583</v>
      </c>
      <c r="Q39" s="7">
        <v>8166.0</v>
      </c>
      <c r="R39" s="7">
        <v>2417.0</v>
      </c>
      <c r="T39" s="5" t="s">
        <v>24</v>
      </c>
      <c r="U39" s="5" t="s">
        <v>20</v>
      </c>
      <c r="V39" s="6">
        <f t="shared" si="7"/>
        <v>6235</v>
      </c>
      <c r="W39" s="7">
        <v>960.0</v>
      </c>
      <c r="X39" s="7">
        <v>5275.0</v>
      </c>
    </row>
    <row r="40">
      <c r="B40" s="5" t="str">
        <f t="shared" ref="B40:C40" si="78">H40</f>
        <v>Goalpara</v>
      </c>
      <c r="C40" s="5" t="str">
        <f t="shared" si="78"/>
        <v>55–59</v>
      </c>
      <c r="D40" s="5">
        <f t="shared" ref="D40:F40" si="79">J40+P40+V40</f>
        <v>6030</v>
      </c>
      <c r="E40" s="5">
        <f t="shared" si="79"/>
        <v>3254</v>
      </c>
      <c r="F40" s="5">
        <f t="shared" si="79"/>
        <v>2776</v>
      </c>
      <c r="G40" s="5"/>
      <c r="H40" s="5" t="s">
        <v>24</v>
      </c>
      <c r="I40" s="5" t="s">
        <v>21</v>
      </c>
      <c r="J40" s="6">
        <f t="shared" si="5"/>
        <v>72</v>
      </c>
      <c r="K40" s="7">
        <v>58.0</v>
      </c>
      <c r="L40" s="7">
        <v>14.0</v>
      </c>
      <c r="N40" s="5" t="s">
        <v>24</v>
      </c>
      <c r="O40" s="5" t="s">
        <v>21</v>
      </c>
      <c r="P40" s="6">
        <f t="shared" si="6"/>
        <v>3508</v>
      </c>
      <c r="Q40" s="7">
        <v>2749.0</v>
      </c>
      <c r="R40" s="7">
        <v>759.0</v>
      </c>
      <c r="T40" s="5" t="s">
        <v>24</v>
      </c>
      <c r="U40" s="5" t="s">
        <v>21</v>
      </c>
      <c r="V40" s="6">
        <f t="shared" si="7"/>
        <v>2450</v>
      </c>
      <c r="W40" s="7">
        <v>447.0</v>
      </c>
      <c r="X40" s="7">
        <v>2003.0</v>
      </c>
    </row>
    <row r="41">
      <c r="B41" s="5" t="str">
        <f t="shared" ref="B41:C41" si="80">H41</f>
        <v>Goalpara</v>
      </c>
      <c r="C41" s="5" t="str">
        <f t="shared" si="80"/>
        <v>60 and over</v>
      </c>
      <c r="D41" s="5">
        <f t="shared" ref="D41:F41" si="81">J41+P41+V41</f>
        <v>26284</v>
      </c>
      <c r="E41" s="5">
        <f t="shared" si="81"/>
        <v>12586</v>
      </c>
      <c r="F41" s="5">
        <f t="shared" si="81"/>
        <v>13698</v>
      </c>
      <c r="G41" s="5"/>
      <c r="H41" s="5" t="s">
        <v>24</v>
      </c>
      <c r="I41" s="5" t="s">
        <v>22</v>
      </c>
      <c r="J41" s="6">
        <f t="shared" si="5"/>
        <v>242</v>
      </c>
      <c r="K41" s="7">
        <v>171.0</v>
      </c>
      <c r="L41" s="7">
        <v>71.0</v>
      </c>
      <c r="N41" s="5" t="s">
        <v>24</v>
      </c>
      <c r="O41" s="5" t="s">
        <v>22</v>
      </c>
      <c r="P41" s="6">
        <f t="shared" si="6"/>
        <v>11739</v>
      </c>
      <c r="Q41" s="7">
        <v>9887.0</v>
      </c>
      <c r="R41" s="7">
        <v>1852.0</v>
      </c>
      <c r="T41" s="5" t="s">
        <v>24</v>
      </c>
      <c r="U41" s="5" t="s">
        <v>22</v>
      </c>
      <c r="V41" s="6">
        <f t="shared" si="7"/>
        <v>14303</v>
      </c>
      <c r="W41" s="7">
        <v>2528.0</v>
      </c>
      <c r="X41" s="7">
        <v>11775.0</v>
      </c>
    </row>
    <row r="42">
      <c r="B42" s="5" t="str">
        <f t="shared" ref="B42:C42" si="82">H42</f>
        <v>Kamrup</v>
      </c>
      <c r="C42" s="5" t="str">
        <f t="shared" si="82"/>
        <v>0–4</v>
      </c>
      <c r="D42" s="5">
        <f t="shared" ref="D42:F42" si="83">J42+P42+V42</f>
        <v>105145</v>
      </c>
      <c r="E42" s="5">
        <f t="shared" si="83"/>
        <v>50913</v>
      </c>
      <c r="F42" s="5">
        <f t="shared" si="83"/>
        <v>54232</v>
      </c>
      <c r="G42" s="5"/>
      <c r="H42" s="5" t="s">
        <v>25</v>
      </c>
      <c r="I42" s="5" t="s">
        <v>10</v>
      </c>
      <c r="J42" s="6">
        <f t="shared" si="5"/>
        <v>105030</v>
      </c>
      <c r="K42" s="7">
        <v>50882.0</v>
      </c>
      <c r="L42" s="7">
        <v>54148.0</v>
      </c>
      <c r="N42" s="5" t="s">
        <v>25</v>
      </c>
      <c r="O42" s="5" t="s">
        <v>10</v>
      </c>
      <c r="P42" s="6">
        <f t="shared" si="6"/>
        <v>94</v>
      </c>
      <c r="Q42" s="7">
        <v>31.0</v>
      </c>
      <c r="R42" s="7">
        <v>63.0</v>
      </c>
      <c r="T42" s="5" t="s">
        <v>25</v>
      </c>
      <c r="U42" s="5" t="s">
        <v>10</v>
      </c>
      <c r="V42" s="6">
        <f t="shared" si="7"/>
        <v>21</v>
      </c>
      <c r="W42" s="7">
        <v>0.0</v>
      </c>
      <c r="X42" s="7">
        <v>21.0</v>
      </c>
    </row>
    <row r="43">
      <c r="B43" s="5" t="str">
        <f t="shared" ref="B43:C43" si="84">H43</f>
        <v>Kamrup</v>
      </c>
      <c r="C43" s="5" t="str">
        <f t="shared" si="84"/>
        <v>5–9</v>
      </c>
      <c r="D43" s="5">
        <f t="shared" ref="D43:F43" si="85">J43+P43+V43</f>
        <v>98391</v>
      </c>
      <c r="E43" s="5">
        <f t="shared" si="85"/>
        <v>50218</v>
      </c>
      <c r="F43" s="5">
        <f t="shared" si="85"/>
        <v>48173</v>
      </c>
      <c r="G43" s="5"/>
      <c r="H43" s="5" t="s">
        <v>25</v>
      </c>
      <c r="I43" s="5" t="s">
        <v>11</v>
      </c>
      <c r="J43" s="6">
        <f t="shared" si="5"/>
        <v>97022</v>
      </c>
      <c r="K43" s="7">
        <v>49891.0</v>
      </c>
      <c r="L43" s="7">
        <v>47131.0</v>
      </c>
      <c r="N43" s="5" t="s">
        <v>25</v>
      </c>
      <c r="O43" s="5" t="s">
        <v>11</v>
      </c>
      <c r="P43" s="6">
        <f t="shared" si="6"/>
        <v>1118</v>
      </c>
      <c r="Q43" s="7">
        <v>188.0</v>
      </c>
      <c r="R43" s="7">
        <v>930.0</v>
      </c>
      <c r="T43" s="5" t="s">
        <v>25</v>
      </c>
      <c r="U43" s="5" t="s">
        <v>11</v>
      </c>
      <c r="V43" s="6">
        <f t="shared" si="7"/>
        <v>251</v>
      </c>
      <c r="W43" s="7">
        <v>139.0</v>
      </c>
      <c r="X43" s="7">
        <v>112.0</v>
      </c>
    </row>
    <row r="44">
      <c r="B44" s="5" t="str">
        <f t="shared" ref="B44:C44" si="86">H44</f>
        <v>Kamrup</v>
      </c>
      <c r="C44" s="5" t="str">
        <f t="shared" si="86"/>
        <v>10–14</v>
      </c>
      <c r="D44" s="5">
        <f t="shared" ref="D44:F44" si="87">J44+P44+V44</f>
        <v>70894</v>
      </c>
      <c r="E44" s="5">
        <f t="shared" si="87"/>
        <v>43970</v>
      </c>
      <c r="F44" s="5">
        <f t="shared" si="87"/>
        <v>26924</v>
      </c>
      <c r="G44" s="5"/>
      <c r="H44" s="5" t="s">
        <v>25</v>
      </c>
      <c r="I44" s="5" t="s">
        <v>12</v>
      </c>
      <c r="J44" s="6">
        <f t="shared" si="5"/>
        <v>59484</v>
      </c>
      <c r="K44" s="7">
        <v>36592.0</v>
      </c>
      <c r="L44" s="7">
        <v>22892.0</v>
      </c>
      <c r="N44" s="5" t="s">
        <v>25</v>
      </c>
      <c r="O44" s="5" t="s">
        <v>12</v>
      </c>
      <c r="P44" s="6">
        <f t="shared" si="6"/>
        <v>10749</v>
      </c>
      <c r="Q44" s="7">
        <v>7075.0</v>
      </c>
      <c r="R44" s="7">
        <v>3674.0</v>
      </c>
      <c r="T44" s="5" t="s">
        <v>25</v>
      </c>
      <c r="U44" s="5" t="s">
        <v>12</v>
      </c>
      <c r="V44" s="6">
        <f t="shared" si="7"/>
        <v>661</v>
      </c>
      <c r="W44" s="7">
        <v>303.0</v>
      </c>
      <c r="X44" s="7">
        <v>358.0</v>
      </c>
    </row>
    <row r="45">
      <c r="B45" s="5" t="str">
        <f t="shared" ref="B45:C45" si="88">H45</f>
        <v>Kamrup</v>
      </c>
      <c r="C45" s="5" t="str">
        <f t="shared" si="88"/>
        <v>15–19</v>
      </c>
      <c r="D45" s="5">
        <f t="shared" ref="D45:F45" si="89">J45+P45+V45</f>
        <v>53912</v>
      </c>
      <c r="E45" s="5">
        <f t="shared" si="89"/>
        <v>37056</v>
      </c>
      <c r="F45" s="5">
        <f t="shared" si="89"/>
        <v>16856</v>
      </c>
      <c r="G45" s="5"/>
      <c r="H45" s="5" t="s">
        <v>25</v>
      </c>
      <c r="I45" s="5" t="s">
        <v>13</v>
      </c>
      <c r="J45" s="6">
        <f t="shared" si="5"/>
        <v>25549</v>
      </c>
      <c r="K45" s="7">
        <v>19796.0</v>
      </c>
      <c r="L45" s="7">
        <v>5753.0</v>
      </c>
      <c r="N45" s="5" t="s">
        <v>25</v>
      </c>
      <c r="O45" s="5" t="s">
        <v>13</v>
      </c>
      <c r="P45" s="6">
        <f t="shared" si="6"/>
        <v>27128</v>
      </c>
      <c r="Q45" s="7">
        <v>16933.0</v>
      </c>
      <c r="R45" s="7">
        <v>10195.0</v>
      </c>
      <c r="T45" s="5" t="s">
        <v>25</v>
      </c>
      <c r="U45" s="5" t="s">
        <v>13</v>
      </c>
      <c r="V45" s="6">
        <f t="shared" si="7"/>
        <v>1235</v>
      </c>
      <c r="W45" s="7">
        <v>327.0</v>
      </c>
      <c r="X45" s="7">
        <v>908.0</v>
      </c>
    </row>
    <row r="46">
      <c r="B46" s="5" t="str">
        <f t="shared" ref="B46:C46" si="90">H46</f>
        <v>Kamrup</v>
      </c>
      <c r="C46" s="5" t="str">
        <f t="shared" si="90"/>
        <v>20–24</v>
      </c>
      <c r="D46" s="5">
        <f t="shared" ref="D46:F46" si="91">J46+P46+V46</f>
        <v>57751</v>
      </c>
      <c r="E46" s="5">
        <f t="shared" si="91"/>
        <v>35455</v>
      </c>
      <c r="F46" s="5">
        <f t="shared" si="91"/>
        <v>22296</v>
      </c>
      <c r="G46" s="5"/>
      <c r="H46" s="5" t="s">
        <v>25</v>
      </c>
      <c r="I46" s="5" t="s">
        <v>14</v>
      </c>
      <c r="J46" s="6">
        <f t="shared" si="5"/>
        <v>13276</v>
      </c>
      <c r="K46" s="7">
        <v>11645.0</v>
      </c>
      <c r="L46" s="7">
        <v>1631.0</v>
      </c>
      <c r="N46" s="5" t="s">
        <v>25</v>
      </c>
      <c r="O46" s="5" t="s">
        <v>14</v>
      </c>
      <c r="P46" s="6">
        <f t="shared" si="6"/>
        <v>42010</v>
      </c>
      <c r="Q46" s="7">
        <v>23231.0</v>
      </c>
      <c r="R46" s="7">
        <v>18779.0</v>
      </c>
      <c r="T46" s="5" t="s">
        <v>25</v>
      </c>
      <c r="U46" s="5" t="s">
        <v>14</v>
      </c>
      <c r="V46" s="6">
        <f t="shared" si="7"/>
        <v>2465</v>
      </c>
      <c r="W46" s="7">
        <v>579.0</v>
      </c>
      <c r="X46" s="7">
        <v>1886.0</v>
      </c>
    </row>
    <row r="47">
      <c r="B47" s="5" t="str">
        <f t="shared" ref="B47:C47" si="92">H47</f>
        <v>Kamrup</v>
      </c>
      <c r="C47" s="5" t="str">
        <f t="shared" si="92"/>
        <v>25–29</v>
      </c>
      <c r="D47" s="5">
        <f t="shared" ref="D47:F47" si="93">J47+P47+V47</f>
        <v>35046</v>
      </c>
      <c r="E47" s="5">
        <f t="shared" si="93"/>
        <v>31076</v>
      </c>
      <c r="F47" s="5">
        <f t="shared" si="93"/>
        <v>3970</v>
      </c>
      <c r="G47" s="5"/>
      <c r="H47" s="5" t="s">
        <v>25</v>
      </c>
      <c r="I47" s="5" t="s">
        <v>15</v>
      </c>
      <c r="J47" s="6">
        <f t="shared" si="5"/>
        <v>7250</v>
      </c>
      <c r="K47" s="7">
        <v>6478.0</v>
      </c>
      <c r="L47" s="7">
        <v>772.0</v>
      </c>
      <c r="N47" s="5" t="s">
        <v>25</v>
      </c>
      <c r="O47" s="5" t="s">
        <v>15</v>
      </c>
      <c r="P47" s="6">
        <f t="shared" si="6"/>
        <v>23609</v>
      </c>
      <c r="Q47" s="7">
        <v>23609.0</v>
      </c>
      <c r="R47" s="7">
        <v>0.0</v>
      </c>
      <c r="T47" s="5" t="s">
        <v>25</v>
      </c>
      <c r="U47" s="5" t="s">
        <v>15</v>
      </c>
      <c r="V47" s="6">
        <f t="shared" si="7"/>
        <v>4187</v>
      </c>
      <c r="W47" s="7">
        <v>989.0</v>
      </c>
      <c r="X47" s="7">
        <v>3198.0</v>
      </c>
    </row>
    <row r="48">
      <c r="B48" s="5" t="str">
        <f t="shared" ref="B48:C48" si="94">H48</f>
        <v>Kamrup</v>
      </c>
      <c r="C48" s="5" t="str">
        <f t="shared" si="94"/>
        <v>30–34</v>
      </c>
      <c r="D48" s="5">
        <f t="shared" ref="D48:F48" si="95">J48+P48+V48</f>
        <v>52578</v>
      </c>
      <c r="E48" s="5">
        <f t="shared" si="95"/>
        <v>25349</v>
      </c>
      <c r="F48" s="5">
        <f t="shared" si="95"/>
        <v>27229</v>
      </c>
      <c r="G48" s="5"/>
      <c r="H48" s="5" t="s">
        <v>25</v>
      </c>
      <c r="I48" s="5" t="s">
        <v>16</v>
      </c>
      <c r="J48" s="6">
        <f t="shared" si="5"/>
        <v>3117</v>
      </c>
      <c r="K48" s="7">
        <v>2659.0</v>
      </c>
      <c r="L48" s="7">
        <v>458.0</v>
      </c>
      <c r="N48" s="5" t="s">
        <v>25</v>
      </c>
      <c r="O48" s="5" t="s">
        <v>16</v>
      </c>
      <c r="P48" s="6">
        <f t="shared" si="6"/>
        <v>42564</v>
      </c>
      <c r="Q48" s="7">
        <v>21318.0</v>
      </c>
      <c r="R48" s="7">
        <v>21246.0</v>
      </c>
      <c r="T48" s="5" t="s">
        <v>25</v>
      </c>
      <c r="U48" s="5" t="s">
        <v>16</v>
      </c>
      <c r="V48" s="6">
        <f t="shared" si="7"/>
        <v>6897</v>
      </c>
      <c r="W48" s="7">
        <v>1372.0</v>
      </c>
      <c r="X48" s="7">
        <v>5525.0</v>
      </c>
    </row>
    <row r="49">
      <c r="B49" s="5" t="str">
        <f t="shared" ref="B49:C49" si="96">H49</f>
        <v>Kamrup</v>
      </c>
      <c r="C49" s="5" t="str">
        <f t="shared" si="96"/>
        <v>35–39</v>
      </c>
      <c r="D49" s="5">
        <f t="shared" ref="D49:F49" si="97">J49+P49+V49</f>
        <v>34260</v>
      </c>
      <c r="E49" s="5">
        <f t="shared" si="97"/>
        <v>18349</v>
      </c>
      <c r="F49" s="5">
        <f t="shared" si="97"/>
        <v>15911</v>
      </c>
      <c r="G49" s="5"/>
      <c r="H49" s="5" t="s">
        <v>25</v>
      </c>
      <c r="I49" s="5" t="s">
        <v>17</v>
      </c>
      <c r="J49" s="6">
        <f t="shared" si="5"/>
        <v>1208</v>
      </c>
      <c r="K49" s="7">
        <v>988.0</v>
      </c>
      <c r="L49" s="7">
        <v>220.0</v>
      </c>
      <c r="N49" s="5" t="s">
        <v>25</v>
      </c>
      <c r="O49" s="5" t="s">
        <v>17</v>
      </c>
      <c r="P49" s="6">
        <f t="shared" si="6"/>
        <v>27108</v>
      </c>
      <c r="Q49" s="7">
        <v>16104.0</v>
      </c>
      <c r="R49" s="7">
        <v>11004.0</v>
      </c>
      <c r="T49" s="5" t="s">
        <v>25</v>
      </c>
      <c r="U49" s="5" t="s">
        <v>17</v>
      </c>
      <c r="V49" s="6">
        <f t="shared" si="7"/>
        <v>5944</v>
      </c>
      <c r="W49" s="7">
        <v>1257.0</v>
      </c>
      <c r="X49" s="7">
        <v>4687.0</v>
      </c>
    </row>
    <row r="50">
      <c r="B50" s="5" t="str">
        <f t="shared" ref="B50:C50" si="98">H50</f>
        <v>Kamrup</v>
      </c>
      <c r="C50" s="5" t="str">
        <f t="shared" si="98"/>
        <v>40–44</v>
      </c>
      <c r="D50" s="5">
        <f t="shared" ref="D50:F50" si="99">J50+P50+V50</f>
        <v>39287</v>
      </c>
      <c r="E50" s="5">
        <f t="shared" si="99"/>
        <v>21405</v>
      </c>
      <c r="F50" s="5">
        <f t="shared" si="99"/>
        <v>17882</v>
      </c>
      <c r="G50" s="5"/>
      <c r="H50" s="5" t="s">
        <v>25</v>
      </c>
      <c r="I50" s="5" t="s">
        <v>18</v>
      </c>
      <c r="J50" s="6">
        <f t="shared" si="5"/>
        <v>928</v>
      </c>
      <c r="K50" s="7">
        <v>684.0</v>
      </c>
      <c r="L50" s="7">
        <v>244.0</v>
      </c>
      <c r="N50" s="5" t="s">
        <v>25</v>
      </c>
      <c r="O50" s="5" t="s">
        <v>18</v>
      </c>
      <c r="P50" s="6">
        <f t="shared" si="6"/>
        <v>29426</v>
      </c>
      <c r="Q50" s="7">
        <v>18675.0</v>
      </c>
      <c r="R50" s="7">
        <v>10751.0</v>
      </c>
      <c r="T50" s="5" t="s">
        <v>25</v>
      </c>
      <c r="U50" s="5" t="s">
        <v>18</v>
      </c>
      <c r="V50" s="6">
        <f t="shared" si="7"/>
        <v>8933</v>
      </c>
      <c r="W50" s="7">
        <v>2046.0</v>
      </c>
      <c r="X50" s="7">
        <v>6887.0</v>
      </c>
    </row>
    <row r="51">
      <c r="B51" s="5" t="str">
        <f t="shared" ref="B51:C51" si="100">H51</f>
        <v>Kamrup</v>
      </c>
      <c r="C51" s="5" t="str">
        <f t="shared" si="100"/>
        <v>45–49</v>
      </c>
      <c r="D51" s="5">
        <f t="shared" ref="D51:F51" si="101">J51+P51+V51</f>
        <v>17206</v>
      </c>
      <c r="E51" s="5">
        <f t="shared" si="101"/>
        <v>9933</v>
      </c>
      <c r="F51" s="5">
        <f t="shared" si="101"/>
        <v>7273</v>
      </c>
      <c r="G51" s="5"/>
      <c r="H51" s="5" t="s">
        <v>25</v>
      </c>
      <c r="I51" s="5" t="s">
        <v>19</v>
      </c>
      <c r="J51" s="6">
        <f t="shared" si="5"/>
        <v>298</v>
      </c>
      <c r="K51" s="7">
        <v>228.0</v>
      </c>
      <c r="L51" s="7">
        <v>70.0</v>
      </c>
      <c r="N51" s="5" t="s">
        <v>25</v>
      </c>
      <c r="O51" s="5" t="s">
        <v>19</v>
      </c>
      <c r="P51" s="6">
        <f t="shared" si="6"/>
        <v>11692</v>
      </c>
      <c r="Q51" s="7">
        <v>8522.0</v>
      </c>
      <c r="R51" s="7">
        <v>3170.0</v>
      </c>
      <c r="T51" s="5" t="s">
        <v>25</v>
      </c>
      <c r="U51" s="5" t="s">
        <v>19</v>
      </c>
      <c r="V51" s="6">
        <f t="shared" si="7"/>
        <v>5216</v>
      </c>
      <c r="W51" s="7">
        <v>1183.0</v>
      </c>
      <c r="X51" s="7">
        <v>4033.0</v>
      </c>
    </row>
    <row r="52">
      <c r="B52" s="5" t="str">
        <f t="shared" ref="B52:C52" si="102">H52</f>
        <v>Kamrup</v>
      </c>
      <c r="C52" s="5" t="str">
        <f t="shared" si="102"/>
        <v>50–54</v>
      </c>
      <c r="D52" s="5">
        <f t="shared" ref="D52:F52" si="103">J52+P52+V52</f>
        <v>27759</v>
      </c>
      <c r="E52" s="5">
        <f t="shared" si="103"/>
        <v>15213</v>
      </c>
      <c r="F52" s="5">
        <f t="shared" si="103"/>
        <v>12546</v>
      </c>
      <c r="G52" s="5"/>
      <c r="H52" s="5" t="s">
        <v>25</v>
      </c>
      <c r="I52" s="5" t="s">
        <v>20</v>
      </c>
      <c r="J52" s="6">
        <f t="shared" si="5"/>
        <v>387</v>
      </c>
      <c r="K52" s="7">
        <v>288.0</v>
      </c>
      <c r="L52" s="7">
        <v>99.0</v>
      </c>
      <c r="N52" s="5" t="s">
        <v>25</v>
      </c>
      <c r="O52" s="5" t="s">
        <v>20</v>
      </c>
      <c r="P52" s="6">
        <f t="shared" si="6"/>
        <v>16785</v>
      </c>
      <c r="Q52" s="7">
        <v>12704.0</v>
      </c>
      <c r="R52" s="7">
        <v>4081.0</v>
      </c>
      <c r="T52" s="5" t="s">
        <v>25</v>
      </c>
      <c r="U52" s="5" t="s">
        <v>20</v>
      </c>
      <c r="V52" s="6">
        <f t="shared" si="7"/>
        <v>10587</v>
      </c>
      <c r="W52" s="7">
        <v>2221.0</v>
      </c>
      <c r="X52" s="7">
        <v>8366.0</v>
      </c>
    </row>
    <row r="53">
      <c r="B53" s="5" t="str">
        <f t="shared" ref="B53:C53" si="104">H53</f>
        <v>Kamrup</v>
      </c>
      <c r="C53" s="5" t="str">
        <f t="shared" si="104"/>
        <v>55–59</v>
      </c>
      <c r="D53" s="5">
        <f t="shared" ref="D53:F53" si="105">J53+P53+V53</f>
        <v>9849</v>
      </c>
      <c r="E53" s="5">
        <f t="shared" si="105"/>
        <v>5626</v>
      </c>
      <c r="F53" s="5">
        <f t="shared" si="105"/>
        <v>4223</v>
      </c>
      <c r="G53" s="5"/>
      <c r="H53" s="5" t="s">
        <v>25</v>
      </c>
      <c r="I53" s="5" t="s">
        <v>21</v>
      </c>
      <c r="J53" s="6">
        <f t="shared" si="5"/>
        <v>129</v>
      </c>
      <c r="K53" s="7">
        <v>89.0</v>
      </c>
      <c r="L53" s="7">
        <v>40.0</v>
      </c>
      <c r="N53" s="5" t="s">
        <v>25</v>
      </c>
      <c r="O53" s="5" t="s">
        <v>21</v>
      </c>
      <c r="P53" s="6">
        <f t="shared" si="6"/>
        <v>5689</v>
      </c>
      <c r="Q53" s="7">
        <v>4555.0</v>
      </c>
      <c r="R53" s="7">
        <v>1134.0</v>
      </c>
      <c r="T53" s="5" t="s">
        <v>25</v>
      </c>
      <c r="U53" s="5" t="s">
        <v>21</v>
      </c>
      <c r="V53" s="6">
        <f t="shared" si="7"/>
        <v>4031</v>
      </c>
      <c r="W53" s="7">
        <v>982.0</v>
      </c>
      <c r="X53" s="7">
        <v>3049.0</v>
      </c>
    </row>
    <row r="54">
      <c r="B54" s="5" t="str">
        <f t="shared" ref="B54:C54" si="106">H54</f>
        <v>Kamrup</v>
      </c>
      <c r="C54" s="5" t="str">
        <f t="shared" si="106"/>
        <v>60 and over</v>
      </c>
      <c r="D54" s="5">
        <f t="shared" ref="D54:F54" si="107">J54+P54+V54</f>
        <v>28749</v>
      </c>
      <c r="E54" s="5">
        <f t="shared" si="107"/>
        <v>13549</v>
      </c>
      <c r="F54" s="5">
        <f t="shared" si="107"/>
        <v>15200</v>
      </c>
      <c r="G54" s="5"/>
      <c r="H54" s="5" t="s">
        <v>25</v>
      </c>
      <c r="I54" s="5" t="s">
        <v>22</v>
      </c>
      <c r="J54" s="6">
        <f t="shared" si="5"/>
        <v>294</v>
      </c>
      <c r="K54" s="7">
        <v>206.0</v>
      </c>
      <c r="L54" s="7">
        <v>88.0</v>
      </c>
      <c r="N54" s="5" t="s">
        <v>25</v>
      </c>
      <c r="O54" s="5" t="s">
        <v>22</v>
      </c>
      <c r="P54" s="6">
        <f t="shared" si="6"/>
        <v>11659</v>
      </c>
      <c r="Q54" s="7">
        <v>9705.0</v>
      </c>
      <c r="R54" s="7">
        <v>1954.0</v>
      </c>
      <c r="T54" s="5" t="s">
        <v>25</v>
      </c>
      <c r="U54" s="5" t="s">
        <v>22</v>
      </c>
      <c r="V54" s="6">
        <f t="shared" si="7"/>
        <v>16796</v>
      </c>
      <c r="W54" s="7">
        <v>3638.0</v>
      </c>
      <c r="X54" s="7">
        <v>13158.0</v>
      </c>
    </row>
    <row r="55">
      <c r="B55" s="5" t="str">
        <f t="shared" ref="B55:C55" si="108">H55</f>
        <v>Darrang</v>
      </c>
      <c r="C55" s="5" t="str">
        <f t="shared" si="108"/>
        <v>0–4</v>
      </c>
      <c r="D55" s="5">
        <f t="shared" ref="D55:F55" si="109">J55+P55+V55</f>
        <v>48241</v>
      </c>
      <c r="E55" s="5">
        <f t="shared" si="109"/>
        <v>23781</v>
      </c>
      <c r="F55" s="5">
        <f t="shared" si="109"/>
        <v>24460</v>
      </c>
      <c r="G55" s="5"/>
      <c r="H55" s="5" t="s">
        <v>26</v>
      </c>
      <c r="I55" s="5" t="s">
        <v>10</v>
      </c>
      <c r="J55" s="6">
        <f t="shared" si="5"/>
        <v>48202</v>
      </c>
      <c r="K55" s="7">
        <v>23762.0</v>
      </c>
      <c r="L55" s="7">
        <v>24440.0</v>
      </c>
      <c r="N55" s="5" t="s">
        <v>26</v>
      </c>
      <c r="O55" s="5" t="s">
        <v>10</v>
      </c>
      <c r="P55" s="6">
        <f t="shared" si="6"/>
        <v>39</v>
      </c>
      <c r="Q55" s="7">
        <v>19.0</v>
      </c>
      <c r="R55" s="7">
        <v>20.0</v>
      </c>
      <c r="T55" s="5" t="s">
        <v>26</v>
      </c>
      <c r="U55" s="5" t="s">
        <v>10</v>
      </c>
      <c r="V55" s="6">
        <f t="shared" si="7"/>
        <v>0</v>
      </c>
      <c r="W55" s="7">
        <v>0.0</v>
      </c>
      <c r="X55" s="7">
        <v>0.0</v>
      </c>
    </row>
    <row r="56">
      <c r="B56" s="5" t="str">
        <f t="shared" ref="B56:C56" si="110">H56</f>
        <v>Darrang</v>
      </c>
      <c r="C56" s="5" t="str">
        <f t="shared" si="110"/>
        <v>5–9</v>
      </c>
      <c r="D56" s="5">
        <f t="shared" ref="D56:F56" si="111">J56+P56+V56</f>
        <v>44527</v>
      </c>
      <c r="E56" s="5">
        <f t="shared" si="111"/>
        <v>22734</v>
      </c>
      <c r="F56" s="5">
        <f t="shared" si="111"/>
        <v>21793</v>
      </c>
      <c r="G56" s="5"/>
      <c r="H56" s="5" t="s">
        <v>26</v>
      </c>
      <c r="I56" s="5" t="s">
        <v>11</v>
      </c>
      <c r="J56" s="6">
        <f t="shared" si="5"/>
        <v>44019</v>
      </c>
      <c r="K56" s="7">
        <v>22588.0</v>
      </c>
      <c r="L56" s="7">
        <v>21431.0</v>
      </c>
      <c r="N56" s="5" t="s">
        <v>26</v>
      </c>
      <c r="O56" s="5" t="s">
        <v>11</v>
      </c>
      <c r="P56" s="6">
        <f t="shared" si="6"/>
        <v>449</v>
      </c>
      <c r="Q56" s="7">
        <v>106.0</v>
      </c>
      <c r="R56" s="7">
        <v>343.0</v>
      </c>
      <c r="T56" s="5" t="s">
        <v>26</v>
      </c>
      <c r="U56" s="5" t="s">
        <v>11</v>
      </c>
      <c r="V56" s="6">
        <f t="shared" si="7"/>
        <v>59</v>
      </c>
      <c r="W56" s="7">
        <v>40.0</v>
      </c>
      <c r="X56" s="7">
        <v>19.0</v>
      </c>
    </row>
    <row r="57">
      <c r="B57" s="5" t="str">
        <f t="shared" ref="B57:C57" si="112">H57</f>
        <v>Darrang</v>
      </c>
      <c r="C57" s="5" t="str">
        <f t="shared" si="112"/>
        <v>10–14</v>
      </c>
      <c r="D57" s="5">
        <f t="shared" ref="D57:F57" si="113">J57+P57+V57</f>
        <v>33025</v>
      </c>
      <c r="E57" s="5">
        <f t="shared" si="113"/>
        <v>18126</v>
      </c>
      <c r="F57" s="5">
        <f t="shared" si="113"/>
        <v>14899</v>
      </c>
      <c r="G57" s="5"/>
      <c r="H57" s="5" t="s">
        <v>26</v>
      </c>
      <c r="I57" s="5" t="s">
        <v>12</v>
      </c>
      <c r="J57" s="6">
        <f t="shared" si="5"/>
        <v>28926</v>
      </c>
      <c r="K57" s="7">
        <v>15702.0</v>
      </c>
      <c r="L57" s="7">
        <v>13224.0</v>
      </c>
      <c r="N57" s="5" t="s">
        <v>26</v>
      </c>
      <c r="O57" s="5" t="s">
        <v>12</v>
      </c>
      <c r="P57" s="6">
        <f t="shared" si="6"/>
        <v>3933</v>
      </c>
      <c r="Q57" s="7">
        <v>2338.0</v>
      </c>
      <c r="R57" s="7">
        <v>1595.0</v>
      </c>
      <c r="T57" s="5" t="s">
        <v>26</v>
      </c>
      <c r="U57" s="5" t="s">
        <v>12</v>
      </c>
      <c r="V57" s="6">
        <f t="shared" si="7"/>
        <v>166</v>
      </c>
      <c r="W57" s="7">
        <v>86.0</v>
      </c>
      <c r="X57" s="7">
        <v>80.0</v>
      </c>
    </row>
    <row r="58">
      <c r="B58" s="5" t="str">
        <f t="shared" ref="B58:C58" si="114">H58</f>
        <v>Darrang</v>
      </c>
      <c r="C58" s="5" t="str">
        <f t="shared" si="114"/>
        <v>15–19</v>
      </c>
      <c r="D58" s="5">
        <f t="shared" ref="D58:F58" si="115">J58+P58+V58</f>
        <v>29062</v>
      </c>
      <c r="E58" s="5">
        <f t="shared" si="115"/>
        <v>17099</v>
      </c>
      <c r="F58" s="5">
        <f t="shared" si="115"/>
        <v>11963</v>
      </c>
      <c r="G58" s="5"/>
      <c r="H58" s="5" t="s">
        <v>26</v>
      </c>
      <c r="I58" s="5" t="s">
        <v>13</v>
      </c>
      <c r="J58" s="6">
        <f t="shared" si="5"/>
        <v>17273</v>
      </c>
      <c r="K58" s="7">
        <v>10879.0</v>
      </c>
      <c r="L58" s="7">
        <v>6394.0</v>
      </c>
      <c r="N58" s="5" t="s">
        <v>26</v>
      </c>
      <c r="O58" s="5" t="s">
        <v>13</v>
      </c>
      <c r="P58" s="6">
        <f t="shared" si="6"/>
        <v>11398</v>
      </c>
      <c r="Q58" s="7">
        <v>6097.0</v>
      </c>
      <c r="R58" s="7">
        <v>5301.0</v>
      </c>
      <c r="T58" s="5" t="s">
        <v>26</v>
      </c>
      <c r="U58" s="5" t="s">
        <v>13</v>
      </c>
      <c r="V58" s="6">
        <f t="shared" si="7"/>
        <v>391</v>
      </c>
      <c r="W58" s="7">
        <v>123.0</v>
      </c>
      <c r="X58" s="7">
        <v>268.0</v>
      </c>
    </row>
    <row r="59">
      <c r="B59" s="5" t="str">
        <f t="shared" ref="B59:C59" si="116">H59</f>
        <v>Darrang</v>
      </c>
      <c r="C59" s="5" t="str">
        <f t="shared" si="116"/>
        <v>20–24</v>
      </c>
      <c r="D59" s="5">
        <f t="shared" ref="D59:F59" si="117">J59+P59+V59</f>
        <v>37329</v>
      </c>
      <c r="E59" s="5">
        <f t="shared" si="117"/>
        <v>20036</v>
      </c>
      <c r="F59" s="5">
        <f t="shared" si="117"/>
        <v>17293</v>
      </c>
      <c r="G59" s="5"/>
      <c r="H59" s="5" t="s">
        <v>26</v>
      </c>
      <c r="I59" s="5" t="s">
        <v>14</v>
      </c>
      <c r="J59" s="6">
        <f t="shared" si="5"/>
        <v>10787</v>
      </c>
      <c r="K59" s="7">
        <v>8341.0</v>
      </c>
      <c r="L59" s="7">
        <v>2446.0</v>
      </c>
      <c r="N59" s="5" t="s">
        <v>26</v>
      </c>
      <c r="O59" s="5" t="s">
        <v>14</v>
      </c>
      <c r="P59" s="6">
        <f t="shared" si="6"/>
        <v>20551</v>
      </c>
      <c r="Q59" s="7">
        <v>11348.0</v>
      </c>
      <c r="R59" s="7">
        <v>9203.0</v>
      </c>
      <c r="T59" s="5" t="s">
        <v>26</v>
      </c>
      <c r="U59" s="5" t="s">
        <v>14</v>
      </c>
      <c r="V59" s="6">
        <f t="shared" si="7"/>
        <v>5991</v>
      </c>
      <c r="W59" s="7">
        <v>347.0</v>
      </c>
      <c r="X59" s="7">
        <v>5644.0</v>
      </c>
    </row>
    <row r="60">
      <c r="B60" s="5" t="str">
        <f t="shared" ref="B60:C60" si="118">H60</f>
        <v>Darrang</v>
      </c>
      <c r="C60" s="5" t="str">
        <f t="shared" si="118"/>
        <v>25–29</v>
      </c>
      <c r="D60" s="5">
        <f t="shared" ref="D60:F60" si="119">J60+P60+V60</f>
        <v>19196</v>
      </c>
      <c r="E60" s="5">
        <f t="shared" si="119"/>
        <v>16595</v>
      </c>
      <c r="F60" s="5">
        <f t="shared" si="119"/>
        <v>2601</v>
      </c>
      <c r="G60" s="5"/>
      <c r="H60" s="5" t="s">
        <v>26</v>
      </c>
      <c r="I60" s="5" t="s">
        <v>15</v>
      </c>
      <c r="J60" s="6">
        <f t="shared" si="5"/>
        <v>5712</v>
      </c>
      <c r="K60" s="7">
        <v>4177.0</v>
      </c>
      <c r="L60" s="7">
        <v>1535.0</v>
      </c>
      <c r="N60" s="5" t="s">
        <v>26</v>
      </c>
      <c r="O60" s="5" t="s">
        <v>15</v>
      </c>
      <c r="P60" s="6">
        <f t="shared" si="6"/>
        <v>11645</v>
      </c>
      <c r="Q60" s="7">
        <v>11645.0</v>
      </c>
      <c r="R60" s="7">
        <v>0.0</v>
      </c>
      <c r="T60" s="5" t="s">
        <v>26</v>
      </c>
      <c r="U60" s="5" t="s">
        <v>15</v>
      </c>
      <c r="V60" s="6">
        <f t="shared" si="7"/>
        <v>1839</v>
      </c>
      <c r="W60" s="7">
        <v>773.0</v>
      </c>
      <c r="X60" s="7">
        <v>1066.0</v>
      </c>
    </row>
    <row r="61">
      <c r="B61" s="5" t="str">
        <f t="shared" ref="B61:C61" si="120">H61</f>
        <v>Darrang</v>
      </c>
      <c r="C61" s="5" t="str">
        <f t="shared" si="120"/>
        <v>30–34</v>
      </c>
      <c r="D61" s="5">
        <f t="shared" ref="D61:F61" si="121">J61+P61+V61</f>
        <v>30583</v>
      </c>
      <c r="E61" s="5">
        <f t="shared" si="121"/>
        <v>16115</v>
      </c>
      <c r="F61" s="5">
        <f t="shared" si="121"/>
        <v>14468</v>
      </c>
      <c r="G61" s="5"/>
      <c r="H61" s="5" t="s">
        <v>26</v>
      </c>
      <c r="I61" s="5" t="s">
        <v>16</v>
      </c>
      <c r="J61" s="6">
        <f t="shared" si="5"/>
        <v>2847</v>
      </c>
      <c r="K61" s="7">
        <v>2404.0</v>
      </c>
      <c r="L61" s="7">
        <v>443.0</v>
      </c>
      <c r="N61" s="5" t="s">
        <v>26</v>
      </c>
      <c r="O61" s="5" t="s">
        <v>16</v>
      </c>
      <c r="P61" s="6">
        <f t="shared" si="6"/>
        <v>24372</v>
      </c>
      <c r="Q61" s="7">
        <v>12434.0</v>
      </c>
      <c r="R61" s="7">
        <v>11938.0</v>
      </c>
      <c r="T61" s="5" t="s">
        <v>26</v>
      </c>
      <c r="U61" s="5" t="s">
        <v>16</v>
      </c>
      <c r="V61" s="6">
        <f t="shared" si="7"/>
        <v>3364</v>
      </c>
      <c r="W61" s="7">
        <v>1277.0</v>
      </c>
      <c r="X61" s="7">
        <v>2087.0</v>
      </c>
    </row>
    <row r="62">
      <c r="B62" s="5" t="str">
        <f t="shared" ref="B62:C62" si="122">H62</f>
        <v>Darrang</v>
      </c>
      <c r="C62" s="5" t="str">
        <f t="shared" si="122"/>
        <v>35–39</v>
      </c>
      <c r="D62" s="5">
        <f t="shared" ref="D62:F62" si="123">J62+P62+V62</f>
        <v>20394</v>
      </c>
      <c r="E62" s="5">
        <f t="shared" si="123"/>
        <v>11820</v>
      </c>
      <c r="F62" s="5">
        <f t="shared" si="123"/>
        <v>8574</v>
      </c>
      <c r="G62" s="5"/>
      <c r="H62" s="5" t="s">
        <v>26</v>
      </c>
      <c r="I62" s="5" t="s">
        <v>17</v>
      </c>
      <c r="J62" s="6">
        <f t="shared" si="5"/>
        <v>1165</v>
      </c>
      <c r="K62" s="7">
        <v>1001.0</v>
      </c>
      <c r="L62" s="7">
        <v>164.0</v>
      </c>
      <c r="N62" s="5" t="s">
        <v>26</v>
      </c>
      <c r="O62" s="5" t="s">
        <v>17</v>
      </c>
      <c r="P62" s="6">
        <f t="shared" si="6"/>
        <v>16232</v>
      </c>
      <c r="Q62" s="7">
        <v>9707.0</v>
      </c>
      <c r="R62" s="7">
        <v>6525.0</v>
      </c>
      <c r="T62" s="5" t="s">
        <v>26</v>
      </c>
      <c r="U62" s="5" t="s">
        <v>17</v>
      </c>
      <c r="V62" s="6">
        <f t="shared" si="7"/>
        <v>2997</v>
      </c>
      <c r="W62" s="7">
        <v>1112.0</v>
      </c>
      <c r="X62" s="7">
        <v>1885.0</v>
      </c>
    </row>
    <row r="63">
      <c r="B63" s="5" t="str">
        <f t="shared" ref="B63:C63" si="124">H63</f>
        <v>Darrang</v>
      </c>
      <c r="C63" s="5" t="str">
        <f t="shared" si="124"/>
        <v>40–44</v>
      </c>
      <c r="D63" s="5">
        <f t="shared" ref="D63:F63" si="125">J63+P63+V63</f>
        <v>21662</v>
      </c>
      <c r="E63" s="5">
        <f t="shared" si="125"/>
        <v>12159</v>
      </c>
      <c r="F63" s="5">
        <f t="shared" si="125"/>
        <v>9503</v>
      </c>
      <c r="G63" s="5"/>
      <c r="H63" s="5" t="s">
        <v>26</v>
      </c>
      <c r="I63" s="5" t="s">
        <v>18</v>
      </c>
      <c r="J63" s="6">
        <f t="shared" si="5"/>
        <v>863</v>
      </c>
      <c r="K63" s="7">
        <v>666.0</v>
      </c>
      <c r="L63" s="7">
        <v>197.0</v>
      </c>
      <c r="N63" s="5" t="s">
        <v>26</v>
      </c>
      <c r="O63" s="5" t="s">
        <v>18</v>
      </c>
      <c r="P63" s="6">
        <f t="shared" si="6"/>
        <v>15933</v>
      </c>
      <c r="Q63" s="7">
        <v>10066.0</v>
      </c>
      <c r="R63" s="7">
        <v>5867.0</v>
      </c>
      <c r="T63" s="5" t="s">
        <v>26</v>
      </c>
      <c r="U63" s="5" t="s">
        <v>18</v>
      </c>
      <c r="V63" s="6">
        <f t="shared" si="7"/>
        <v>4866</v>
      </c>
      <c r="W63" s="7">
        <v>1427.0</v>
      </c>
      <c r="X63" s="7">
        <v>3439.0</v>
      </c>
    </row>
    <row r="64">
      <c r="B64" s="5" t="str">
        <f t="shared" ref="B64:C64" si="126">H64</f>
        <v>Darrang</v>
      </c>
      <c r="C64" s="5" t="str">
        <f t="shared" si="126"/>
        <v>45–49</v>
      </c>
      <c r="D64" s="5">
        <f t="shared" ref="D64:F64" si="127">J64+P64+V64</f>
        <v>9340</v>
      </c>
      <c r="E64" s="5">
        <f t="shared" si="127"/>
        <v>5645</v>
      </c>
      <c r="F64" s="5">
        <f t="shared" si="127"/>
        <v>3695</v>
      </c>
      <c r="G64" s="5"/>
      <c r="H64" s="5" t="s">
        <v>26</v>
      </c>
      <c r="I64" s="5" t="s">
        <v>19</v>
      </c>
      <c r="J64" s="6">
        <f t="shared" si="5"/>
        <v>305</v>
      </c>
      <c r="K64" s="7">
        <v>250.0</v>
      </c>
      <c r="L64" s="7">
        <v>55.0</v>
      </c>
      <c r="N64" s="5" t="s">
        <v>26</v>
      </c>
      <c r="O64" s="5" t="s">
        <v>19</v>
      </c>
      <c r="P64" s="6">
        <f t="shared" si="6"/>
        <v>6537</v>
      </c>
      <c r="Q64" s="7">
        <v>4617.0</v>
      </c>
      <c r="R64" s="7">
        <v>1920.0</v>
      </c>
      <c r="T64" s="5" t="s">
        <v>26</v>
      </c>
      <c r="U64" s="5" t="s">
        <v>19</v>
      </c>
      <c r="V64" s="6">
        <f t="shared" si="7"/>
        <v>2498</v>
      </c>
      <c r="W64" s="7">
        <v>778.0</v>
      </c>
      <c r="X64" s="7">
        <v>1720.0</v>
      </c>
    </row>
    <row r="65">
      <c r="B65" s="5" t="str">
        <f t="shared" ref="B65:C65" si="128">H65</f>
        <v>Darrang</v>
      </c>
      <c r="C65" s="5" t="str">
        <f t="shared" si="128"/>
        <v>50–54</v>
      </c>
      <c r="D65" s="5">
        <f t="shared" ref="D65:F65" si="129">J65+P65+V65</f>
        <v>13290</v>
      </c>
      <c r="E65" s="5">
        <f t="shared" si="129"/>
        <v>7639</v>
      </c>
      <c r="F65" s="5">
        <f t="shared" si="129"/>
        <v>5651</v>
      </c>
      <c r="G65" s="5"/>
      <c r="H65" s="5" t="s">
        <v>26</v>
      </c>
      <c r="I65" s="5" t="s">
        <v>20</v>
      </c>
      <c r="J65" s="6">
        <f t="shared" si="5"/>
        <v>288</v>
      </c>
      <c r="K65" s="7">
        <v>219.0</v>
      </c>
      <c r="L65" s="7">
        <v>69.0</v>
      </c>
      <c r="N65" s="5" t="s">
        <v>26</v>
      </c>
      <c r="O65" s="5" t="s">
        <v>20</v>
      </c>
      <c r="P65" s="6">
        <f t="shared" si="6"/>
        <v>8164</v>
      </c>
      <c r="Q65" s="7">
        <v>6041.0</v>
      </c>
      <c r="R65" s="7">
        <v>2123.0</v>
      </c>
      <c r="T65" s="5" t="s">
        <v>26</v>
      </c>
      <c r="U65" s="5" t="s">
        <v>20</v>
      </c>
      <c r="V65" s="6">
        <f t="shared" si="7"/>
        <v>4838</v>
      </c>
      <c r="W65" s="7">
        <v>1379.0</v>
      </c>
      <c r="X65" s="7">
        <v>3459.0</v>
      </c>
    </row>
    <row r="66">
      <c r="B66" s="5" t="str">
        <f t="shared" ref="B66:C66" si="130">H66</f>
        <v>Darrang</v>
      </c>
      <c r="C66" s="5" t="str">
        <f t="shared" si="130"/>
        <v>55–59</v>
      </c>
      <c r="D66" s="5">
        <f t="shared" ref="D66:F66" si="131">J66+P66+V66</f>
        <v>4992</v>
      </c>
      <c r="E66" s="5">
        <f t="shared" si="131"/>
        <v>2829</v>
      </c>
      <c r="F66" s="5">
        <f t="shared" si="131"/>
        <v>2163</v>
      </c>
      <c r="G66" s="5"/>
      <c r="H66" s="5" t="s">
        <v>26</v>
      </c>
      <c r="I66" s="5" t="s">
        <v>21</v>
      </c>
      <c r="J66" s="6">
        <f t="shared" si="5"/>
        <v>83</v>
      </c>
      <c r="K66" s="7">
        <v>54.0</v>
      </c>
      <c r="L66" s="7">
        <v>29.0</v>
      </c>
      <c r="N66" s="5" t="s">
        <v>26</v>
      </c>
      <c r="O66" s="5" t="s">
        <v>21</v>
      </c>
      <c r="P66" s="6">
        <f t="shared" si="6"/>
        <v>2809</v>
      </c>
      <c r="Q66" s="7">
        <v>2185.0</v>
      </c>
      <c r="R66" s="7">
        <v>624.0</v>
      </c>
      <c r="T66" s="5" t="s">
        <v>26</v>
      </c>
      <c r="U66" s="5" t="s">
        <v>21</v>
      </c>
      <c r="V66" s="6">
        <f t="shared" si="7"/>
        <v>2100</v>
      </c>
      <c r="W66" s="7">
        <v>590.0</v>
      </c>
      <c r="X66" s="7">
        <v>1510.0</v>
      </c>
    </row>
    <row r="67">
      <c r="B67" s="5" t="str">
        <f t="shared" ref="B67:C67" si="132">H67</f>
        <v>Darrang</v>
      </c>
      <c r="C67" s="5" t="str">
        <f t="shared" si="132"/>
        <v>60 and over</v>
      </c>
      <c r="D67" s="5">
        <f t="shared" ref="D67:F67" si="133">J67+P67+V67</f>
        <v>10305</v>
      </c>
      <c r="E67" s="5">
        <f t="shared" si="133"/>
        <v>5358</v>
      </c>
      <c r="F67" s="5">
        <f t="shared" si="133"/>
        <v>4947</v>
      </c>
      <c r="G67" s="5"/>
      <c r="H67" s="5" t="s">
        <v>26</v>
      </c>
      <c r="I67" s="5" t="s">
        <v>22</v>
      </c>
      <c r="J67" s="6">
        <f t="shared" si="5"/>
        <v>171</v>
      </c>
      <c r="K67" s="7">
        <v>126.0</v>
      </c>
      <c r="L67" s="7">
        <v>45.0</v>
      </c>
      <c r="N67" s="5" t="s">
        <v>26</v>
      </c>
      <c r="O67" s="5" t="s">
        <v>22</v>
      </c>
      <c r="P67" s="6">
        <f t="shared" si="6"/>
        <v>4399</v>
      </c>
      <c r="Q67" s="7">
        <v>3695.0</v>
      </c>
      <c r="R67" s="7">
        <v>704.0</v>
      </c>
      <c r="T67" s="5" t="s">
        <v>26</v>
      </c>
      <c r="U67" s="5" t="s">
        <v>22</v>
      </c>
      <c r="V67" s="6">
        <f t="shared" si="7"/>
        <v>5735</v>
      </c>
      <c r="W67" s="7">
        <v>1537.0</v>
      </c>
      <c r="X67" s="7">
        <v>4198.0</v>
      </c>
    </row>
    <row r="68">
      <c r="B68" s="5" t="str">
        <f t="shared" ref="B68:C68" si="134">H68</f>
        <v>Nowgong</v>
      </c>
      <c r="C68" s="5" t="str">
        <f t="shared" si="134"/>
        <v>0–4</v>
      </c>
      <c r="D68" s="5">
        <f t="shared" ref="D68:F68" si="135">J68+P68+V68</f>
        <v>60879</v>
      </c>
      <c r="E68" s="5">
        <f t="shared" si="135"/>
        <v>29727</v>
      </c>
      <c r="F68" s="5">
        <f t="shared" si="135"/>
        <v>31152</v>
      </c>
      <c r="G68" s="5"/>
      <c r="H68" s="5" t="s">
        <v>27</v>
      </c>
      <c r="I68" s="5" t="s">
        <v>10</v>
      </c>
      <c r="J68" s="6">
        <f t="shared" si="5"/>
        <v>60846</v>
      </c>
      <c r="K68" s="7">
        <v>29711.0</v>
      </c>
      <c r="L68" s="7">
        <v>31135.0</v>
      </c>
      <c r="N68" s="5" t="s">
        <v>27</v>
      </c>
      <c r="O68" s="5" t="s">
        <v>10</v>
      </c>
      <c r="P68" s="6">
        <f t="shared" si="6"/>
        <v>31</v>
      </c>
      <c r="Q68" s="7">
        <v>15.0</v>
      </c>
      <c r="R68" s="7">
        <v>16.0</v>
      </c>
      <c r="T68" s="5" t="s">
        <v>27</v>
      </c>
      <c r="U68" s="5" t="s">
        <v>10</v>
      </c>
      <c r="V68" s="6">
        <f t="shared" si="7"/>
        <v>2</v>
      </c>
      <c r="W68" s="7">
        <v>1.0</v>
      </c>
      <c r="X68" s="7">
        <v>1.0</v>
      </c>
    </row>
    <row r="69">
      <c r="B69" s="5" t="str">
        <f t="shared" ref="B69:C69" si="136">H69</f>
        <v>Nowgong</v>
      </c>
      <c r="C69" s="5" t="str">
        <f t="shared" si="136"/>
        <v>5–9</v>
      </c>
      <c r="D69" s="5">
        <f t="shared" ref="D69:F69" si="137">J69+P69+V69</f>
        <v>52364</v>
      </c>
      <c r="E69" s="5">
        <f t="shared" si="137"/>
        <v>26783</v>
      </c>
      <c r="F69" s="5">
        <f t="shared" si="137"/>
        <v>25581</v>
      </c>
      <c r="G69" s="5"/>
      <c r="H69" s="5" t="s">
        <v>27</v>
      </c>
      <c r="I69" s="5" t="s">
        <v>11</v>
      </c>
      <c r="J69" s="6">
        <f t="shared" si="5"/>
        <v>52200</v>
      </c>
      <c r="K69" s="7">
        <v>26727.0</v>
      </c>
      <c r="L69" s="7">
        <v>25473.0</v>
      </c>
      <c r="N69" s="5" t="s">
        <v>27</v>
      </c>
      <c r="O69" s="5" t="s">
        <v>11</v>
      </c>
      <c r="P69" s="6">
        <f t="shared" si="6"/>
        <v>159</v>
      </c>
      <c r="Q69" s="7">
        <v>55.0</v>
      </c>
      <c r="R69" s="7">
        <v>104.0</v>
      </c>
      <c r="T69" s="5" t="s">
        <v>27</v>
      </c>
      <c r="U69" s="5" t="s">
        <v>11</v>
      </c>
      <c r="V69" s="6">
        <f t="shared" si="7"/>
        <v>5</v>
      </c>
      <c r="W69" s="7">
        <v>1.0</v>
      </c>
      <c r="X69" s="7">
        <v>4.0</v>
      </c>
    </row>
    <row r="70">
      <c r="B70" s="5" t="str">
        <f t="shared" ref="B70:C70" si="138">H70</f>
        <v>Nowgong</v>
      </c>
      <c r="C70" s="5" t="str">
        <f t="shared" si="138"/>
        <v>10–14</v>
      </c>
      <c r="D70" s="5">
        <f t="shared" ref="D70:F70" si="139">J70+P70+V70</f>
        <v>41710</v>
      </c>
      <c r="E70" s="5">
        <f t="shared" si="139"/>
        <v>21478</v>
      </c>
      <c r="F70" s="5">
        <f t="shared" si="139"/>
        <v>20232</v>
      </c>
      <c r="G70" s="5"/>
      <c r="H70" s="5" t="s">
        <v>27</v>
      </c>
      <c r="I70" s="5" t="s">
        <v>12</v>
      </c>
      <c r="J70" s="6">
        <f t="shared" si="5"/>
        <v>40090</v>
      </c>
      <c r="K70" s="7">
        <v>21176.0</v>
      </c>
      <c r="L70" s="7">
        <v>18914.0</v>
      </c>
      <c r="N70" s="5" t="s">
        <v>27</v>
      </c>
      <c r="O70" s="5" t="s">
        <v>12</v>
      </c>
      <c r="P70" s="6">
        <f t="shared" si="6"/>
        <v>1554</v>
      </c>
      <c r="Q70" s="7">
        <v>284.0</v>
      </c>
      <c r="R70" s="7">
        <v>1270.0</v>
      </c>
      <c r="T70" s="5" t="s">
        <v>27</v>
      </c>
      <c r="U70" s="5" t="s">
        <v>12</v>
      </c>
      <c r="V70" s="6">
        <f t="shared" si="7"/>
        <v>66</v>
      </c>
      <c r="W70" s="7">
        <v>18.0</v>
      </c>
      <c r="X70" s="7">
        <v>48.0</v>
      </c>
    </row>
    <row r="71">
      <c r="B71" s="5" t="str">
        <f t="shared" ref="B71:C71" si="140">H71</f>
        <v>Nowgong</v>
      </c>
      <c r="C71" s="5" t="str">
        <f t="shared" si="140"/>
        <v>15–19</v>
      </c>
      <c r="D71" s="5">
        <f t="shared" ref="D71:F71" si="141">J71+P71+V71</f>
        <v>29506</v>
      </c>
      <c r="E71" s="5">
        <f t="shared" si="141"/>
        <v>17938</v>
      </c>
      <c r="F71" s="5">
        <f t="shared" si="141"/>
        <v>11568</v>
      </c>
      <c r="G71" s="5"/>
      <c r="H71" s="5" t="s">
        <v>27</v>
      </c>
      <c r="I71" s="5" t="s">
        <v>13</v>
      </c>
      <c r="J71" s="6">
        <f t="shared" si="5"/>
        <v>19629</v>
      </c>
      <c r="K71" s="7">
        <v>12868.0</v>
      </c>
      <c r="L71" s="7">
        <v>6761.0</v>
      </c>
      <c r="N71" s="5" t="s">
        <v>27</v>
      </c>
      <c r="O71" s="5" t="s">
        <v>13</v>
      </c>
      <c r="P71" s="6">
        <f t="shared" si="6"/>
        <v>9531</v>
      </c>
      <c r="Q71" s="7">
        <v>4949.0</v>
      </c>
      <c r="R71" s="7">
        <v>4582.0</v>
      </c>
      <c r="T71" s="5" t="s">
        <v>27</v>
      </c>
      <c r="U71" s="5" t="s">
        <v>13</v>
      </c>
      <c r="V71" s="6">
        <f t="shared" si="7"/>
        <v>346</v>
      </c>
      <c r="W71" s="7">
        <v>121.0</v>
      </c>
      <c r="X71" s="7">
        <v>225.0</v>
      </c>
    </row>
    <row r="72">
      <c r="B72" s="5" t="str">
        <f t="shared" ref="B72:C72" si="142">H72</f>
        <v>Nowgong</v>
      </c>
      <c r="C72" s="5" t="str">
        <f t="shared" si="142"/>
        <v>20–24</v>
      </c>
      <c r="D72" s="5">
        <f t="shared" ref="D72:F72" si="143">J72+P72+V72</f>
        <v>36382</v>
      </c>
      <c r="E72" s="5">
        <f t="shared" si="143"/>
        <v>21259</v>
      </c>
      <c r="F72" s="5">
        <f t="shared" si="143"/>
        <v>15123</v>
      </c>
      <c r="G72" s="5"/>
      <c r="H72" s="5" t="s">
        <v>27</v>
      </c>
      <c r="I72" s="5" t="s">
        <v>14</v>
      </c>
      <c r="J72" s="6">
        <f t="shared" si="5"/>
        <v>14235</v>
      </c>
      <c r="K72" s="7">
        <v>12041.0</v>
      </c>
      <c r="L72" s="7">
        <v>2194.0</v>
      </c>
      <c r="N72" s="5" t="s">
        <v>27</v>
      </c>
      <c r="O72" s="5" t="s">
        <v>14</v>
      </c>
      <c r="P72" s="6">
        <f t="shared" si="6"/>
        <v>21090</v>
      </c>
      <c r="Q72" s="7">
        <v>8837.0</v>
      </c>
      <c r="R72" s="7">
        <v>12253.0</v>
      </c>
      <c r="T72" s="5" t="s">
        <v>27</v>
      </c>
      <c r="U72" s="5" t="s">
        <v>14</v>
      </c>
      <c r="V72" s="6">
        <f t="shared" si="7"/>
        <v>1057</v>
      </c>
      <c r="W72" s="7">
        <v>381.0</v>
      </c>
      <c r="X72" s="7">
        <v>676.0</v>
      </c>
    </row>
    <row r="73">
      <c r="B73" s="5" t="str">
        <f t="shared" ref="B73:C73" si="144">H73</f>
        <v>Nowgong</v>
      </c>
      <c r="C73" s="5" t="str">
        <f t="shared" si="144"/>
        <v>25–29</v>
      </c>
      <c r="D73" s="5">
        <f t="shared" ref="D73:F73" si="145">J73+P73+V73</f>
        <v>7945</v>
      </c>
      <c r="E73" s="5">
        <f t="shared" si="145"/>
        <v>5822</v>
      </c>
      <c r="F73" s="5">
        <f t="shared" si="145"/>
        <v>2123</v>
      </c>
      <c r="G73" s="5"/>
      <c r="H73" s="5" t="s">
        <v>27</v>
      </c>
      <c r="I73" s="5" t="s">
        <v>15</v>
      </c>
      <c r="J73" s="6">
        <f t="shared" si="5"/>
        <v>6191</v>
      </c>
      <c r="K73" s="7">
        <v>5186.0</v>
      </c>
      <c r="L73" s="7">
        <v>1005.0</v>
      </c>
      <c r="N73" s="5" t="s">
        <v>27</v>
      </c>
      <c r="O73" s="5" t="s">
        <v>15</v>
      </c>
      <c r="P73" s="6">
        <f t="shared" si="6"/>
        <v>0</v>
      </c>
      <c r="Q73" s="7">
        <v>0.0</v>
      </c>
      <c r="R73" s="7">
        <v>0.0</v>
      </c>
      <c r="T73" s="5" t="s">
        <v>27</v>
      </c>
      <c r="U73" s="5" t="s">
        <v>15</v>
      </c>
      <c r="V73" s="6">
        <f t="shared" si="7"/>
        <v>1754</v>
      </c>
      <c r="W73" s="7">
        <v>636.0</v>
      </c>
      <c r="X73" s="7">
        <v>1118.0</v>
      </c>
    </row>
    <row r="74">
      <c r="B74" s="5" t="str">
        <f t="shared" ref="B74:C74" si="146">H74</f>
        <v>Nowgong</v>
      </c>
      <c r="C74" s="5" t="str">
        <f t="shared" si="146"/>
        <v>30–34</v>
      </c>
      <c r="D74" s="5">
        <f t="shared" ref="D74:F74" si="147">J74+P74+V74</f>
        <v>28362</v>
      </c>
      <c r="E74" s="5">
        <f t="shared" si="147"/>
        <v>14480</v>
      </c>
      <c r="F74" s="5">
        <f t="shared" si="147"/>
        <v>13882</v>
      </c>
      <c r="G74" s="5"/>
      <c r="H74" s="5" t="s">
        <v>27</v>
      </c>
      <c r="I74" s="5" t="s">
        <v>16</v>
      </c>
      <c r="J74" s="6">
        <f t="shared" si="5"/>
        <v>3026</v>
      </c>
      <c r="K74" s="7">
        <v>2506.0</v>
      </c>
      <c r="L74" s="7">
        <v>520.0</v>
      </c>
      <c r="N74" s="5" t="s">
        <v>27</v>
      </c>
      <c r="O74" s="5" t="s">
        <v>16</v>
      </c>
      <c r="P74" s="6">
        <f t="shared" si="6"/>
        <v>22607</v>
      </c>
      <c r="Q74" s="7">
        <v>10995.0</v>
      </c>
      <c r="R74" s="7">
        <v>11612.0</v>
      </c>
      <c r="T74" s="5" t="s">
        <v>27</v>
      </c>
      <c r="U74" s="5" t="s">
        <v>16</v>
      </c>
      <c r="V74" s="6">
        <f t="shared" si="7"/>
        <v>2729</v>
      </c>
      <c r="W74" s="7">
        <v>979.0</v>
      </c>
      <c r="X74" s="7">
        <v>1750.0</v>
      </c>
    </row>
    <row r="75">
      <c r="B75" s="5" t="str">
        <f t="shared" ref="B75:C75" si="148">H75</f>
        <v>Nowgong</v>
      </c>
      <c r="C75" s="5" t="str">
        <f t="shared" si="148"/>
        <v>35–39</v>
      </c>
      <c r="D75" s="5">
        <f t="shared" ref="D75:F75" si="149">J75+P75+V75</f>
        <v>19572</v>
      </c>
      <c r="E75" s="5">
        <f t="shared" si="149"/>
        <v>10942</v>
      </c>
      <c r="F75" s="5">
        <f t="shared" si="149"/>
        <v>8630</v>
      </c>
      <c r="G75" s="5"/>
      <c r="H75" s="5" t="s">
        <v>27</v>
      </c>
      <c r="I75" s="5" t="s">
        <v>17</v>
      </c>
      <c r="J75" s="6">
        <f t="shared" si="5"/>
        <v>1306</v>
      </c>
      <c r="K75" s="7">
        <v>1090.0</v>
      </c>
      <c r="L75" s="7">
        <v>216.0</v>
      </c>
      <c r="N75" s="5" t="s">
        <v>27</v>
      </c>
      <c r="O75" s="5" t="s">
        <v>17</v>
      </c>
      <c r="P75" s="6">
        <f t="shared" si="6"/>
        <v>15663</v>
      </c>
      <c r="Q75" s="7">
        <v>8991.0</v>
      </c>
      <c r="R75" s="7">
        <v>6672.0</v>
      </c>
      <c r="T75" s="5" t="s">
        <v>27</v>
      </c>
      <c r="U75" s="5" t="s">
        <v>17</v>
      </c>
      <c r="V75" s="6">
        <f t="shared" si="7"/>
        <v>2603</v>
      </c>
      <c r="W75" s="7">
        <v>861.0</v>
      </c>
      <c r="X75" s="7">
        <v>1742.0</v>
      </c>
    </row>
    <row r="76">
      <c r="B76" s="5" t="str">
        <f t="shared" ref="B76:C76" si="150">H76</f>
        <v>Nowgong</v>
      </c>
      <c r="C76" s="5" t="str">
        <f t="shared" si="150"/>
        <v>40–44</v>
      </c>
      <c r="D76" s="5">
        <f t="shared" ref="D76:F76" si="151">J76+P76+V76</f>
        <v>21572</v>
      </c>
      <c r="E76" s="5">
        <f t="shared" si="151"/>
        <v>11812</v>
      </c>
      <c r="F76" s="5">
        <f t="shared" si="151"/>
        <v>9760</v>
      </c>
      <c r="G76" s="5"/>
      <c r="H76" s="5" t="s">
        <v>27</v>
      </c>
      <c r="I76" s="5" t="s">
        <v>18</v>
      </c>
      <c r="J76" s="6">
        <f t="shared" si="5"/>
        <v>955</v>
      </c>
      <c r="K76" s="7">
        <v>744.0</v>
      </c>
      <c r="L76" s="7">
        <v>211.0</v>
      </c>
      <c r="N76" s="5" t="s">
        <v>27</v>
      </c>
      <c r="O76" s="5" t="s">
        <v>18</v>
      </c>
      <c r="P76" s="6">
        <f t="shared" si="6"/>
        <v>16405</v>
      </c>
      <c r="Q76" s="7">
        <v>9895.0</v>
      </c>
      <c r="R76" s="7">
        <v>6510.0</v>
      </c>
      <c r="T76" s="5" t="s">
        <v>27</v>
      </c>
      <c r="U76" s="5" t="s">
        <v>18</v>
      </c>
      <c r="V76" s="6">
        <f t="shared" si="7"/>
        <v>4212</v>
      </c>
      <c r="W76" s="7">
        <v>1173.0</v>
      </c>
      <c r="X76" s="7">
        <v>3039.0</v>
      </c>
    </row>
    <row r="77">
      <c r="B77" s="5" t="str">
        <f t="shared" ref="B77:C77" si="152">H77</f>
        <v>Nowgong</v>
      </c>
      <c r="C77" s="5" t="str">
        <f t="shared" si="152"/>
        <v>45–49</v>
      </c>
      <c r="D77" s="5">
        <f t="shared" ref="D77:F77" si="153">J77+P77+V77</f>
        <v>10152</v>
      </c>
      <c r="E77" s="5">
        <f t="shared" si="153"/>
        <v>5915</v>
      </c>
      <c r="F77" s="5">
        <f t="shared" si="153"/>
        <v>4237</v>
      </c>
      <c r="G77" s="5"/>
      <c r="H77" s="5" t="s">
        <v>27</v>
      </c>
      <c r="I77" s="5" t="s">
        <v>19</v>
      </c>
      <c r="J77" s="6">
        <f t="shared" si="5"/>
        <v>354</v>
      </c>
      <c r="K77" s="7">
        <v>268.0</v>
      </c>
      <c r="L77" s="7">
        <v>86.0</v>
      </c>
      <c r="N77" s="5" t="s">
        <v>27</v>
      </c>
      <c r="O77" s="5" t="s">
        <v>19</v>
      </c>
      <c r="P77" s="6">
        <f t="shared" si="6"/>
        <v>7386</v>
      </c>
      <c r="Q77" s="7">
        <v>4927.0</v>
      </c>
      <c r="R77" s="7">
        <v>2459.0</v>
      </c>
      <c r="T77" s="5" t="s">
        <v>27</v>
      </c>
      <c r="U77" s="5" t="s">
        <v>19</v>
      </c>
      <c r="V77" s="6">
        <f t="shared" si="7"/>
        <v>2412</v>
      </c>
      <c r="W77" s="7">
        <v>720.0</v>
      </c>
      <c r="X77" s="7">
        <v>1692.0</v>
      </c>
    </row>
    <row r="78">
      <c r="B78" s="5" t="str">
        <f t="shared" ref="B78:C78" si="154">H78</f>
        <v>Nowgong</v>
      </c>
      <c r="C78" s="5" t="str">
        <f t="shared" si="154"/>
        <v>50–54</v>
      </c>
      <c r="D78" s="5">
        <f t="shared" ref="D78:F78" si="155">J78+P78+V78</f>
        <v>13908</v>
      </c>
      <c r="E78" s="5">
        <f t="shared" si="155"/>
        <v>8119</v>
      </c>
      <c r="F78" s="5">
        <f t="shared" si="155"/>
        <v>5789</v>
      </c>
      <c r="G78" s="5"/>
      <c r="H78" s="5" t="s">
        <v>27</v>
      </c>
      <c r="I78" s="5" t="s">
        <v>20</v>
      </c>
      <c r="J78" s="6">
        <f t="shared" si="5"/>
        <v>373</v>
      </c>
      <c r="K78" s="7">
        <v>264.0</v>
      </c>
      <c r="L78" s="7">
        <v>109.0</v>
      </c>
      <c r="N78" s="5" t="s">
        <v>27</v>
      </c>
      <c r="O78" s="5" t="s">
        <v>20</v>
      </c>
      <c r="P78" s="6">
        <f t="shared" si="6"/>
        <v>9586</v>
      </c>
      <c r="Q78" s="7">
        <v>6738.0</v>
      </c>
      <c r="R78" s="7">
        <v>2848.0</v>
      </c>
      <c r="T78" s="5" t="s">
        <v>27</v>
      </c>
      <c r="U78" s="5" t="s">
        <v>20</v>
      </c>
      <c r="V78" s="6">
        <f t="shared" si="7"/>
        <v>3949</v>
      </c>
      <c r="W78" s="7">
        <v>1117.0</v>
      </c>
      <c r="X78" s="7">
        <v>2832.0</v>
      </c>
    </row>
    <row r="79">
      <c r="B79" s="5" t="str">
        <f t="shared" ref="B79:C79" si="156">H79</f>
        <v>Nowgong</v>
      </c>
      <c r="C79" s="5" t="str">
        <f t="shared" si="156"/>
        <v>55–59</v>
      </c>
      <c r="D79" s="5">
        <f t="shared" ref="D79:F79" si="157">J79+P79+V79</f>
        <v>5159</v>
      </c>
      <c r="E79" s="5">
        <f t="shared" si="157"/>
        <v>2995</v>
      </c>
      <c r="F79" s="5">
        <f t="shared" si="157"/>
        <v>2164</v>
      </c>
      <c r="G79" s="5"/>
      <c r="H79" s="5" t="s">
        <v>27</v>
      </c>
      <c r="I79" s="5" t="s">
        <v>21</v>
      </c>
      <c r="J79" s="6">
        <f t="shared" si="5"/>
        <v>115</v>
      </c>
      <c r="K79" s="7">
        <v>80.0</v>
      </c>
      <c r="L79" s="7">
        <v>35.0</v>
      </c>
      <c r="N79" s="5" t="s">
        <v>27</v>
      </c>
      <c r="O79" s="5" t="s">
        <v>21</v>
      </c>
      <c r="P79" s="6">
        <f t="shared" si="6"/>
        <v>3202</v>
      </c>
      <c r="Q79" s="7">
        <v>2371.0</v>
      </c>
      <c r="R79" s="7">
        <v>831.0</v>
      </c>
      <c r="T79" s="5" t="s">
        <v>27</v>
      </c>
      <c r="U79" s="5" t="s">
        <v>21</v>
      </c>
      <c r="V79" s="6">
        <f t="shared" si="7"/>
        <v>1842</v>
      </c>
      <c r="W79" s="7">
        <v>544.0</v>
      </c>
      <c r="X79" s="7">
        <v>1298.0</v>
      </c>
    </row>
    <row r="80">
      <c r="B80" s="5" t="str">
        <f t="shared" ref="B80:C80" si="158">H80</f>
        <v>Nowgong</v>
      </c>
      <c r="C80" s="5" t="str">
        <f t="shared" si="158"/>
        <v>60 and over</v>
      </c>
      <c r="D80" s="5">
        <f t="shared" ref="D80:F80" si="159">J80+P80+V80</f>
        <v>17900</v>
      </c>
      <c r="E80" s="5">
        <f t="shared" si="159"/>
        <v>9004</v>
      </c>
      <c r="F80" s="5">
        <f t="shared" si="159"/>
        <v>8896</v>
      </c>
      <c r="G80" s="5"/>
      <c r="H80" s="5" t="s">
        <v>27</v>
      </c>
      <c r="I80" s="5" t="s">
        <v>22</v>
      </c>
      <c r="J80" s="6">
        <f t="shared" si="5"/>
        <v>243</v>
      </c>
      <c r="K80" s="7">
        <v>178.0</v>
      </c>
      <c r="L80" s="7">
        <v>65.0</v>
      </c>
      <c r="N80" s="5" t="s">
        <v>27</v>
      </c>
      <c r="O80" s="5" t="s">
        <v>22</v>
      </c>
      <c r="P80" s="6">
        <f t="shared" si="6"/>
        <v>8651</v>
      </c>
      <c r="Q80" s="7">
        <v>6652.0</v>
      </c>
      <c r="R80" s="7">
        <v>1999.0</v>
      </c>
      <c r="T80" s="5" t="s">
        <v>27</v>
      </c>
      <c r="U80" s="5" t="s">
        <v>22</v>
      </c>
      <c r="V80" s="6">
        <f t="shared" si="7"/>
        <v>9006</v>
      </c>
      <c r="W80" s="7">
        <v>2174.0</v>
      </c>
      <c r="X80" s="7">
        <v>6832.0</v>
      </c>
    </row>
    <row r="81">
      <c r="B81" s="5" t="str">
        <f t="shared" ref="B81:C81" si="160">H81</f>
        <v>Sibsagar</v>
      </c>
      <c r="C81" s="5" t="str">
        <f t="shared" si="160"/>
        <v>0–4</v>
      </c>
      <c r="D81" s="5">
        <f t="shared" ref="D81:F81" si="161">J81+P81+V81</f>
        <v>75903</v>
      </c>
      <c r="E81" s="5">
        <f t="shared" si="161"/>
        <v>37526</v>
      </c>
      <c r="F81" s="5">
        <f t="shared" si="161"/>
        <v>38377</v>
      </c>
      <c r="G81" s="5"/>
      <c r="H81" s="5" t="s">
        <v>28</v>
      </c>
      <c r="I81" s="5" t="s">
        <v>10</v>
      </c>
      <c r="J81" s="6">
        <f t="shared" si="5"/>
        <v>75874</v>
      </c>
      <c r="K81" s="7">
        <v>37518.0</v>
      </c>
      <c r="L81" s="7">
        <v>38356.0</v>
      </c>
      <c r="N81" s="5" t="s">
        <v>28</v>
      </c>
      <c r="O81" s="5" t="s">
        <v>10</v>
      </c>
      <c r="P81" s="6">
        <f t="shared" si="6"/>
        <v>26</v>
      </c>
      <c r="Q81" s="7">
        <v>7.0</v>
      </c>
      <c r="R81" s="7">
        <v>19.0</v>
      </c>
      <c r="T81" s="5" t="s">
        <v>28</v>
      </c>
      <c r="U81" s="5" t="s">
        <v>10</v>
      </c>
      <c r="V81" s="6">
        <f t="shared" si="7"/>
        <v>3</v>
      </c>
      <c r="W81" s="7">
        <v>1.0</v>
      </c>
      <c r="X81" s="7">
        <v>2.0</v>
      </c>
    </row>
    <row r="82">
      <c r="B82" s="5" t="str">
        <f t="shared" ref="B82:C82" si="162">H82</f>
        <v>Sibsagar</v>
      </c>
      <c r="C82" s="5" t="str">
        <f t="shared" si="162"/>
        <v>5–9</v>
      </c>
      <c r="D82" s="5">
        <f t="shared" ref="D82:F82" si="163">J82+P82+V82</f>
        <v>67461</v>
      </c>
      <c r="E82" s="5">
        <f t="shared" si="163"/>
        <v>34143</v>
      </c>
      <c r="F82" s="5">
        <f t="shared" si="163"/>
        <v>33318</v>
      </c>
      <c r="G82" s="5"/>
      <c r="H82" s="5" t="s">
        <v>28</v>
      </c>
      <c r="I82" s="5" t="s">
        <v>11</v>
      </c>
      <c r="J82" s="6">
        <f t="shared" si="5"/>
        <v>67148</v>
      </c>
      <c r="K82" s="7">
        <v>34053.0</v>
      </c>
      <c r="L82" s="7">
        <v>33095.0</v>
      </c>
      <c r="N82" s="5" t="s">
        <v>28</v>
      </c>
      <c r="O82" s="5" t="s">
        <v>11</v>
      </c>
      <c r="P82" s="6">
        <f t="shared" si="6"/>
        <v>286</v>
      </c>
      <c r="Q82" s="7">
        <v>75.0</v>
      </c>
      <c r="R82" s="7">
        <v>211.0</v>
      </c>
      <c r="T82" s="5" t="s">
        <v>28</v>
      </c>
      <c r="U82" s="5" t="s">
        <v>11</v>
      </c>
      <c r="V82" s="6">
        <f t="shared" si="7"/>
        <v>27</v>
      </c>
      <c r="W82" s="7">
        <v>15.0</v>
      </c>
      <c r="X82" s="7">
        <v>12.0</v>
      </c>
    </row>
    <row r="83">
      <c r="B83" s="5" t="str">
        <f t="shared" ref="B83:C83" si="164">H83</f>
        <v>Sibsagar</v>
      </c>
      <c r="C83" s="5" t="str">
        <f t="shared" si="164"/>
        <v>10–14</v>
      </c>
      <c r="D83" s="5">
        <f t="shared" ref="D83:F83" si="165">J83+P83+V83</f>
        <v>43677</v>
      </c>
      <c r="E83" s="5">
        <f t="shared" si="165"/>
        <v>23069</v>
      </c>
      <c r="F83" s="5">
        <f t="shared" si="165"/>
        <v>20608</v>
      </c>
      <c r="G83" s="5"/>
      <c r="H83" s="5" t="s">
        <v>28</v>
      </c>
      <c r="I83" s="5" t="s">
        <v>12</v>
      </c>
      <c r="J83" s="6">
        <f t="shared" si="5"/>
        <v>40090</v>
      </c>
      <c r="K83" s="7">
        <v>21176.0</v>
      </c>
      <c r="L83" s="7">
        <v>18914.0</v>
      </c>
      <c r="N83" s="5" t="s">
        <v>28</v>
      </c>
      <c r="O83" s="5" t="s">
        <v>12</v>
      </c>
      <c r="P83" s="6">
        <f t="shared" si="6"/>
        <v>3503</v>
      </c>
      <c r="Q83" s="7">
        <v>1881.0</v>
      </c>
      <c r="R83" s="7">
        <v>1622.0</v>
      </c>
      <c r="T83" s="5" t="s">
        <v>28</v>
      </c>
      <c r="U83" s="5" t="s">
        <v>12</v>
      </c>
      <c r="V83" s="6">
        <f t="shared" si="7"/>
        <v>84</v>
      </c>
      <c r="W83" s="7">
        <v>12.0</v>
      </c>
      <c r="X83" s="7">
        <v>72.0</v>
      </c>
    </row>
    <row r="84">
      <c r="B84" s="5" t="str">
        <f t="shared" ref="B84:C84" si="166">H84</f>
        <v>Sibsagar</v>
      </c>
      <c r="C84" s="5" t="str">
        <f t="shared" si="166"/>
        <v>15–19</v>
      </c>
      <c r="D84" s="5">
        <f t="shared" ref="D84:F84" si="167">J84+P84+V84</f>
        <v>36997</v>
      </c>
      <c r="E84" s="5">
        <f t="shared" si="167"/>
        <v>22548</v>
      </c>
      <c r="F84" s="5">
        <f t="shared" si="167"/>
        <v>14449</v>
      </c>
      <c r="G84" s="5"/>
      <c r="H84" s="5" t="s">
        <v>28</v>
      </c>
      <c r="I84" s="5" t="s">
        <v>13</v>
      </c>
      <c r="J84" s="6">
        <f t="shared" si="5"/>
        <v>19629</v>
      </c>
      <c r="K84" s="7">
        <v>12868.0</v>
      </c>
      <c r="L84" s="7">
        <v>6761.0</v>
      </c>
      <c r="N84" s="5" t="s">
        <v>28</v>
      </c>
      <c r="O84" s="5" t="s">
        <v>13</v>
      </c>
      <c r="P84" s="6">
        <f t="shared" si="6"/>
        <v>16865</v>
      </c>
      <c r="Q84" s="7">
        <v>9491.0</v>
      </c>
      <c r="R84" s="7">
        <v>7374.0</v>
      </c>
      <c r="T84" s="5" t="s">
        <v>28</v>
      </c>
      <c r="U84" s="5" t="s">
        <v>13</v>
      </c>
      <c r="V84" s="6">
        <f t="shared" si="7"/>
        <v>503</v>
      </c>
      <c r="W84" s="7">
        <v>189.0</v>
      </c>
      <c r="X84" s="7">
        <v>314.0</v>
      </c>
    </row>
    <row r="85">
      <c r="B85" s="5" t="str">
        <f t="shared" ref="B85:C85" si="168">H85</f>
        <v>Sibsagar</v>
      </c>
      <c r="C85" s="5" t="str">
        <f t="shared" si="168"/>
        <v>20–24</v>
      </c>
      <c r="D85" s="5">
        <f t="shared" ref="D85:F85" si="169">J85+P85+V85</f>
        <v>48196</v>
      </c>
      <c r="E85" s="5">
        <f t="shared" si="169"/>
        <v>31652</v>
      </c>
      <c r="F85" s="5">
        <f t="shared" si="169"/>
        <v>16544</v>
      </c>
      <c r="G85" s="5"/>
      <c r="H85" s="5" t="s">
        <v>28</v>
      </c>
      <c r="I85" s="5" t="s">
        <v>14</v>
      </c>
      <c r="J85" s="6">
        <f t="shared" si="5"/>
        <v>14235</v>
      </c>
      <c r="K85" s="7">
        <v>12041.0</v>
      </c>
      <c r="L85" s="7">
        <v>2194.0</v>
      </c>
      <c r="N85" s="5" t="s">
        <v>28</v>
      </c>
      <c r="O85" s="5" t="s">
        <v>14</v>
      </c>
      <c r="P85" s="6">
        <f t="shared" si="6"/>
        <v>32311</v>
      </c>
      <c r="Q85" s="7">
        <v>18882.0</v>
      </c>
      <c r="R85" s="7">
        <v>13429.0</v>
      </c>
      <c r="T85" s="5" t="s">
        <v>28</v>
      </c>
      <c r="U85" s="5" t="s">
        <v>14</v>
      </c>
      <c r="V85" s="6">
        <f t="shared" si="7"/>
        <v>1650</v>
      </c>
      <c r="W85" s="7">
        <v>729.0</v>
      </c>
      <c r="X85" s="7">
        <v>921.0</v>
      </c>
    </row>
    <row r="86">
      <c r="B86" s="5" t="str">
        <f t="shared" ref="B86:C86" si="170">H86</f>
        <v>Sibsagar</v>
      </c>
      <c r="C86" s="5" t="str">
        <f t="shared" si="170"/>
        <v>25–29</v>
      </c>
      <c r="D86" s="5">
        <f t="shared" ref="D86:F86" si="171">J86+P86+V86</f>
        <v>27772</v>
      </c>
      <c r="E86" s="5">
        <f t="shared" si="171"/>
        <v>25500</v>
      </c>
      <c r="F86" s="5">
        <f t="shared" si="171"/>
        <v>2272</v>
      </c>
      <c r="G86" s="5"/>
      <c r="H86" s="5" t="s">
        <v>28</v>
      </c>
      <c r="I86" s="5" t="s">
        <v>15</v>
      </c>
      <c r="J86" s="6">
        <f t="shared" si="5"/>
        <v>6628</v>
      </c>
      <c r="K86" s="7">
        <v>5840.0</v>
      </c>
      <c r="L86" s="7">
        <v>788.0</v>
      </c>
      <c r="N86" s="5" t="s">
        <v>28</v>
      </c>
      <c r="O86" s="5" t="s">
        <v>15</v>
      </c>
      <c r="P86" s="6">
        <f t="shared" si="6"/>
        <v>18212</v>
      </c>
      <c r="Q86" s="7">
        <v>18212.0</v>
      </c>
      <c r="R86" s="7">
        <v>0.0</v>
      </c>
      <c r="T86" s="5" t="s">
        <v>28</v>
      </c>
      <c r="U86" s="5" t="s">
        <v>15</v>
      </c>
      <c r="V86" s="6">
        <f t="shared" si="7"/>
        <v>2932</v>
      </c>
      <c r="W86" s="7">
        <v>1448.0</v>
      </c>
      <c r="X86" s="7">
        <v>1484.0</v>
      </c>
    </row>
    <row r="87">
      <c r="B87" s="5" t="str">
        <f t="shared" ref="B87:C87" si="172">H87</f>
        <v>Sibsagar</v>
      </c>
      <c r="C87" s="5" t="str">
        <f t="shared" si="172"/>
        <v>30–34</v>
      </c>
      <c r="D87" s="5">
        <f t="shared" ref="D87:F87" si="173">J87+P87+V87</f>
        <v>43031</v>
      </c>
      <c r="E87" s="5">
        <f t="shared" si="173"/>
        <v>23368</v>
      </c>
      <c r="F87" s="5">
        <f t="shared" si="173"/>
        <v>19663</v>
      </c>
      <c r="G87" s="5"/>
      <c r="H87" s="5" t="s">
        <v>28</v>
      </c>
      <c r="I87" s="5" t="s">
        <v>16</v>
      </c>
      <c r="J87" s="6">
        <f t="shared" si="5"/>
        <v>3489</v>
      </c>
      <c r="K87" s="7">
        <v>3067.0</v>
      </c>
      <c r="L87" s="7">
        <v>422.0</v>
      </c>
      <c r="N87" s="5" t="s">
        <v>28</v>
      </c>
      <c r="O87" s="5" t="s">
        <v>16</v>
      </c>
      <c r="P87" s="6">
        <f t="shared" si="6"/>
        <v>34640</v>
      </c>
      <c r="Q87" s="7">
        <v>18007.0</v>
      </c>
      <c r="R87" s="7">
        <v>16633.0</v>
      </c>
      <c r="T87" s="5" t="s">
        <v>28</v>
      </c>
      <c r="U87" s="5" t="s">
        <v>16</v>
      </c>
      <c r="V87" s="6">
        <f t="shared" si="7"/>
        <v>4902</v>
      </c>
      <c r="W87" s="7">
        <v>2294.0</v>
      </c>
      <c r="X87" s="7">
        <v>2608.0</v>
      </c>
    </row>
    <row r="88">
      <c r="B88" s="5" t="str">
        <f t="shared" ref="B88:C88" si="174">H88</f>
        <v>Sibsagar</v>
      </c>
      <c r="C88" s="5" t="str">
        <f t="shared" si="174"/>
        <v>35–39</v>
      </c>
      <c r="D88" s="5">
        <f t="shared" ref="D88:F88" si="175">J88+P88+V88</f>
        <v>28766</v>
      </c>
      <c r="E88" s="5">
        <f t="shared" si="175"/>
        <v>17194</v>
      </c>
      <c r="F88" s="5">
        <f t="shared" si="175"/>
        <v>11572</v>
      </c>
      <c r="G88" s="5"/>
      <c r="H88" s="5" t="s">
        <v>28</v>
      </c>
      <c r="I88" s="5" t="s">
        <v>17</v>
      </c>
      <c r="J88" s="6">
        <f t="shared" si="5"/>
        <v>1308</v>
      </c>
      <c r="K88" s="7">
        <v>1108.0</v>
      </c>
      <c r="L88" s="7">
        <v>200.0</v>
      </c>
      <c r="N88" s="5" t="s">
        <v>28</v>
      </c>
      <c r="O88" s="5" t="s">
        <v>17</v>
      </c>
      <c r="P88" s="6">
        <f t="shared" si="6"/>
        <v>23027</v>
      </c>
      <c r="Q88" s="7">
        <v>14233.0</v>
      </c>
      <c r="R88" s="7">
        <v>8794.0</v>
      </c>
      <c r="T88" s="5" t="s">
        <v>28</v>
      </c>
      <c r="U88" s="5" t="s">
        <v>17</v>
      </c>
      <c r="V88" s="6">
        <f t="shared" si="7"/>
        <v>4431</v>
      </c>
      <c r="W88" s="7">
        <v>1853.0</v>
      </c>
      <c r="X88" s="7">
        <v>2578.0</v>
      </c>
    </row>
    <row r="89">
      <c r="B89" s="5" t="str">
        <f t="shared" ref="B89:C89" si="176">H89</f>
        <v>Sibsagar</v>
      </c>
      <c r="C89" s="5" t="str">
        <f t="shared" si="176"/>
        <v>40–44</v>
      </c>
      <c r="D89" s="5">
        <f t="shared" ref="D89:F89" si="177">J89+P89+V89</f>
        <v>28559</v>
      </c>
      <c r="E89" s="5">
        <f t="shared" si="177"/>
        <v>16317</v>
      </c>
      <c r="F89" s="5">
        <f t="shared" si="177"/>
        <v>12242</v>
      </c>
      <c r="G89" s="5"/>
      <c r="H89" s="5" t="s">
        <v>28</v>
      </c>
      <c r="I89" s="5" t="s">
        <v>18</v>
      </c>
      <c r="J89" s="6">
        <f t="shared" si="5"/>
        <v>853</v>
      </c>
      <c r="K89" s="7">
        <v>697.0</v>
      </c>
      <c r="L89" s="7">
        <v>156.0</v>
      </c>
      <c r="N89" s="5" t="s">
        <v>28</v>
      </c>
      <c r="O89" s="5" t="s">
        <v>18</v>
      </c>
      <c r="P89" s="6">
        <f t="shared" si="6"/>
        <v>21040</v>
      </c>
      <c r="Q89" s="7">
        <v>13275.0</v>
      </c>
      <c r="R89" s="7">
        <v>7765.0</v>
      </c>
      <c r="T89" s="5" t="s">
        <v>28</v>
      </c>
      <c r="U89" s="5" t="s">
        <v>18</v>
      </c>
      <c r="V89" s="6">
        <f t="shared" si="7"/>
        <v>6666</v>
      </c>
      <c r="W89" s="7">
        <v>2345.0</v>
      </c>
      <c r="X89" s="7">
        <v>4321.0</v>
      </c>
    </row>
    <row r="90">
      <c r="B90" s="5" t="str">
        <f t="shared" ref="B90:C90" si="178">H90</f>
        <v>Sibsagar</v>
      </c>
      <c r="C90" s="5" t="str">
        <f t="shared" si="178"/>
        <v>45–49</v>
      </c>
      <c r="D90" s="5">
        <f t="shared" ref="D90:F90" si="179">J90+P90+V90</f>
        <v>13546</v>
      </c>
      <c r="E90" s="5">
        <f t="shared" si="179"/>
        <v>8510</v>
      </c>
      <c r="F90" s="5">
        <f t="shared" si="179"/>
        <v>5036</v>
      </c>
      <c r="G90" s="5"/>
      <c r="H90" s="5" t="s">
        <v>28</v>
      </c>
      <c r="I90" s="5" t="s">
        <v>19</v>
      </c>
      <c r="J90" s="6">
        <f t="shared" si="5"/>
        <v>309</v>
      </c>
      <c r="K90" s="7">
        <v>250.0</v>
      </c>
      <c r="L90" s="7">
        <v>59.0</v>
      </c>
      <c r="N90" s="5" t="s">
        <v>28</v>
      </c>
      <c r="O90" s="5" t="s">
        <v>19</v>
      </c>
      <c r="P90" s="6">
        <f t="shared" si="6"/>
        <v>9695</v>
      </c>
      <c r="Q90" s="7">
        <v>7062.0</v>
      </c>
      <c r="R90" s="7">
        <v>2633.0</v>
      </c>
      <c r="T90" s="5" t="s">
        <v>28</v>
      </c>
      <c r="U90" s="5" t="s">
        <v>19</v>
      </c>
      <c r="V90" s="6">
        <f t="shared" si="7"/>
        <v>3542</v>
      </c>
      <c r="W90" s="7">
        <v>1198.0</v>
      </c>
      <c r="X90" s="7">
        <v>2344.0</v>
      </c>
    </row>
    <row r="91">
      <c r="B91" s="5" t="str">
        <f t="shared" ref="B91:C91" si="180">H91</f>
        <v>Sibsagar</v>
      </c>
      <c r="C91" s="5" t="str">
        <f t="shared" si="180"/>
        <v>50–54</v>
      </c>
      <c r="D91" s="5">
        <f t="shared" ref="D91:F91" si="181">J91+P91+V91</f>
        <v>17656</v>
      </c>
      <c r="E91" s="5">
        <f t="shared" si="181"/>
        <v>10241</v>
      </c>
      <c r="F91" s="5">
        <f t="shared" si="181"/>
        <v>7415</v>
      </c>
      <c r="G91" s="5"/>
      <c r="H91" s="5" t="s">
        <v>28</v>
      </c>
      <c r="I91" s="5" t="s">
        <v>20</v>
      </c>
      <c r="J91" s="6">
        <f t="shared" si="5"/>
        <v>334</v>
      </c>
      <c r="K91" s="7">
        <v>274.0</v>
      </c>
      <c r="L91" s="7">
        <v>60.0</v>
      </c>
      <c r="N91" s="5" t="s">
        <v>28</v>
      </c>
      <c r="O91" s="5" t="s">
        <v>20</v>
      </c>
      <c r="P91" s="6">
        <f t="shared" si="6"/>
        <v>11050</v>
      </c>
      <c r="Q91" s="7">
        <v>8081.0</v>
      </c>
      <c r="R91" s="7">
        <v>2969.0</v>
      </c>
      <c r="T91" s="5" t="s">
        <v>28</v>
      </c>
      <c r="U91" s="5" t="s">
        <v>20</v>
      </c>
      <c r="V91" s="6">
        <f t="shared" si="7"/>
        <v>6272</v>
      </c>
      <c r="W91" s="7">
        <v>1886.0</v>
      </c>
      <c r="X91" s="7">
        <v>4386.0</v>
      </c>
    </row>
    <row r="92">
      <c r="B92" s="5" t="str">
        <f t="shared" ref="B92:C92" si="182">H92</f>
        <v>Sibsagar</v>
      </c>
      <c r="C92" s="5" t="str">
        <f t="shared" si="182"/>
        <v>55–59</v>
      </c>
      <c r="D92" s="5">
        <f t="shared" ref="D92:F92" si="183">J92+P92+V92</f>
        <v>6626</v>
      </c>
      <c r="E92" s="5">
        <f t="shared" si="183"/>
        <v>3969</v>
      </c>
      <c r="F92" s="5">
        <f t="shared" si="183"/>
        <v>2657</v>
      </c>
      <c r="G92" s="5"/>
      <c r="H92" s="5" t="s">
        <v>28</v>
      </c>
      <c r="I92" s="5" t="s">
        <v>21</v>
      </c>
      <c r="J92" s="6">
        <f t="shared" si="5"/>
        <v>108</v>
      </c>
      <c r="K92" s="7">
        <v>72.0</v>
      </c>
      <c r="L92" s="7">
        <v>36.0</v>
      </c>
      <c r="N92" s="5" t="s">
        <v>28</v>
      </c>
      <c r="O92" s="5" t="s">
        <v>21</v>
      </c>
      <c r="P92" s="6">
        <f t="shared" si="6"/>
        <v>3894</v>
      </c>
      <c r="Q92" s="7">
        <v>3050.0</v>
      </c>
      <c r="R92" s="7">
        <v>844.0</v>
      </c>
      <c r="T92" s="5" t="s">
        <v>28</v>
      </c>
      <c r="U92" s="5" t="s">
        <v>21</v>
      </c>
      <c r="V92" s="6">
        <f t="shared" si="7"/>
        <v>2624</v>
      </c>
      <c r="W92" s="7">
        <v>847.0</v>
      </c>
      <c r="X92" s="7">
        <v>1777.0</v>
      </c>
    </row>
    <row r="93">
      <c r="B93" s="5" t="str">
        <f t="shared" ref="B93:C93" si="184">H93</f>
        <v>Sibsagar</v>
      </c>
      <c r="C93" s="5" t="str">
        <f t="shared" si="184"/>
        <v>60 and over</v>
      </c>
      <c r="D93" s="5">
        <f t="shared" ref="D93:F93" si="185">J93+P93+V93</f>
        <v>13780</v>
      </c>
      <c r="E93" s="5">
        <f t="shared" si="185"/>
        <v>7342</v>
      </c>
      <c r="F93" s="5">
        <f t="shared" si="185"/>
        <v>6438</v>
      </c>
      <c r="G93" s="5"/>
      <c r="H93" s="5" t="s">
        <v>28</v>
      </c>
      <c r="I93" s="5" t="s">
        <v>22</v>
      </c>
      <c r="J93" s="6">
        <f t="shared" si="5"/>
        <v>181</v>
      </c>
      <c r="K93" s="7">
        <v>139.0</v>
      </c>
      <c r="L93" s="7">
        <v>42.0</v>
      </c>
      <c r="N93" s="5" t="s">
        <v>28</v>
      </c>
      <c r="O93" s="5" t="s">
        <v>22</v>
      </c>
      <c r="P93" s="6">
        <f t="shared" si="6"/>
        <v>6143</v>
      </c>
      <c r="Q93" s="7">
        <v>5179.0</v>
      </c>
      <c r="R93" s="7">
        <v>964.0</v>
      </c>
      <c r="T93" s="5" t="s">
        <v>28</v>
      </c>
      <c r="U93" s="5" t="s">
        <v>22</v>
      </c>
      <c r="V93" s="6">
        <f t="shared" si="7"/>
        <v>7456</v>
      </c>
      <c r="W93" s="7">
        <v>2024.0</v>
      </c>
      <c r="X93" s="7">
        <v>5432.0</v>
      </c>
    </row>
    <row r="94">
      <c r="B94" s="5" t="str">
        <f t="shared" ref="B94:C94" si="186">H94</f>
        <v>Lakhimpur</v>
      </c>
      <c r="C94" s="5" t="str">
        <f t="shared" si="186"/>
        <v>0–4</v>
      </c>
      <c r="D94" s="5">
        <f t="shared" ref="D94:F94" si="187">J94+P94+V94</f>
        <v>36805</v>
      </c>
      <c r="E94" s="5">
        <f t="shared" si="187"/>
        <v>19379</v>
      </c>
      <c r="F94" s="5">
        <f t="shared" si="187"/>
        <v>17426</v>
      </c>
      <c r="G94" s="5"/>
      <c r="H94" s="5" t="s">
        <v>29</v>
      </c>
      <c r="I94" s="5" t="s">
        <v>10</v>
      </c>
      <c r="J94" s="6">
        <f t="shared" si="5"/>
        <v>36780</v>
      </c>
      <c r="K94" s="7">
        <v>19372.0</v>
      </c>
      <c r="L94" s="7">
        <v>17408.0</v>
      </c>
      <c r="N94" s="5" t="s">
        <v>29</v>
      </c>
      <c r="O94" s="5" t="s">
        <v>10</v>
      </c>
      <c r="P94" s="6">
        <f t="shared" si="6"/>
        <v>8</v>
      </c>
      <c r="Q94" s="7">
        <v>3.0</v>
      </c>
      <c r="R94" s="7">
        <v>5.0</v>
      </c>
      <c r="T94" s="5" t="s">
        <v>29</v>
      </c>
      <c r="U94" s="5" t="s">
        <v>10</v>
      </c>
      <c r="V94" s="6">
        <f t="shared" si="7"/>
        <v>17</v>
      </c>
      <c r="W94" s="7">
        <v>4.0</v>
      </c>
      <c r="X94" s="7">
        <v>13.0</v>
      </c>
    </row>
    <row r="95">
      <c r="B95" s="5" t="str">
        <f t="shared" ref="B95:C95" si="188">H95</f>
        <v>Lakhimpur</v>
      </c>
      <c r="C95" s="5" t="str">
        <f t="shared" si="188"/>
        <v>5–9</v>
      </c>
      <c r="D95" s="5">
        <f t="shared" ref="D95:F95" si="189">J95+P95+V95</f>
        <v>36216</v>
      </c>
      <c r="E95" s="5">
        <f t="shared" si="189"/>
        <v>18432</v>
      </c>
      <c r="F95" s="5">
        <f t="shared" si="189"/>
        <v>17784</v>
      </c>
      <c r="G95" s="5"/>
      <c r="H95" s="5" t="s">
        <v>29</v>
      </c>
      <c r="I95" s="5" t="s">
        <v>11</v>
      </c>
      <c r="J95" s="6">
        <f t="shared" si="5"/>
        <v>36069</v>
      </c>
      <c r="K95" s="7">
        <v>18394.0</v>
      </c>
      <c r="L95" s="7">
        <v>17675.0</v>
      </c>
      <c r="N95" s="5" t="s">
        <v>29</v>
      </c>
      <c r="O95" s="5" t="s">
        <v>11</v>
      </c>
      <c r="P95" s="6">
        <f t="shared" si="6"/>
        <v>108</v>
      </c>
      <c r="Q95" s="7">
        <v>25.0</v>
      </c>
      <c r="R95" s="7">
        <v>83.0</v>
      </c>
      <c r="T95" s="5" t="s">
        <v>29</v>
      </c>
      <c r="U95" s="5" t="s">
        <v>11</v>
      </c>
      <c r="V95" s="6">
        <f t="shared" si="7"/>
        <v>39</v>
      </c>
      <c r="W95" s="7">
        <v>13.0</v>
      </c>
      <c r="X95" s="7">
        <v>26.0</v>
      </c>
    </row>
    <row r="96">
      <c r="B96" s="5" t="str">
        <f t="shared" ref="B96:C96" si="190">H96</f>
        <v>Lakhimpur</v>
      </c>
      <c r="C96" s="5" t="str">
        <f t="shared" si="190"/>
        <v>10–14</v>
      </c>
      <c r="D96" s="5">
        <f t="shared" ref="D96:F96" si="191">J96+P96+V96</f>
        <v>25662</v>
      </c>
      <c r="E96" s="5">
        <f t="shared" si="191"/>
        <v>14529</v>
      </c>
      <c r="F96" s="5">
        <f t="shared" si="191"/>
        <v>11133</v>
      </c>
      <c r="G96" s="5"/>
      <c r="H96" s="5" t="s">
        <v>29</v>
      </c>
      <c r="I96" s="5" t="s">
        <v>12</v>
      </c>
      <c r="J96" s="6">
        <f t="shared" si="5"/>
        <v>23179</v>
      </c>
      <c r="K96" s="7">
        <v>13371.0</v>
      </c>
      <c r="L96" s="7">
        <v>9808.0</v>
      </c>
      <c r="N96" s="5" t="s">
        <v>29</v>
      </c>
      <c r="O96" s="5" t="s">
        <v>12</v>
      </c>
      <c r="P96" s="6">
        <f t="shared" si="6"/>
        <v>2381</v>
      </c>
      <c r="Q96" s="7">
        <v>1132.0</v>
      </c>
      <c r="R96" s="7">
        <v>1249.0</v>
      </c>
      <c r="T96" s="5" t="s">
        <v>29</v>
      </c>
      <c r="U96" s="5" t="s">
        <v>12</v>
      </c>
      <c r="V96" s="6">
        <f t="shared" si="7"/>
        <v>102</v>
      </c>
      <c r="W96" s="7">
        <v>26.0</v>
      </c>
      <c r="X96" s="7">
        <v>76.0</v>
      </c>
    </row>
    <row r="97">
      <c r="B97" s="5" t="str">
        <f t="shared" ref="B97:C97" si="192">H97</f>
        <v>Lakhimpur</v>
      </c>
      <c r="C97" s="5" t="str">
        <f t="shared" si="192"/>
        <v>15–19</v>
      </c>
      <c r="D97" s="5">
        <f t="shared" ref="D97:F97" si="193">J97+P97+V97</f>
        <v>23305</v>
      </c>
      <c r="E97" s="5">
        <f t="shared" si="193"/>
        <v>13350</v>
      </c>
      <c r="F97" s="5">
        <f t="shared" si="193"/>
        <v>9955</v>
      </c>
      <c r="G97" s="5"/>
      <c r="H97" s="5" t="s">
        <v>29</v>
      </c>
      <c r="I97" s="5" t="s">
        <v>13</v>
      </c>
      <c r="J97" s="6">
        <f t="shared" si="5"/>
        <v>12918</v>
      </c>
      <c r="K97" s="7">
        <v>8246.0</v>
      </c>
      <c r="L97" s="7">
        <v>4672.0</v>
      </c>
      <c r="N97" s="5" t="s">
        <v>29</v>
      </c>
      <c r="O97" s="5" t="s">
        <v>13</v>
      </c>
      <c r="P97" s="6">
        <f t="shared" si="6"/>
        <v>10073</v>
      </c>
      <c r="Q97" s="7">
        <v>5012.0</v>
      </c>
      <c r="R97" s="7">
        <v>5061.0</v>
      </c>
      <c r="T97" s="5" t="s">
        <v>29</v>
      </c>
      <c r="U97" s="5" t="s">
        <v>13</v>
      </c>
      <c r="V97" s="6">
        <f t="shared" si="7"/>
        <v>314</v>
      </c>
      <c r="W97" s="7">
        <v>92.0</v>
      </c>
      <c r="X97" s="7">
        <v>222.0</v>
      </c>
    </row>
    <row r="98">
      <c r="B98" s="5" t="str">
        <f t="shared" ref="B98:C98" si="194">H98</f>
        <v>Lakhimpur</v>
      </c>
      <c r="C98" s="5" t="str">
        <f t="shared" si="194"/>
        <v>20–24</v>
      </c>
      <c r="D98" s="5">
        <f t="shared" ref="D98:F98" si="195">J98+P98+V98</f>
        <v>30852</v>
      </c>
      <c r="E98" s="5">
        <f t="shared" si="195"/>
        <v>17038</v>
      </c>
      <c r="F98" s="5">
        <f t="shared" si="195"/>
        <v>13814</v>
      </c>
      <c r="G98" s="5"/>
      <c r="H98" s="5" t="s">
        <v>29</v>
      </c>
      <c r="I98" s="5" t="s">
        <v>14</v>
      </c>
      <c r="J98" s="6">
        <f t="shared" si="5"/>
        <v>8013</v>
      </c>
      <c r="K98" s="7">
        <v>6550.0</v>
      </c>
      <c r="L98" s="7">
        <v>1463.0</v>
      </c>
      <c r="N98" s="5" t="s">
        <v>29</v>
      </c>
      <c r="O98" s="5" t="s">
        <v>14</v>
      </c>
      <c r="P98" s="6">
        <f t="shared" si="6"/>
        <v>21886</v>
      </c>
      <c r="Q98" s="7">
        <v>10095.0</v>
      </c>
      <c r="R98" s="7">
        <v>11791.0</v>
      </c>
      <c r="T98" s="5" t="s">
        <v>29</v>
      </c>
      <c r="U98" s="5" t="s">
        <v>14</v>
      </c>
      <c r="V98" s="6">
        <f t="shared" si="7"/>
        <v>953</v>
      </c>
      <c r="W98" s="7">
        <v>393.0</v>
      </c>
      <c r="X98" s="7">
        <v>560.0</v>
      </c>
    </row>
    <row r="99">
      <c r="B99" s="5" t="str">
        <f t="shared" ref="B99:C99" si="196">H99</f>
        <v>Lakhimpur</v>
      </c>
      <c r="C99" s="5" t="str">
        <f t="shared" si="196"/>
        <v>25–29</v>
      </c>
      <c r="D99" s="5">
        <f t="shared" ref="D99:F99" si="197">J99+P99+V99</f>
        <v>6713</v>
      </c>
      <c r="E99" s="5">
        <f t="shared" si="197"/>
        <v>5008</v>
      </c>
      <c r="F99" s="5">
        <f t="shared" si="197"/>
        <v>1705</v>
      </c>
      <c r="G99" s="5"/>
      <c r="H99" s="5" t="s">
        <v>29</v>
      </c>
      <c r="I99" s="5" t="s">
        <v>15</v>
      </c>
      <c r="J99" s="6">
        <f t="shared" si="5"/>
        <v>4684</v>
      </c>
      <c r="K99" s="7">
        <v>4085.0</v>
      </c>
      <c r="L99" s="7">
        <v>599.0</v>
      </c>
      <c r="N99" s="5" t="s">
        <v>29</v>
      </c>
      <c r="O99" s="5" t="s">
        <v>15</v>
      </c>
      <c r="P99" s="6">
        <f t="shared" si="6"/>
        <v>0</v>
      </c>
      <c r="Q99" s="7">
        <v>0.0</v>
      </c>
      <c r="R99" s="7">
        <v>0.0</v>
      </c>
      <c r="T99" s="5" t="s">
        <v>29</v>
      </c>
      <c r="U99" s="5" t="s">
        <v>15</v>
      </c>
      <c r="V99" s="6">
        <f t="shared" si="7"/>
        <v>2029</v>
      </c>
      <c r="W99" s="7">
        <v>923.0</v>
      </c>
      <c r="X99" s="7">
        <v>1106.0</v>
      </c>
    </row>
    <row r="100">
      <c r="B100" s="5" t="str">
        <f t="shared" ref="B100:C100" si="198">H100</f>
        <v>Lakhimpur</v>
      </c>
      <c r="C100" s="5" t="str">
        <f t="shared" si="198"/>
        <v>30–34</v>
      </c>
      <c r="D100" s="5">
        <f t="shared" ref="D100:F100" si="199">J100+P100+V100</f>
        <v>25332</v>
      </c>
      <c r="E100" s="5">
        <f t="shared" si="199"/>
        <v>14647</v>
      </c>
      <c r="F100" s="5">
        <f t="shared" si="199"/>
        <v>10685</v>
      </c>
      <c r="G100" s="5"/>
      <c r="H100" s="5" t="s">
        <v>29</v>
      </c>
      <c r="I100" s="5" t="s">
        <v>16</v>
      </c>
      <c r="J100" s="6">
        <f t="shared" si="5"/>
        <v>2334</v>
      </c>
      <c r="K100" s="7">
        <v>2047.0</v>
      </c>
      <c r="L100" s="7">
        <v>287.0</v>
      </c>
      <c r="N100" s="5" t="s">
        <v>29</v>
      </c>
      <c r="O100" s="5" t="s">
        <v>16</v>
      </c>
      <c r="P100" s="6">
        <f t="shared" si="6"/>
        <v>20219</v>
      </c>
      <c r="Q100" s="7">
        <v>11310.0</v>
      </c>
      <c r="R100" s="7">
        <v>8909.0</v>
      </c>
      <c r="T100" s="5" t="s">
        <v>29</v>
      </c>
      <c r="U100" s="5" t="s">
        <v>16</v>
      </c>
      <c r="V100" s="6">
        <f t="shared" si="7"/>
        <v>2779</v>
      </c>
      <c r="W100" s="7">
        <v>1290.0</v>
      </c>
      <c r="X100" s="7">
        <v>1489.0</v>
      </c>
    </row>
    <row r="101">
      <c r="B101" s="5" t="str">
        <f t="shared" ref="B101:C101" si="200">H101</f>
        <v>Lakhimpur</v>
      </c>
      <c r="C101" s="5" t="str">
        <f t="shared" si="200"/>
        <v>35–39</v>
      </c>
      <c r="D101" s="5">
        <f t="shared" ref="D101:F101" si="201">J101+P101+V101</f>
        <v>17125</v>
      </c>
      <c r="E101" s="5">
        <f t="shared" si="201"/>
        <v>10941</v>
      </c>
      <c r="F101" s="5">
        <f t="shared" si="201"/>
        <v>6184</v>
      </c>
      <c r="G101" s="5"/>
      <c r="H101" s="5" t="s">
        <v>29</v>
      </c>
      <c r="I101" s="5" t="s">
        <v>17</v>
      </c>
      <c r="J101" s="6">
        <f t="shared" si="5"/>
        <v>935</v>
      </c>
      <c r="K101" s="7">
        <v>812.0</v>
      </c>
      <c r="L101" s="7">
        <v>123.0</v>
      </c>
      <c r="N101" s="5" t="s">
        <v>29</v>
      </c>
      <c r="O101" s="5" t="s">
        <v>17</v>
      </c>
      <c r="P101" s="6">
        <f t="shared" si="6"/>
        <v>13667</v>
      </c>
      <c r="Q101" s="7">
        <v>8975.0</v>
      </c>
      <c r="R101" s="7">
        <v>4692.0</v>
      </c>
      <c r="T101" s="5" t="s">
        <v>29</v>
      </c>
      <c r="U101" s="5" t="s">
        <v>17</v>
      </c>
      <c r="V101" s="6">
        <f t="shared" si="7"/>
        <v>2523</v>
      </c>
      <c r="W101" s="7">
        <v>1154.0</v>
      </c>
      <c r="X101" s="7">
        <v>1369.0</v>
      </c>
    </row>
    <row r="102">
      <c r="B102" s="5" t="str">
        <f t="shared" ref="B102:C102" si="202">H102</f>
        <v>Lakhimpur</v>
      </c>
      <c r="C102" s="5" t="str">
        <f t="shared" si="202"/>
        <v>40–44</v>
      </c>
      <c r="D102" s="5">
        <f t="shared" ref="D102:F102" si="203">J102+P102+V102</f>
        <v>14770</v>
      </c>
      <c r="E102" s="5">
        <f t="shared" si="203"/>
        <v>8759</v>
      </c>
      <c r="F102" s="5">
        <f t="shared" si="203"/>
        <v>6011</v>
      </c>
      <c r="G102" s="5"/>
      <c r="H102" s="5" t="s">
        <v>29</v>
      </c>
      <c r="I102" s="5" t="s">
        <v>18</v>
      </c>
      <c r="J102" s="6">
        <f t="shared" si="5"/>
        <v>538</v>
      </c>
      <c r="K102" s="7">
        <v>451.0</v>
      </c>
      <c r="L102" s="7">
        <v>87.0</v>
      </c>
      <c r="N102" s="5" t="s">
        <v>29</v>
      </c>
      <c r="O102" s="5" t="s">
        <v>18</v>
      </c>
      <c r="P102" s="6">
        <f t="shared" si="6"/>
        <v>10939</v>
      </c>
      <c r="Q102" s="7">
        <v>7125.0</v>
      </c>
      <c r="R102" s="7">
        <v>3814.0</v>
      </c>
      <c r="T102" s="5" t="s">
        <v>29</v>
      </c>
      <c r="U102" s="5" t="s">
        <v>18</v>
      </c>
      <c r="V102" s="6">
        <f t="shared" si="7"/>
        <v>3293</v>
      </c>
      <c r="W102" s="7">
        <v>1183.0</v>
      </c>
      <c r="X102" s="7">
        <v>2110.0</v>
      </c>
    </row>
    <row r="103">
      <c r="B103" s="5" t="str">
        <f t="shared" ref="B103:C103" si="204">H103</f>
        <v>Lakhimpur</v>
      </c>
      <c r="C103" s="5" t="str">
        <f t="shared" si="204"/>
        <v>45–49</v>
      </c>
      <c r="D103" s="5">
        <f t="shared" ref="D103:F103" si="205">J103+P103+V103</f>
        <v>6747</v>
      </c>
      <c r="E103" s="5">
        <f t="shared" si="205"/>
        <v>3898</v>
      </c>
      <c r="F103" s="5">
        <f t="shared" si="205"/>
        <v>2849</v>
      </c>
      <c r="G103" s="5"/>
      <c r="H103" s="5" t="s">
        <v>29</v>
      </c>
      <c r="I103" s="5" t="s">
        <v>19</v>
      </c>
      <c r="J103" s="6">
        <f t="shared" si="5"/>
        <v>204</v>
      </c>
      <c r="K103" s="7">
        <v>156.0</v>
      </c>
      <c r="L103" s="7">
        <v>48.0</v>
      </c>
      <c r="N103" s="5" t="s">
        <v>29</v>
      </c>
      <c r="O103" s="5" t="s">
        <v>19</v>
      </c>
      <c r="P103" s="6">
        <f t="shared" si="6"/>
        <v>4814</v>
      </c>
      <c r="Q103" s="7">
        <v>3140.0</v>
      </c>
      <c r="R103" s="7">
        <v>1674.0</v>
      </c>
      <c r="T103" s="5" t="s">
        <v>29</v>
      </c>
      <c r="U103" s="5" t="s">
        <v>19</v>
      </c>
      <c r="V103" s="6">
        <f t="shared" si="7"/>
        <v>1729</v>
      </c>
      <c r="W103" s="7">
        <v>602.0</v>
      </c>
      <c r="X103" s="7">
        <v>1127.0</v>
      </c>
    </row>
    <row r="104">
      <c r="B104" s="5" t="str">
        <f t="shared" ref="B104:C104" si="206">H104</f>
        <v>Lakhimpur</v>
      </c>
      <c r="C104" s="5" t="str">
        <f t="shared" si="206"/>
        <v>50–54</v>
      </c>
      <c r="D104" s="5">
        <f t="shared" ref="D104:F104" si="207">J104+P104+V104</f>
        <v>10393</v>
      </c>
      <c r="E104" s="5">
        <f t="shared" si="207"/>
        <v>6816</v>
      </c>
      <c r="F104" s="5">
        <f t="shared" si="207"/>
        <v>3577</v>
      </c>
      <c r="G104" s="5"/>
      <c r="H104" s="5" t="s">
        <v>29</v>
      </c>
      <c r="I104" s="5" t="s">
        <v>20</v>
      </c>
      <c r="J104" s="6">
        <f t="shared" si="5"/>
        <v>192</v>
      </c>
      <c r="K104" s="7">
        <v>142.0</v>
      </c>
      <c r="L104" s="7">
        <v>50.0</v>
      </c>
      <c r="N104" s="5" t="s">
        <v>29</v>
      </c>
      <c r="O104" s="5" t="s">
        <v>20</v>
      </c>
      <c r="P104" s="6">
        <f t="shared" si="6"/>
        <v>7310</v>
      </c>
      <c r="Q104" s="7">
        <v>5808.0</v>
      </c>
      <c r="R104" s="7">
        <v>1502.0</v>
      </c>
      <c r="T104" s="5" t="s">
        <v>29</v>
      </c>
      <c r="U104" s="5" t="s">
        <v>20</v>
      </c>
      <c r="V104" s="6">
        <f t="shared" si="7"/>
        <v>2891</v>
      </c>
      <c r="W104" s="7">
        <v>866.0</v>
      </c>
      <c r="X104" s="7">
        <v>2025.0</v>
      </c>
    </row>
    <row r="105">
      <c r="B105" s="5" t="str">
        <f t="shared" ref="B105:C105" si="208">H105</f>
        <v>Lakhimpur</v>
      </c>
      <c r="C105" s="5" t="str">
        <f t="shared" si="208"/>
        <v>55–59</v>
      </c>
      <c r="D105" s="5">
        <f t="shared" ref="D105:F105" si="209">J105+P105+V105</f>
        <v>3043</v>
      </c>
      <c r="E105" s="5">
        <f t="shared" si="209"/>
        <v>1692</v>
      </c>
      <c r="F105" s="5">
        <f t="shared" si="209"/>
        <v>1351</v>
      </c>
      <c r="G105" s="5"/>
      <c r="H105" s="5" t="s">
        <v>29</v>
      </c>
      <c r="I105" s="5" t="s">
        <v>21</v>
      </c>
      <c r="J105" s="6">
        <f t="shared" si="5"/>
        <v>51</v>
      </c>
      <c r="K105" s="7">
        <v>36.0</v>
      </c>
      <c r="L105" s="7">
        <v>15.0</v>
      </c>
      <c r="N105" s="5" t="s">
        <v>29</v>
      </c>
      <c r="O105" s="5" t="s">
        <v>21</v>
      </c>
      <c r="P105" s="6">
        <f t="shared" si="6"/>
        <v>1789</v>
      </c>
      <c r="Q105" s="7">
        <v>1312.0</v>
      </c>
      <c r="R105" s="7">
        <v>477.0</v>
      </c>
      <c r="T105" s="5" t="s">
        <v>29</v>
      </c>
      <c r="U105" s="5" t="s">
        <v>21</v>
      </c>
      <c r="V105" s="6">
        <f t="shared" si="7"/>
        <v>1203</v>
      </c>
      <c r="W105" s="7">
        <v>344.0</v>
      </c>
      <c r="X105" s="7">
        <v>859.0</v>
      </c>
    </row>
    <row r="106">
      <c r="B106" s="5" t="str">
        <f t="shared" ref="B106:C106" si="210">H106</f>
        <v>Lakhimpur</v>
      </c>
      <c r="C106" s="5" t="str">
        <f t="shared" si="210"/>
        <v>60 and over</v>
      </c>
      <c r="D106" s="5">
        <f t="shared" ref="D106:F106" si="211">J106+P106+V106</f>
        <v>6542</v>
      </c>
      <c r="E106" s="5">
        <f t="shared" si="211"/>
        <v>3509</v>
      </c>
      <c r="F106" s="5">
        <f t="shared" si="211"/>
        <v>3033</v>
      </c>
      <c r="G106" s="5"/>
      <c r="H106" s="5" t="s">
        <v>29</v>
      </c>
      <c r="I106" s="5" t="s">
        <v>22</v>
      </c>
      <c r="J106" s="6">
        <f t="shared" si="5"/>
        <v>103</v>
      </c>
      <c r="K106" s="7">
        <v>73.0</v>
      </c>
      <c r="L106" s="7">
        <v>30.0</v>
      </c>
      <c r="N106" s="5" t="s">
        <v>29</v>
      </c>
      <c r="O106" s="5" t="s">
        <v>22</v>
      </c>
      <c r="P106" s="6">
        <f t="shared" si="6"/>
        <v>3047</v>
      </c>
      <c r="Q106" s="7">
        <v>2470.0</v>
      </c>
      <c r="R106" s="7">
        <v>577.0</v>
      </c>
      <c r="T106" s="5" t="s">
        <v>29</v>
      </c>
      <c r="U106" s="5" t="s">
        <v>22</v>
      </c>
      <c r="V106" s="6">
        <f t="shared" si="7"/>
        <v>3392</v>
      </c>
      <c r="W106" s="7">
        <v>966.0</v>
      </c>
      <c r="X106" s="7">
        <v>2426.0</v>
      </c>
    </row>
    <row r="107">
      <c r="B107" s="5" t="str">
        <f t="shared" ref="B107:C107" si="212">H107</f>
        <v>North Cachar</v>
      </c>
      <c r="C107" s="5" t="str">
        <f t="shared" si="212"/>
        <v>0–4</v>
      </c>
      <c r="D107" s="5">
        <f t="shared" ref="D107:F107" si="213">J107+P107+V107</f>
        <v>3196</v>
      </c>
      <c r="E107" s="5">
        <f t="shared" si="213"/>
        <v>1601</v>
      </c>
      <c r="F107" s="5">
        <f t="shared" si="213"/>
        <v>1595</v>
      </c>
      <c r="G107" s="5"/>
      <c r="H107" s="5" t="s">
        <v>30</v>
      </c>
      <c r="I107" s="5" t="s">
        <v>10</v>
      </c>
      <c r="J107" s="6">
        <f t="shared" si="5"/>
        <v>3196</v>
      </c>
      <c r="K107" s="7">
        <v>1601.0</v>
      </c>
      <c r="L107" s="7">
        <v>1595.0</v>
      </c>
      <c r="N107" s="5" t="s">
        <v>30</v>
      </c>
      <c r="O107" s="5" t="s">
        <v>10</v>
      </c>
      <c r="P107" s="6">
        <f t="shared" si="6"/>
        <v>0</v>
      </c>
      <c r="Q107" s="7">
        <v>0.0</v>
      </c>
      <c r="R107" s="7">
        <v>0.0</v>
      </c>
      <c r="T107" s="5" t="s">
        <v>30</v>
      </c>
      <c r="U107" s="5" t="s">
        <v>10</v>
      </c>
      <c r="V107" s="6">
        <f t="shared" si="7"/>
        <v>0</v>
      </c>
      <c r="W107" s="7">
        <v>0.0</v>
      </c>
      <c r="X107" s="7">
        <v>0.0</v>
      </c>
    </row>
    <row r="108">
      <c r="B108" s="5" t="str">
        <f t="shared" ref="B108:C108" si="214">H108</f>
        <v>North Cachar</v>
      </c>
      <c r="C108" s="5" t="str">
        <f t="shared" si="214"/>
        <v>5–9</v>
      </c>
      <c r="D108" s="5">
        <f t="shared" ref="D108:F108" si="215">J108+P108+V108</f>
        <v>2833</v>
      </c>
      <c r="E108" s="5">
        <f t="shared" si="215"/>
        <v>1409</v>
      </c>
      <c r="F108" s="5">
        <f t="shared" si="215"/>
        <v>1424</v>
      </c>
      <c r="G108" s="5"/>
      <c r="H108" s="5" t="s">
        <v>30</v>
      </c>
      <c r="I108" s="5" t="s">
        <v>11</v>
      </c>
      <c r="J108" s="6">
        <f t="shared" si="5"/>
        <v>2818</v>
      </c>
      <c r="K108" s="7">
        <v>1406.0</v>
      </c>
      <c r="L108" s="7">
        <v>1412.0</v>
      </c>
      <c r="N108" s="5" t="s">
        <v>30</v>
      </c>
      <c r="O108" s="5" t="s">
        <v>11</v>
      </c>
      <c r="P108" s="6">
        <f t="shared" si="6"/>
        <v>12</v>
      </c>
      <c r="Q108" s="7">
        <v>2.0</v>
      </c>
      <c r="R108" s="7">
        <v>10.0</v>
      </c>
      <c r="T108" s="5" t="s">
        <v>30</v>
      </c>
      <c r="U108" s="5" t="s">
        <v>11</v>
      </c>
      <c r="V108" s="6">
        <f t="shared" si="7"/>
        <v>3</v>
      </c>
      <c r="W108" s="7">
        <v>1.0</v>
      </c>
      <c r="X108" s="7">
        <v>2.0</v>
      </c>
    </row>
    <row r="109">
      <c r="B109" s="5" t="str">
        <f t="shared" ref="B109:C109" si="216">H109</f>
        <v>North Cachar</v>
      </c>
      <c r="C109" s="5" t="str">
        <f t="shared" si="216"/>
        <v>10–14</v>
      </c>
      <c r="D109" s="5">
        <f t="shared" ref="D109:F109" si="217">J109+P109+V109</f>
        <v>1944</v>
      </c>
      <c r="E109" s="5">
        <f t="shared" si="217"/>
        <v>971</v>
      </c>
      <c r="F109" s="5">
        <f t="shared" si="217"/>
        <v>973</v>
      </c>
      <c r="G109" s="5"/>
      <c r="H109" s="5" t="s">
        <v>30</v>
      </c>
      <c r="I109" s="5" t="s">
        <v>12</v>
      </c>
      <c r="J109" s="6">
        <f t="shared" si="5"/>
        <v>1857</v>
      </c>
      <c r="K109" s="7">
        <v>939.0</v>
      </c>
      <c r="L109" s="7">
        <v>918.0</v>
      </c>
      <c r="N109" s="5" t="s">
        <v>30</v>
      </c>
      <c r="O109" s="5" t="s">
        <v>12</v>
      </c>
      <c r="P109" s="6">
        <f t="shared" si="6"/>
        <v>81</v>
      </c>
      <c r="Q109" s="7">
        <v>30.0</v>
      </c>
      <c r="R109" s="7">
        <v>51.0</v>
      </c>
      <c r="T109" s="5" t="s">
        <v>30</v>
      </c>
      <c r="U109" s="5" t="s">
        <v>12</v>
      </c>
      <c r="V109" s="6">
        <f t="shared" si="7"/>
        <v>6</v>
      </c>
      <c r="W109" s="7">
        <v>2.0</v>
      </c>
      <c r="X109" s="7">
        <v>4.0</v>
      </c>
    </row>
    <row r="110">
      <c r="B110" s="5" t="str">
        <f t="shared" ref="B110:C110" si="218">H110</f>
        <v>North Cachar</v>
      </c>
      <c r="C110" s="5" t="str">
        <f t="shared" si="218"/>
        <v>15–19</v>
      </c>
      <c r="D110" s="5">
        <f t="shared" ref="D110:F110" si="219">J110+P110+V110</f>
        <v>1911</v>
      </c>
      <c r="E110" s="5">
        <f t="shared" si="219"/>
        <v>1023</v>
      </c>
      <c r="F110" s="5">
        <f t="shared" si="219"/>
        <v>888</v>
      </c>
      <c r="G110" s="5"/>
      <c r="H110" s="5" t="s">
        <v>30</v>
      </c>
      <c r="I110" s="5" t="s">
        <v>13</v>
      </c>
      <c r="J110" s="6">
        <f t="shared" si="5"/>
        <v>1301</v>
      </c>
      <c r="K110" s="7">
        <v>675.0</v>
      </c>
      <c r="L110" s="7">
        <v>626.0</v>
      </c>
      <c r="N110" s="5" t="s">
        <v>30</v>
      </c>
      <c r="O110" s="5" t="s">
        <v>13</v>
      </c>
      <c r="P110" s="6">
        <f t="shared" si="6"/>
        <v>587</v>
      </c>
      <c r="Q110" s="7">
        <v>348.0</v>
      </c>
      <c r="R110" s="7">
        <v>239.0</v>
      </c>
      <c r="T110" s="5" t="s">
        <v>30</v>
      </c>
      <c r="U110" s="5" t="s">
        <v>13</v>
      </c>
      <c r="V110" s="6">
        <f t="shared" si="7"/>
        <v>23</v>
      </c>
      <c r="W110" s="7">
        <v>0.0</v>
      </c>
      <c r="X110" s="7">
        <v>23.0</v>
      </c>
    </row>
    <row r="111">
      <c r="B111" s="5" t="str">
        <f t="shared" ref="B111:C111" si="220">H111</f>
        <v>North Cachar</v>
      </c>
      <c r="C111" s="5" t="str">
        <f t="shared" si="220"/>
        <v>20–24</v>
      </c>
      <c r="D111" s="5">
        <f t="shared" ref="D111:F111" si="221">J111+P111+V111</f>
        <v>1829</v>
      </c>
      <c r="E111" s="5">
        <f t="shared" si="221"/>
        <v>1038</v>
      </c>
      <c r="F111" s="5">
        <f t="shared" si="221"/>
        <v>791</v>
      </c>
      <c r="G111" s="5"/>
      <c r="H111" s="5" t="s">
        <v>30</v>
      </c>
      <c r="I111" s="5" t="s">
        <v>14</v>
      </c>
      <c r="J111" s="6">
        <f t="shared" si="5"/>
        <v>670</v>
      </c>
      <c r="K111" s="7">
        <v>451.0</v>
      </c>
      <c r="L111" s="7">
        <v>219.0</v>
      </c>
      <c r="N111" s="5" t="s">
        <v>30</v>
      </c>
      <c r="O111" s="5" t="s">
        <v>14</v>
      </c>
      <c r="P111" s="6">
        <f t="shared" si="6"/>
        <v>1095</v>
      </c>
      <c r="Q111" s="7">
        <v>579.0</v>
      </c>
      <c r="R111" s="7">
        <v>516.0</v>
      </c>
      <c r="T111" s="5" t="s">
        <v>30</v>
      </c>
      <c r="U111" s="5" t="s">
        <v>14</v>
      </c>
      <c r="V111" s="6">
        <f t="shared" si="7"/>
        <v>64</v>
      </c>
      <c r="W111" s="7">
        <v>8.0</v>
      </c>
      <c r="X111" s="7">
        <v>56.0</v>
      </c>
    </row>
    <row r="112">
      <c r="B112" s="5" t="str">
        <f t="shared" ref="B112:C112" si="222">H112</f>
        <v>North Cachar</v>
      </c>
      <c r="C112" s="5" t="str">
        <f t="shared" si="222"/>
        <v>25–29</v>
      </c>
      <c r="D112" s="5">
        <f t="shared" ref="D112:F112" si="223">J112+P112+V112</f>
        <v>1182</v>
      </c>
      <c r="E112" s="5">
        <f t="shared" si="223"/>
        <v>1017</v>
      </c>
      <c r="F112" s="5">
        <f t="shared" si="223"/>
        <v>165</v>
      </c>
      <c r="G112" s="5"/>
      <c r="H112" s="5" t="s">
        <v>30</v>
      </c>
      <c r="I112" s="5" t="s">
        <v>15</v>
      </c>
      <c r="J112" s="6">
        <f t="shared" si="5"/>
        <v>296</v>
      </c>
      <c r="K112" s="7">
        <v>231.0</v>
      </c>
      <c r="L112" s="7">
        <v>65.0</v>
      </c>
      <c r="N112" s="5" t="s">
        <v>30</v>
      </c>
      <c r="O112" s="5" t="s">
        <v>15</v>
      </c>
      <c r="P112" s="6">
        <f t="shared" si="6"/>
        <v>767</v>
      </c>
      <c r="Q112" s="7">
        <v>767.0</v>
      </c>
      <c r="R112" s="7">
        <v>0.0</v>
      </c>
      <c r="T112" s="5" t="s">
        <v>30</v>
      </c>
      <c r="U112" s="5" t="s">
        <v>15</v>
      </c>
      <c r="V112" s="6">
        <f t="shared" si="7"/>
        <v>119</v>
      </c>
      <c r="W112" s="7">
        <v>19.0</v>
      </c>
      <c r="X112" s="7">
        <v>100.0</v>
      </c>
    </row>
    <row r="113">
      <c r="B113" s="5" t="str">
        <f t="shared" ref="B113:C113" si="224">H113</f>
        <v>North Cachar</v>
      </c>
      <c r="C113" s="5" t="str">
        <f t="shared" si="224"/>
        <v>30–34</v>
      </c>
      <c r="D113" s="5">
        <f t="shared" ref="D113:F113" si="225">J113+P113+V113</f>
        <v>1689</v>
      </c>
      <c r="E113" s="5">
        <f t="shared" si="225"/>
        <v>875</v>
      </c>
      <c r="F113" s="5">
        <f t="shared" si="225"/>
        <v>814</v>
      </c>
      <c r="G113" s="5"/>
      <c r="H113" s="5" t="s">
        <v>30</v>
      </c>
      <c r="I113" s="5" t="s">
        <v>16</v>
      </c>
      <c r="J113" s="6">
        <f t="shared" si="5"/>
        <v>114</v>
      </c>
      <c r="K113" s="7">
        <v>89.0</v>
      </c>
      <c r="L113" s="7">
        <v>25.0</v>
      </c>
      <c r="N113" s="5" t="s">
        <v>30</v>
      </c>
      <c r="O113" s="5" t="s">
        <v>16</v>
      </c>
      <c r="P113" s="6">
        <f t="shared" si="6"/>
        <v>1344</v>
      </c>
      <c r="Q113" s="7">
        <v>736.0</v>
      </c>
      <c r="R113" s="7">
        <v>608.0</v>
      </c>
      <c r="T113" s="5" t="s">
        <v>30</v>
      </c>
      <c r="U113" s="5" t="s">
        <v>16</v>
      </c>
      <c r="V113" s="6">
        <f t="shared" si="7"/>
        <v>231</v>
      </c>
      <c r="W113" s="7">
        <v>50.0</v>
      </c>
      <c r="X113" s="7">
        <v>181.0</v>
      </c>
    </row>
    <row r="114">
      <c r="B114" s="5" t="str">
        <f t="shared" ref="B114:C114" si="226">H114</f>
        <v>North Cachar</v>
      </c>
      <c r="C114" s="5" t="str">
        <f t="shared" si="226"/>
        <v>35–39</v>
      </c>
      <c r="D114" s="5">
        <f t="shared" ref="D114:F114" si="227">J114+P114+V114</f>
        <v>947</v>
      </c>
      <c r="E114" s="5">
        <f t="shared" si="227"/>
        <v>527</v>
      </c>
      <c r="F114" s="5">
        <f t="shared" si="227"/>
        <v>420</v>
      </c>
      <c r="G114" s="5"/>
      <c r="H114" s="5" t="s">
        <v>30</v>
      </c>
      <c r="I114" s="5" t="s">
        <v>17</v>
      </c>
      <c r="J114" s="6">
        <f t="shared" si="5"/>
        <v>40</v>
      </c>
      <c r="K114" s="7">
        <v>32.0</v>
      </c>
      <c r="L114" s="7">
        <v>8.0</v>
      </c>
      <c r="N114" s="5" t="s">
        <v>30</v>
      </c>
      <c r="O114" s="5" t="s">
        <v>17</v>
      </c>
      <c r="P114" s="6">
        <f t="shared" si="6"/>
        <v>774</v>
      </c>
      <c r="Q114" s="7">
        <v>468.0</v>
      </c>
      <c r="R114" s="7">
        <v>306.0</v>
      </c>
      <c r="T114" s="5" t="s">
        <v>30</v>
      </c>
      <c r="U114" s="5" t="s">
        <v>17</v>
      </c>
      <c r="V114" s="6">
        <f t="shared" si="7"/>
        <v>133</v>
      </c>
      <c r="W114" s="7">
        <v>27.0</v>
      </c>
      <c r="X114" s="7">
        <v>106.0</v>
      </c>
    </row>
    <row r="115">
      <c r="B115" s="5" t="str">
        <f t="shared" ref="B115:C115" si="228">H115</f>
        <v>North Cachar</v>
      </c>
      <c r="C115" s="5" t="str">
        <f t="shared" si="228"/>
        <v>40–44</v>
      </c>
      <c r="D115" s="5">
        <f t="shared" ref="D115:F115" si="229">J115+P115+V115</f>
        <v>1085</v>
      </c>
      <c r="E115" s="5">
        <f t="shared" si="229"/>
        <v>551</v>
      </c>
      <c r="F115" s="5">
        <f t="shared" si="229"/>
        <v>534</v>
      </c>
      <c r="G115" s="5"/>
      <c r="H115" s="5" t="s">
        <v>30</v>
      </c>
      <c r="I115" s="5" t="s">
        <v>18</v>
      </c>
      <c r="J115" s="6">
        <f t="shared" si="5"/>
        <v>28</v>
      </c>
      <c r="K115" s="7">
        <v>18.0</v>
      </c>
      <c r="L115" s="7">
        <v>10.0</v>
      </c>
      <c r="N115" s="5" t="s">
        <v>30</v>
      </c>
      <c r="O115" s="5" t="s">
        <v>18</v>
      </c>
      <c r="P115" s="6">
        <f t="shared" si="6"/>
        <v>804</v>
      </c>
      <c r="Q115" s="7">
        <v>492.0</v>
      </c>
      <c r="R115" s="7">
        <v>312.0</v>
      </c>
      <c r="T115" s="5" t="s">
        <v>30</v>
      </c>
      <c r="U115" s="5" t="s">
        <v>18</v>
      </c>
      <c r="V115" s="6">
        <f t="shared" si="7"/>
        <v>253</v>
      </c>
      <c r="W115" s="7">
        <v>41.0</v>
      </c>
      <c r="X115" s="7">
        <v>212.0</v>
      </c>
    </row>
    <row r="116">
      <c r="B116" s="5" t="str">
        <f t="shared" ref="B116:C116" si="230">H116</f>
        <v>North Cachar</v>
      </c>
      <c r="C116" s="5" t="str">
        <f t="shared" si="230"/>
        <v>45–49</v>
      </c>
      <c r="D116" s="5">
        <f t="shared" ref="D116:F116" si="231">J116+P116+V116</f>
        <v>475</v>
      </c>
      <c r="E116" s="5">
        <f t="shared" si="231"/>
        <v>241</v>
      </c>
      <c r="F116" s="5">
        <f t="shared" si="231"/>
        <v>234</v>
      </c>
      <c r="G116" s="5"/>
      <c r="H116" s="5" t="s">
        <v>30</v>
      </c>
      <c r="I116" s="5" t="s">
        <v>19</v>
      </c>
      <c r="J116" s="6">
        <f t="shared" si="5"/>
        <v>6</v>
      </c>
      <c r="K116" s="7">
        <v>5.0</v>
      </c>
      <c r="L116" s="7">
        <v>1.0</v>
      </c>
      <c r="N116" s="5" t="s">
        <v>30</v>
      </c>
      <c r="O116" s="5" t="s">
        <v>19</v>
      </c>
      <c r="P116" s="6">
        <f t="shared" si="6"/>
        <v>333</v>
      </c>
      <c r="Q116" s="7">
        <v>210.0</v>
      </c>
      <c r="R116" s="7">
        <v>123.0</v>
      </c>
      <c r="T116" s="5" t="s">
        <v>30</v>
      </c>
      <c r="U116" s="5" t="s">
        <v>19</v>
      </c>
      <c r="V116" s="6">
        <f t="shared" si="7"/>
        <v>136</v>
      </c>
      <c r="W116" s="7">
        <v>26.0</v>
      </c>
      <c r="X116" s="7">
        <v>110.0</v>
      </c>
    </row>
    <row r="117">
      <c r="B117" s="5" t="str">
        <f t="shared" ref="B117:C117" si="232">H117</f>
        <v>North Cachar</v>
      </c>
      <c r="C117" s="5" t="str">
        <f t="shared" si="232"/>
        <v>50–54</v>
      </c>
      <c r="D117" s="5">
        <f t="shared" ref="D117:F117" si="233">J117+P117+V117</f>
        <v>661</v>
      </c>
      <c r="E117" s="5">
        <f t="shared" si="233"/>
        <v>350</v>
      </c>
      <c r="F117" s="5">
        <f t="shared" si="233"/>
        <v>311</v>
      </c>
      <c r="G117" s="5"/>
      <c r="H117" s="5" t="s">
        <v>30</v>
      </c>
      <c r="I117" s="5" t="s">
        <v>20</v>
      </c>
      <c r="J117" s="6">
        <f t="shared" si="5"/>
        <v>5</v>
      </c>
      <c r="K117" s="7">
        <v>5.0</v>
      </c>
      <c r="L117" s="7">
        <v>0.0</v>
      </c>
      <c r="N117" s="5" t="s">
        <v>30</v>
      </c>
      <c r="O117" s="5" t="s">
        <v>20</v>
      </c>
      <c r="P117" s="6">
        <f t="shared" si="6"/>
        <v>427</v>
      </c>
      <c r="Q117" s="7">
        <v>303.0</v>
      </c>
      <c r="R117" s="7">
        <v>124.0</v>
      </c>
      <c r="T117" s="5" t="s">
        <v>30</v>
      </c>
      <c r="U117" s="5" t="s">
        <v>20</v>
      </c>
      <c r="V117" s="6">
        <f t="shared" si="7"/>
        <v>229</v>
      </c>
      <c r="W117" s="7">
        <v>42.0</v>
      </c>
      <c r="X117" s="7">
        <v>187.0</v>
      </c>
    </row>
    <row r="118">
      <c r="B118" s="5" t="str">
        <f t="shared" ref="B118:C118" si="234">H118</f>
        <v>North Cachar</v>
      </c>
      <c r="C118" s="5" t="str">
        <f t="shared" si="234"/>
        <v>55–59</v>
      </c>
      <c r="D118" s="5">
        <f t="shared" ref="D118:F118" si="235">J118+P118+V118</f>
        <v>199</v>
      </c>
      <c r="E118" s="5">
        <f t="shared" si="235"/>
        <v>108</v>
      </c>
      <c r="F118" s="5">
        <f t="shared" si="235"/>
        <v>91</v>
      </c>
      <c r="G118" s="5"/>
      <c r="H118" s="5" t="s">
        <v>30</v>
      </c>
      <c r="I118" s="5" t="s">
        <v>21</v>
      </c>
      <c r="J118" s="6">
        <f t="shared" si="5"/>
        <v>1</v>
      </c>
      <c r="K118" s="7">
        <v>1.0</v>
      </c>
      <c r="L118" s="7">
        <v>0.0</v>
      </c>
      <c r="N118" s="5" t="s">
        <v>30</v>
      </c>
      <c r="O118" s="5" t="s">
        <v>21</v>
      </c>
      <c r="P118" s="6">
        <f t="shared" si="6"/>
        <v>121</v>
      </c>
      <c r="Q118" s="7">
        <v>85.0</v>
      </c>
      <c r="R118" s="7">
        <v>36.0</v>
      </c>
      <c r="T118" s="5" t="s">
        <v>30</v>
      </c>
      <c r="U118" s="5" t="s">
        <v>21</v>
      </c>
      <c r="V118" s="6">
        <f t="shared" si="7"/>
        <v>77</v>
      </c>
      <c r="W118" s="7">
        <v>22.0</v>
      </c>
      <c r="X118" s="7">
        <v>55.0</v>
      </c>
    </row>
    <row r="119">
      <c r="B119" s="5" t="str">
        <f t="shared" ref="B119:C119" si="236">H119</f>
        <v>North Cachar</v>
      </c>
      <c r="C119" s="5" t="str">
        <f t="shared" si="236"/>
        <v>60 and over</v>
      </c>
      <c r="D119" s="5">
        <f t="shared" ref="D119:F119" si="237">J119+P119+V119</f>
        <v>996</v>
      </c>
      <c r="E119" s="5">
        <f t="shared" si="237"/>
        <v>509</v>
      </c>
      <c r="F119" s="5">
        <f t="shared" si="237"/>
        <v>487</v>
      </c>
      <c r="G119" s="5"/>
      <c r="H119" s="5" t="s">
        <v>30</v>
      </c>
      <c r="I119" s="5" t="s">
        <v>22</v>
      </c>
      <c r="J119" s="6">
        <f t="shared" si="5"/>
        <v>16</v>
      </c>
      <c r="K119" s="7">
        <v>7.0</v>
      </c>
      <c r="L119" s="7">
        <v>9.0</v>
      </c>
      <c r="N119" s="5" t="s">
        <v>30</v>
      </c>
      <c r="O119" s="5" t="s">
        <v>22</v>
      </c>
      <c r="P119" s="6">
        <f t="shared" si="6"/>
        <v>549</v>
      </c>
      <c r="Q119" s="7">
        <v>393.0</v>
      </c>
      <c r="R119" s="7">
        <v>156.0</v>
      </c>
      <c r="T119" s="5" t="s">
        <v>30</v>
      </c>
      <c r="U119" s="5" t="s">
        <v>22</v>
      </c>
      <c r="V119" s="6">
        <f t="shared" si="7"/>
        <v>431</v>
      </c>
      <c r="W119" s="7">
        <v>109.0</v>
      </c>
      <c r="X119" s="7">
        <v>322.0</v>
      </c>
    </row>
    <row r="120">
      <c r="B120" s="5" t="str">
        <f t="shared" ref="B120:C120" si="238">H120</f>
        <v>Naga Hills</v>
      </c>
      <c r="C120" s="5" t="str">
        <f t="shared" si="238"/>
        <v>0–4</v>
      </c>
      <c r="D120" s="5">
        <f t="shared" ref="D120:F120" si="239">J120+P120+V120</f>
        <v>20061</v>
      </c>
      <c r="E120" s="5">
        <f t="shared" si="239"/>
        <v>9905</v>
      </c>
      <c r="F120" s="5">
        <f t="shared" si="239"/>
        <v>10156</v>
      </c>
      <c r="G120" s="5"/>
      <c r="H120" s="5" t="s">
        <v>31</v>
      </c>
      <c r="I120" s="5" t="s">
        <v>10</v>
      </c>
      <c r="J120" s="6">
        <f t="shared" si="5"/>
        <v>20015</v>
      </c>
      <c r="K120" s="7">
        <v>9890.0</v>
      </c>
      <c r="L120" s="7">
        <v>10125.0</v>
      </c>
      <c r="N120" s="5" t="s">
        <v>31</v>
      </c>
      <c r="O120" s="5" t="s">
        <v>10</v>
      </c>
      <c r="P120" s="6">
        <f t="shared" si="6"/>
        <v>41</v>
      </c>
      <c r="Q120" s="7">
        <v>15.0</v>
      </c>
      <c r="R120" s="7">
        <v>26.0</v>
      </c>
      <c r="T120" s="5" t="s">
        <v>31</v>
      </c>
      <c r="U120" s="5" t="s">
        <v>10</v>
      </c>
      <c r="V120" s="6">
        <f t="shared" si="7"/>
        <v>5</v>
      </c>
      <c r="W120" s="7">
        <v>0.0</v>
      </c>
      <c r="X120" s="7">
        <v>5.0</v>
      </c>
    </row>
    <row r="121">
      <c r="B121" s="5" t="str">
        <f t="shared" ref="B121:C121" si="240">H121</f>
        <v>Naga Hills</v>
      </c>
      <c r="C121" s="5" t="str">
        <f t="shared" si="240"/>
        <v>5–9</v>
      </c>
      <c r="D121" s="5">
        <f t="shared" ref="D121:F121" si="241">J121+P121+V121</f>
        <v>16010</v>
      </c>
      <c r="E121" s="5">
        <f t="shared" si="241"/>
        <v>8417</v>
      </c>
      <c r="F121" s="5">
        <f t="shared" si="241"/>
        <v>7593</v>
      </c>
      <c r="G121" s="5"/>
      <c r="H121" s="5" t="s">
        <v>31</v>
      </c>
      <c r="I121" s="5" t="s">
        <v>11</v>
      </c>
      <c r="J121" s="6">
        <f t="shared" si="5"/>
        <v>15857</v>
      </c>
      <c r="K121" s="7">
        <v>8363.0</v>
      </c>
      <c r="L121" s="7">
        <v>7494.0</v>
      </c>
      <c r="N121" s="5" t="s">
        <v>31</v>
      </c>
      <c r="O121" s="5" t="s">
        <v>11</v>
      </c>
      <c r="P121" s="6">
        <f t="shared" si="6"/>
        <v>147</v>
      </c>
      <c r="Q121" s="7">
        <v>52.0</v>
      </c>
      <c r="R121" s="7">
        <v>95.0</v>
      </c>
      <c r="T121" s="5" t="s">
        <v>31</v>
      </c>
      <c r="U121" s="5" t="s">
        <v>11</v>
      </c>
      <c r="V121" s="6">
        <f t="shared" si="7"/>
        <v>6</v>
      </c>
      <c r="W121" s="7">
        <v>2.0</v>
      </c>
      <c r="X121" s="7">
        <v>4.0</v>
      </c>
    </row>
    <row r="122">
      <c r="B122" s="5" t="str">
        <f t="shared" ref="B122:C122" si="242">H122</f>
        <v>Naga Hills</v>
      </c>
      <c r="C122" s="5" t="str">
        <f t="shared" si="242"/>
        <v>10–14</v>
      </c>
      <c r="D122" s="5">
        <f t="shared" ref="D122:F122" si="243">J122+P122+V122</f>
        <v>10345</v>
      </c>
      <c r="E122" s="5">
        <f t="shared" si="243"/>
        <v>5705</v>
      </c>
      <c r="F122" s="5">
        <f t="shared" si="243"/>
        <v>4640</v>
      </c>
      <c r="G122" s="5"/>
      <c r="H122" s="5" t="s">
        <v>31</v>
      </c>
      <c r="I122" s="5" t="s">
        <v>12</v>
      </c>
      <c r="J122" s="6">
        <f t="shared" si="5"/>
        <v>9207</v>
      </c>
      <c r="K122" s="7">
        <v>5177.0</v>
      </c>
      <c r="L122" s="7">
        <v>4030.0</v>
      </c>
      <c r="N122" s="5" t="s">
        <v>31</v>
      </c>
      <c r="O122" s="5" t="s">
        <v>12</v>
      </c>
      <c r="P122" s="6">
        <f t="shared" si="6"/>
        <v>1109</v>
      </c>
      <c r="Q122" s="7">
        <v>526.0</v>
      </c>
      <c r="R122" s="7">
        <v>583.0</v>
      </c>
      <c r="T122" s="5" t="s">
        <v>31</v>
      </c>
      <c r="U122" s="5" t="s">
        <v>12</v>
      </c>
      <c r="V122" s="6">
        <f t="shared" si="7"/>
        <v>29</v>
      </c>
      <c r="W122" s="7">
        <v>2.0</v>
      </c>
      <c r="X122" s="7">
        <v>27.0</v>
      </c>
    </row>
    <row r="123">
      <c r="B123" s="5" t="str">
        <f t="shared" ref="B123:C123" si="244">H123</f>
        <v>Naga Hills</v>
      </c>
      <c r="C123" s="5" t="str">
        <f t="shared" si="244"/>
        <v>15–19</v>
      </c>
      <c r="D123" s="5">
        <f t="shared" ref="D123:F123" si="245">J123+P123+V123</f>
        <v>9338</v>
      </c>
      <c r="E123" s="5">
        <f t="shared" si="245"/>
        <v>5526</v>
      </c>
      <c r="F123" s="5">
        <f t="shared" si="245"/>
        <v>3812</v>
      </c>
      <c r="G123" s="5"/>
      <c r="H123" s="5" t="s">
        <v>31</v>
      </c>
      <c r="I123" s="5" t="s">
        <v>13</v>
      </c>
      <c r="J123" s="6">
        <f t="shared" si="5"/>
        <v>4945</v>
      </c>
      <c r="K123" s="7">
        <v>2978.0</v>
      </c>
      <c r="L123" s="7">
        <v>1967.0</v>
      </c>
      <c r="N123" s="5" t="s">
        <v>31</v>
      </c>
      <c r="O123" s="5" t="s">
        <v>13</v>
      </c>
      <c r="P123" s="6">
        <f t="shared" si="6"/>
        <v>4293</v>
      </c>
      <c r="Q123" s="7">
        <v>2528.0</v>
      </c>
      <c r="R123" s="7">
        <v>1765.0</v>
      </c>
      <c r="T123" s="5" t="s">
        <v>31</v>
      </c>
      <c r="U123" s="5" t="s">
        <v>13</v>
      </c>
      <c r="V123" s="6">
        <f t="shared" si="7"/>
        <v>100</v>
      </c>
      <c r="W123" s="7">
        <v>20.0</v>
      </c>
      <c r="X123" s="7">
        <v>80.0</v>
      </c>
    </row>
    <row r="124">
      <c r="B124" s="5" t="str">
        <f t="shared" ref="B124:C124" si="246">H124</f>
        <v>Naga Hills</v>
      </c>
      <c r="C124" s="5" t="str">
        <f t="shared" si="246"/>
        <v>20–24</v>
      </c>
      <c r="D124" s="5">
        <f t="shared" ref="D124:F124" si="247">J124+P124+V124</f>
        <v>11396</v>
      </c>
      <c r="E124" s="5">
        <f t="shared" si="247"/>
        <v>6328</v>
      </c>
      <c r="F124" s="5">
        <f t="shared" si="247"/>
        <v>5068</v>
      </c>
      <c r="G124" s="5"/>
      <c r="H124" s="5" t="s">
        <v>31</v>
      </c>
      <c r="I124" s="5" t="s">
        <v>14</v>
      </c>
      <c r="J124" s="6">
        <f t="shared" si="5"/>
        <v>2901</v>
      </c>
      <c r="K124" s="7">
        <v>2157.0</v>
      </c>
      <c r="L124" s="7">
        <v>744.0</v>
      </c>
      <c r="N124" s="5" t="s">
        <v>31</v>
      </c>
      <c r="O124" s="5" t="s">
        <v>14</v>
      </c>
      <c r="P124" s="6">
        <f t="shared" si="6"/>
        <v>7878</v>
      </c>
      <c r="Q124" s="7">
        <v>3829.0</v>
      </c>
      <c r="R124" s="7">
        <v>4049.0</v>
      </c>
      <c r="T124" s="5" t="s">
        <v>31</v>
      </c>
      <c r="U124" s="5" t="s">
        <v>14</v>
      </c>
      <c r="V124" s="6">
        <f t="shared" si="7"/>
        <v>617</v>
      </c>
      <c r="W124" s="7">
        <v>342.0</v>
      </c>
      <c r="X124" s="7">
        <v>275.0</v>
      </c>
    </row>
    <row r="125">
      <c r="B125" s="5" t="str">
        <f t="shared" ref="B125:C125" si="248">H125</f>
        <v>Naga Hills</v>
      </c>
      <c r="C125" s="5" t="str">
        <f t="shared" si="248"/>
        <v>25–29</v>
      </c>
      <c r="D125" s="5">
        <f t="shared" ref="D125:F125" si="249">J125+P125+V125</f>
        <v>7911</v>
      </c>
      <c r="E125" s="5">
        <f t="shared" si="249"/>
        <v>6980</v>
      </c>
      <c r="F125" s="5">
        <f t="shared" si="249"/>
        <v>931</v>
      </c>
      <c r="G125" s="5"/>
      <c r="H125" s="5" t="s">
        <v>31</v>
      </c>
      <c r="I125" s="5" t="s">
        <v>15</v>
      </c>
      <c r="J125" s="6">
        <f t="shared" si="5"/>
        <v>1893</v>
      </c>
      <c r="K125" s="7">
        <v>1530.0</v>
      </c>
      <c r="L125" s="7">
        <v>363.0</v>
      </c>
      <c r="N125" s="5" t="s">
        <v>31</v>
      </c>
      <c r="O125" s="5" t="s">
        <v>15</v>
      </c>
      <c r="P125" s="6">
        <f t="shared" si="6"/>
        <v>5375</v>
      </c>
      <c r="Q125" s="7">
        <v>5375.0</v>
      </c>
      <c r="R125" s="7">
        <v>0.0</v>
      </c>
      <c r="T125" s="5" t="s">
        <v>31</v>
      </c>
      <c r="U125" s="5" t="s">
        <v>15</v>
      </c>
      <c r="V125" s="6">
        <f t="shared" si="7"/>
        <v>643</v>
      </c>
      <c r="W125" s="7">
        <v>75.0</v>
      </c>
      <c r="X125" s="7">
        <v>568.0</v>
      </c>
    </row>
    <row r="126">
      <c r="B126" s="5" t="str">
        <f t="shared" ref="B126:C126" si="250">H126</f>
        <v>Naga Hills</v>
      </c>
      <c r="C126" s="5" t="str">
        <f t="shared" si="250"/>
        <v>30–34</v>
      </c>
      <c r="D126" s="5">
        <f t="shared" ref="D126:F126" si="251">J126+P126+V126</f>
        <v>12416</v>
      </c>
      <c r="E126" s="5">
        <f t="shared" si="251"/>
        <v>6177</v>
      </c>
      <c r="F126" s="5">
        <f t="shared" si="251"/>
        <v>6239</v>
      </c>
      <c r="G126" s="5"/>
      <c r="H126" s="5" t="s">
        <v>31</v>
      </c>
      <c r="I126" s="5" t="s">
        <v>16</v>
      </c>
      <c r="J126" s="6">
        <f t="shared" si="5"/>
        <v>889</v>
      </c>
      <c r="K126" s="7">
        <v>677.0</v>
      </c>
      <c r="L126" s="7">
        <v>212.0</v>
      </c>
      <c r="N126" s="5" t="s">
        <v>31</v>
      </c>
      <c r="O126" s="5" t="s">
        <v>16</v>
      </c>
      <c r="P126" s="6">
        <f t="shared" si="6"/>
        <v>10229</v>
      </c>
      <c r="Q126" s="7">
        <v>5068.0</v>
      </c>
      <c r="R126" s="7">
        <v>5161.0</v>
      </c>
      <c r="T126" s="5" t="s">
        <v>31</v>
      </c>
      <c r="U126" s="5" t="s">
        <v>16</v>
      </c>
      <c r="V126" s="6">
        <f t="shared" si="7"/>
        <v>1298</v>
      </c>
      <c r="W126" s="7">
        <v>432.0</v>
      </c>
      <c r="X126" s="7">
        <v>866.0</v>
      </c>
    </row>
    <row r="127">
      <c r="B127" s="5" t="str">
        <f t="shared" ref="B127:C127" si="252">H127</f>
        <v>Naga Hills</v>
      </c>
      <c r="C127" s="5" t="str">
        <f t="shared" si="252"/>
        <v>35–39</v>
      </c>
      <c r="D127" s="5">
        <f t="shared" ref="D127:F127" si="253">J127+P127+V127</f>
        <v>11686</v>
      </c>
      <c r="E127" s="5">
        <f t="shared" si="253"/>
        <v>6665</v>
      </c>
      <c r="F127" s="5">
        <f t="shared" si="253"/>
        <v>5021</v>
      </c>
      <c r="G127" s="5"/>
      <c r="H127" s="5" t="s">
        <v>31</v>
      </c>
      <c r="I127" s="5" t="s">
        <v>17</v>
      </c>
      <c r="J127" s="6">
        <f t="shared" si="5"/>
        <v>432</v>
      </c>
      <c r="K127" s="7">
        <v>329.0</v>
      </c>
      <c r="L127" s="7">
        <v>103.0</v>
      </c>
      <c r="N127" s="5" t="s">
        <v>31</v>
      </c>
      <c r="O127" s="5" t="s">
        <v>17</v>
      </c>
      <c r="P127" s="6">
        <f t="shared" si="6"/>
        <v>9555</v>
      </c>
      <c r="Q127" s="7">
        <v>5708.0</v>
      </c>
      <c r="R127" s="7">
        <v>3847.0</v>
      </c>
      <c r="T127" s="5" t="s">
        <v>31</v>
      </c>
      <c r="U127" s="5" t="s">
        <v>17</v>
      </c>
      <c r="V127" s="6">
        <f t="shared" si="7"/>
        <v>1699</v>
      </c>
      <c r="W127" s="7">
        <v>628.0</v>
      </c>
      <c r="X127" s="7">
        <v>1071.0</v>
      </c>
    </row>
    <row r="128">
      <c r="B128" s="5" t="str">
        <f t="shared" ref="B128:C128" si="254">H128</f>
        <v>Naga Hills</v>
      </c>
      <c r="C128" s="5" t="str">
        <f t="shared" si="254"/>
        <v>40–44</v>
      </c>
      <c r="D128" s="5">
        <f t="shared" ref="D128:F128" si="255">J128+P128+V128</f>
        <v>8900</v>
      </c>
      <c r="E128" s="5">
        <f t="shared" si="255"/>
        <v>4498</v>
      </c>
      <c r="F128" s="5">
        <f t="shared" si="255"/>
        <v>4402</v>
      </c>
      <c r="G128" s="5"/>
      <c r="H128" s="5" t="s">
        <v>31</v>
      </c>
      <c r="I128" s="5" t="s">
        <v>18</v>
      </c>
      <c r="J128" s="6">
        <f t="shared" si="5"/>
        <v>204</v>
      </c>
      <c r="K128" s="7">
        <v>102.0</v>
      </c>
      <c r="L128" s="7">
        <v>102.0</v>
      </c>
      <c r="N128" s="5" t="s">
        <v>31</v>
      </c>
      <c r="O128" s="5" t="s">
        <v>18</v>
      </c>
      <c r="P128" s="6">
        <f t="shared" si="6"/>
        <v>6817</v>
      </c>
      <c r="Q128" s="7">
        <v>3836.0</v>
      </c>
      <c r="R128" s="7">
        <v>2981.0</v>
      </c>
      <c r="T128" s="5" t="s">
        <v>31</v>
      </c>
      <c r="U128" s="5" t="s">
        <v>18</v>
      </c>
      <c r="V128" s="6">
        <f t="shared" si="7"/>
        <v>1879</v>
      </c>
      <c r="W128" s="7">
        <v>560.0</v>
      </c>
      <c r="X128" s="7">
        <v>1319.0</v>
      </c>
    </row>
    <row r="129">
      <c r="B129" s="5" t="str">
        <f t="shared" ref="B129:C129" si="256">H129</f>
        <v>Naga Hills</v>
      </c>
      <c r="C129" s="5" t="str">
        <f t="shared" si="256"/>
        <v>45–49</v>
      </c>
      <c r="D129" s="5">
        <f t="shared" ref="D129:F129" si="257">J129+P129+V129</f>
        <v>4258</v>
      </c>
      <c r="E129" s="5">
        <f t="shared" si="257"/>
        <v>2430</v>
      </c>
      <c r="F129" s="5">
        <f t="shared" si="257"/>
        <v>1828</v>
      </c>
      <c r="G129" s="5"/>
      <c r="H129" s="5" t="s">
        <v>31</v>
      </c>
      <c r="I129" s="5" t="s">
        <v>19</v>
      </c>
      <c r="J129" s="6">
        <f t="shared" si="5"/>
        <v>50</v>
      </c>
      <c r="K129" s="7">
        <v>28.0</v>
      </c>
      <c r="L129" s="7">
        <v>22.0</v>
      </c>
      <c r="N129" s="5" t="s">
        <v>31</v>
      </c>
      <c r="O129" s="5" t="s">
        <v>19</v>
      </c>
      <c r="P129" s="6">
        <f t="shared" si="6"/>
        <v>3028</v>
      </c>
      <c r="Q129" s="7">
        <v>2044.0</v>
      </c>
      <c r="R129" s="7">
        <v>984.0</v>
      </c>
      <c r="T129" s="5" t="s">
        <v>31</v>
      </c>
      <c r="U129" s="5" t="s">
        <v>19</v>
      </c>
      <c r="V129" s="6">
        <f t="shared" si="7"/>
        <v>1180</v>
      </c>
      <c r="W129" s="7">
        <v>358.0</v>
      </c>
      <c r="X129" s="7">
        <v>822.0</v>
      </c>
    </row>
    <row r="130">
      <c r="B130" s="5" t="str">
        <f t="shared" ref="B130:C130" si="258">H130</f>
        <v>Naga Hills</v>
      </c>
      <c r="C130" s="5" t="str">
        <f t="shared" si="258"/>
        <v>50–54</v>
      </c>
      <c r="D130" s="5">
        <f t="shared" ref="D130:F130" si="259">J130+P130+V130</f>
        <v>4526</v>
      </c>
      <c r="E130" s="5">
        <f t="shared" si="259"/>
        <v>2362</v>
      </c>
      <c r="F130" s="5">
        <f t="shared" si="259"/>
        <v>2164</v>
      </c>
      <c r="G130" s="5"/>
      <c r="H130" s="5" t="s">
        <v>31</v>
      </c>
      <c r="I130" s="5" t="s">
        <v>20</v>
      </c>
      <c r="J130" s="6">
        <f t="shared" si="5"/>
        <v>61</v>
      </c>
      <c r="K130" s="7">
        <v>22.0</v>
      </c>
      <c r="L130" s="7">
        <v>39.0</v>
      </c>
      <c r="N130" s="5" t="s">
        <v>31</v>
      </c>
      <c r="O130" s="5" t="s">
        <v>20</v>
      </c>
      <c r="P130" s="6">
        <f t="shared" si="6"/>
        <v>3054</v>
      </c>
      <c r="Q130" s="7">
        <v>1986.0</v>
      </c>
      <c r="R130" s="7">
        <v>1068.0</v>
      </c>
      <c r="T130" s="5" t="s">
        <v>31</v>
      </c>
      <c r="U130" s="5" t="s">
        <v>20</v>
      </c>
      <c r="V130" s="6">
        <f t="shared" si="7"/>
        <v>1411</v>
      </c>
      <c r="W130" s="7">
        <v>354.0</v>
      </c>
      <c r="X130" s="7">
        <v>1057.0</v>
      </c>
    </row>
    <row r="131">
      <c r="B131" s="5" t="str">
        <f t="shared" ref="B131:C131" si="260">H131</f>
        <v>Naga Hills</v>
      </c>
      <c r="C131" s="5" t="str">
        <f t="shared" si="260"/>
        <v>55–59</v>
      </c>
      <c r="D131" s="5">
        <f t="shared" ref="D131:F131" si="261">J131+P131+V131</f>
        <v>1841</v>
      </c>
      <c r="E131" s="5">
        <f t="shared" si="261"/>
        <v>741</v>
      </c>
      <c r="F131" s="5">
        <f t="shared" si="261"/>
        <v>1100</v>
      </c>
      <c r="G131" s="5"/>
      <c r="H131" s="5" t="s">
        <v>31</v>
      </c>
      <c r="I131" s="5" t="s">
        <v>21</v>
      </c>
      <c r="J131" s="6">
        <f t="shared" si="5"/>
        <v>11</v>
      </c>
      <c r="K131" s="7">
        <v>5.0</v>
      </c>
      <c r="L131" s="7">
        <v>6.0</v>
      </c>
      <c r="N131" s="5" t="s">
        <v>31</v>
      </c>
      <c r="O131" s="5" t="s">
        <v>21</v>
      </c>
      <c r="P131" s="6">
        <f t="shared" si="6"/>
        <v>868</v>
      </c>
      <c r="Q131" s="7">
        <v>584.0</v>
      </c>
      <c r="R131" s="7">
        <v>284.0</v>
      </c>
      <c r="T131" s="5" t="s">
        <v>31</v>
      </c>
      <c r="U131" s="5" t="s">
        <v>21</v>
      </c>
      <c r="V131" s="6">
        <f t="shared" si="7"/>
        <v>962</v>
      </c>
      <c r="W131" s="7">
        <v>152.0</v>
      </c>
      <c r="X131" s="7">
        <v>810.0</v>
      </c>
    </row>
    <row r="132">
      <c r="B132" s="5" t="str">
        <f t="shared" ref="B132:C132" si="262">H132</f>
        <v>Naga Hills</v>
      </c>
      <c r="C132" s="5" t="str">
        <f t="shared" si="262"/>
        <v>60 and over</v>
      </c>
      <c r="D132" s="5">
        <f t="shared" ref="D132:F132" si="263">J132+P132+V132</f>
        <v>5518</v>
      </c>
      <c r="E132" s="5">
        <f t="shared" si="263"/>
        <v>2732</v>
      </c>
      <c r="F132" s="5">
        <f t="shared" si="263"/>
        <v>2786</v>
      </c>
      <c r="G132" s="5"/>
      <c r="H132" s="5" t="s">
        <v>31</v>
      </c>
      <c r="I132" s="5" t="s">
        <v>22</v>
      </c>
      <c r="J132" s="6">
        <f t="shared" si="5"/>
        <v>64</v>
      </c>
      <c r="K132" s="7">
        <v>21.0</v>
      </c>
      <c r="L132" s="7">
        <v>43.0</v>
      </c>
      <c r="N132" s="5" t="s">
        <v>31</v>
      </c>
      <c r="O132" s="5" t="s">
        <v>22</v>
      </c>
      <c r="P132" s="6">
        <f t="shared" si="6"/>
        <v>2264</v>
      </c>
      <c r="Q132" s="7">
        <v>1662.0</v>
      </c>
      <c r="R132" s="7">
        <v>602.0</v>
      </c>
      <c r="T132" s="5" t="s">
        <v>31</v>
      </c>
      <c r="U132" s="5" t="s">
        <v>22</v>
      </c>
      <c r="V132" s="6">
        <f t="shared" si="7"/>
        <v>3190</v>
      </c>
      <c r="W132" s="7">
        <v>1049.0</v>
      </c>
      <c r="X132" s="7">
        <v>2141.0</v>
      </c>
    </row>
    <row r="133">
      <c r="B133" s="5" t="str">
        <f t="shared" ref="B133:C133" si="264">H133</f>
        <v>Khasi and Jaintia Hills</v>
      </c>
      <c r="C133" s="5" t="str">
        <f t="shared" si="264"/>
        <v>0–4</v>
      </c>
      <c r="D133" s="5">
        <f t="shared" ref="D133:F133" si="265">J133+P133+V133</f>
        <v>34063</v>
      </c>
      <c r="E133" s="5">
        <f t="shared" si="265"/>
        <v>16722</v>
      </c>
      <c r="F133" s="5">
        <f t="shared" si="265"/>
        <v>17341</v>
      </c>
      <c r="G133" s="5"/>
      <c r="H133" s="5" t="s">
        <v>32</v>
      </c>
      <c r="I133" s="5" t="s">
        <v>10</v>
      </c>
      <c r="J133" s="6">
        <f t="shared" si="5"/>
        <v>34030</v>
      </c>
      <c r="K133" s="7">
        <v>16712.0</v>
      </c>
      <c r="L133" s="7">
        <v>17318.0</v>
      </c>
      <c r="N133" s="5" t="s">
        <v>32</v>
      </c>
      <c r="O133" s="5" t="s">
        <v>10</v>
      </c>
      <c r="P133" s="6">
        <f t="shared" si="6"/>
        <v>32</v>
      </c>
      <c r="Q133" s="7">
        <v>10.0</v>
      </c>
      <c r="R133" s="7">
        <v>22.0</v>
      </c>
      <c r="T133" s="5" t="s">
        <v>32</v>
      </c>
      <c r="U133" s="5" t="s">
        <v>10</v>
      </c>
      <c r="V133" s="6">
        <f t="shared" si="7"/>
        <v>1</v>
      </c>
      <c r="W133" s="7">
        <v>0.0</v>
      </c>
      <c r="X133" s="7">
        <v>1.0</v>
      </c>
    </row>
    <row r="134">
      <c r="B134" s="5" t="str">
        <f t="shared" ref="B134:C134" si="266">H134</f>
        <v>Khasi and Jaintia Hills</v>
      </c>
      <c r="C134" s="5" t="str">
        <f t="shared" si="266"/>
        <v>5–9</v>
      </c>
      <c r="D134" s="5">
        <f t="shared" ref="D134:F134" si="267">J134+P134+V134</f>
        <v>26576</v>
      </c>
      <c r="E134" s="5">
        <f t="shared" si="267"/>
        <v>13199</v>
      </c>
      <c r="F134" s="5">
        <f t="shared" si="267"/>
        <v>13377</v>
      </c>
      <c r="G134" s="5"/>
      <c r="H134" s="5" t="s">
        <v>32</v>
      </c>
      <c r="I134" s="5" t="s">
        <v>11</v>
      </c>
      <c r="J134" s="6">
        <f t="shared" si="5"/>
        <v>26331</v>
      </c>
      <c r="K134" s="7">
        <v>13147.0</v>
      </c>
      <c r="L134" s="7">
        <v>13184.0</v>
      </c>
      <c r="N134" s="5" t="s">
        <v>32</v>
      </c>
      <c r="O134" s="5" t="s">
        <v>11</v>
      </c>
      <c r="P134" s="6">
        <f t="shared" si="6"/>
        <v>243</v>
      </c>
      <c r="Q134" s="7">
        <v>51.0</v>
      </c>
      <c r="R134" s="7">
        <v>192.0</v>
      </c>
      <c r="T134" s="5" t="s">
        <v>32</v>
      </c>
      <c r="U134" s="5" t="s">
        <v>11</v>
      </c>
      <c r="V134" s="6">
        <f t="shared" si="7"/>
        <v>2</v>
      </c>
      <c r="W134" s="7">
        <v>1.0</v>
      </c>
      <c r="X134" s="7">
        <v>1.0</v>
      </c>
    </row>
    <row r="135">
      <c r="B135" s="5" t="str">
        <f t="shared" ref="B135:C135" si="268">H135</f>
        <v>Khasi and Jaintia Hills</v>
      </c>
      <c r="C135" s="5" t="str">
        <f t="shared" si="268"/>
        <v>10–14</v>
      </c>
      <c r="D135" s="5">
        <f t="shared" ref="D135:F135" si="269">J135+P135+V135</f>
        <v>19743</v>
      </c>
      <c r="E135" s="5">
        <f t="shared" si="269"/>
        <v>11420</v>
      </c>
      <c r="F135" s="5">
        <f t="shared" si="269"/>
        <v>8323</v>
      </c>
      <c r="G135" s="5"/>
      <c r="H135" s="5" t="s">
        <v>32</v>
      </c>
      <c r="I135" s="5" t="s">
        <v>12</v>
      </c>
      <c r="J135" s="6">
        <f t="shared" si="5"/>
        <v>17388</v>
      </c>
      <c r="K135" s="7">
        <v>10640.0</v>
      </c>
      <c r="L135" s="7">
        <v>6748.0</v>
      </c>
      <c r="N135" s="5" t="s">
        <v>32</v>
      </c>
      <c r="O135" s="5" t="s">
        <v>12</v>
      </c>
      <c r="P135" s="6">
        <f t="shared" si="6"/>
        <v>2333</v>
      </c>
      <c r="Q135" s="7">
        <v>768.0</v>
      </c>
      <c r="R135" s="7">
        <v>1565.0</v>
      </c>
      <c r="T135" s="5" t="s">
        <v>32</v>
      </c>
      <c r="U135" s="5" t="s">
        <v>12</v>
      </c>
      <c r="V135" s="6">
        <f t="shared" si="7"/>
        <v>22</v>
      </c>
      <c r="W135" s="7">
        <v>12.0</v>
      </c>
      <c r="X135" s="7">
        <v>10.0</v>
      </c>
    </row>
    <row r="136">
      <c r="B136" s="5" t="str">
        <f t="shared" ref="B136:C136" si="270">H136</f>
        <v>Khasi and Jaintia Hills</v>
      </c>
      <c r="C136" s="5" t="str">
        <f t="shared" si="270"/>
        <v>15–19</v>
      </c>
      <c r="D136" s="5">
        <f t="shared" ref="D136:F136" si="271">J136+P136+V136</f>
        <v>17263</v>
      </c>
      <c r="E136" s="5">
        <f t="shared" si="271"/>
        <v>9829</v>
      </c>
      <c r="F136" s="5">
        <f t="shared" si="271"/>
        <v>7434</v>
      </c>
      <c r="G136" s="5"/>
      <c r="H136" s="5" t="s">
        <v>32</v>
      </c>
      <c r="I136" s="5" t="s">
        <v>13</v>
      </c>
      <c r="J136" s="6">
        <f t="shared" si="5"/>
        <v>8063</v>
      </c>
      <c r="K136" s="7">
        <v>4780.0</v>
      </c>
      <c r="L136" s="7">
        <v>3283.0</v>
      </c>
      <c r="N136" s="5" t="s">
        <v>32</v>
      </c>
      <c r="O136" s="5" t="s">
        <v>13</v>
      </c>
      <c r="P136" s="6">
        <f t="shared" si="6"/>
        <v>8569</v>
      </c>
      <c r="Q136" s="7">
        <v>4624.0</v>
      </c>
      <c r="R136" s="7">
        <v>3945.0</v>
      </c>
      <c r="T136" s="5" t="s">
        <v>32</v>
      </c>
      <c r="U136" s="5" t="s">
        <v>13</v>
      </c>
      <c r="V136" s="6">
        <f t="shared" si="7"/>
        <v>631</v>
      </c>
      <c r="W136" s="7">
        <v>425.0</v>
      </c>
      <c r="X136" s="7">
        <v>206.0</v>
      </c>
    </row>
    <row r="137">
      <c r="B137" s="5" t="str">
        <f t="shared" ref="B137:C137" si="272">H137</f>
        <v>Khasi and Jaintia Hills</v>
      </c>
      <c r="C137" s="5" t="str">
        <f t="shared" si="272"/>
        <v>20–24</v>
      </c>
      <c r="D137" s="5">
        <f t="shared" ref="D137:F137" si="273">J137+P137+V137</f>
        <v>15601</v>
      </c>
      <c r="E137" s="5">
        <f t="shared" si="273"/>
        <v>9229</v>
      </c>
      <c r="F137" s="5">
        <f t="shared" si="273"/>
        <v>6372</v>
      </c>
      <c r="G137" s="5"/>
      <c r="H137" s="5" t="s">
        <v>32</v>
      </c>
      <c r="I137" s="5" t="s">
        <v>14</v>
      </c>
      <c r="J137" s="6">
        <f t="shared" si="5"/>
        <v>1948</v>
      </c>
      <c r="K137" s="7">
        <v>1463.0</v>
      </c>
      <c r="L137" s="7">
        <v>485.0</v>
      </c>
      <c r="N137" s="5" t="s">
        <v>32</v>
      </c>
      <c r="O137" s="5" t="s">
        <v>14</v>
      </c>
      <c r="P137" s="6">
        <f t="shared" si="6"/>
        <v>12550</v>
      </c>
      <c r="Q137" s="7">
        <v>6974.0</v>
      </c>
      <c r="R137" s="7">
        <v>5576.0</v>
      </c>
      <c r="T137" s="5" t="s">
        <v>32</v>
      </c>
      <c r="U137" s="5" t="s">
        <v>14</v>
      </c>
      <c r="V137" s="6">
        <f t="shared" si="7"/>
        <v>1103</v>
      </c>
      <c r="W137" s="7">
        <v>792.0</v>
      </c>
      <c r="X137" s="7">
        <v>311.0</v>
      </c>
    </row>
    <row r="138">
      <c r="B138" s="5" t="str">
        <f t="shared" ref="B138:C138" si="274">H138</f>
        <v>Khasi and Jaintia Hills</v>
      </c>
      <c r="C138" s="5" t="str">
        <f t="shared" si="274"/>
        <v>25–29</v>
      </c>
      <c r="D138" s="5">
        <f t="shared" ref="D138:F138" si="275">J138+P138+V138</f>
        <v>10648</v>
      </c>
      <c r="E138" s="5">
        <f t="shared" si="275"/>
        <v>9016</v>
      </c>
      <c r="F138" s="5">
        <f t="shared" si="275"/>
        <v>1632</v>
      </c>
      <c r="G138" s="5"/>
      <c r="H138" s="5" t="s">
        <v>32</v>
      </c>
      <c r="I138" s="5" t="s">
        <v>15</v>
      </c>
      <c r="J138" s="6">
        <f t="shared" si="5"/>
        <v>2182</v>
      </c>
      <c r="K138" s="7">
        <v>1538.0</v>
      </c>
      <c r="L138" s="7">
        <v>644.0</v>
      </c>
      <c r="N138" s="5" t="s">
        <v>32</v>
      </c>
      <c r="O138" s="5" t="s">
        <v>15</v>
      </c>
      <c r="P138" s="6">
        <f t="shared" si="6"/>
        <v>7090</v>
      </c>
      <c r="Q138" s="7">
        <v>7090.0</v>
      </c>
      <c r="R138" s="7">
        <v>0.0</v>
      </c>
      <c r="T138" s="5" t="s">
        <v>32</v>
      </c>
      <c r="U138" s="5" t="s">
        <v>15</v>
      </c>
      <c r="V138" s="6">
        <f t="shared" si="7"/>
        <v>1376</v>
      </c>
      <c r="W138" s="7">
        <v>388.0</v>
      </c>
      <c r="X138" s="7">
        <v>988.0</v>
      </c>
    </row>
    <row r="139">
      <c r="B139" s="5" t="str">
        <f t="shared" ref="B139:C139" si="276">H139</f>
        <v>Khasi and Jaintia Hills</v>
      </c>
      <c r="C139" s="5" t="str">
        <f t="shared" si="276"/>
        <v>30–34</v>
      </c>
      <c r="D139" s="5">
        <f t="shared" ref="D139:F139" si="277">J139+P139+V139</f>
        <v>14629</v>
      </c>
      <c r="E139" s="5">
        <f t="shared" si="277"/>
        <v>6991</v>
      </c>
      <c r="F139" s="5">
        <f t="shared" si="277"/>
        <v>7638</v>
      </c>
      <c r="G139" s="5"/>
      <c r="H139" s="5" t="s">
        <v>32</v>
      </c>
      <c r="I139" s="5" t="s">
        <v>16</v>
      </c>
      <c r="J139" s="6">
        <f t="shared" si="5"/>
        <v>1100</v>
      </c>
      <c r="K139" s="7">
        <v>703.0</v>
      </c>
      <c r="L139" s="7">
        <v>397.0</v>
      </c>
      <c r="N139" s="5" t="s">
        <v>32</v>
      </c>
      <c r="O139" s="5" t="s">
        <v>16</v>
      </c>
      <c r="P139" s="6">
        <f t="shared" si="6"/>
        <v>11997</v>
      </c>
      <c r="Q139" s="7">
        <v>5920.0</v>
      </c>
      <c r="R139" s="7">
        <v>6077.0</v>
      </c>
      <c r="T139" s="5" t="s">
        <v>32</v>
      </c>
      <c r="U139" s="5" t="s">
        <v>16</v>
      </c>
      <c r="V139" s="6">
        <f t="shared" si="7"/>
        <v>1532</v>
      </c>
      <c r="W139" s="7">
        <v>368.0</v>
      </c>
      <c r="X139" s="7">
        <v>1164.0</v>
      </c>
    </row>
    <row r="140">
      <c r="B140" s="5" t="str">
        <f t="shared" ref="B140:C140" si="278">H140</f>
        <v>Khasi and Jaintia Hills</v>
      </c>
      <c r="C140" s="5" t="str">
        <f t="shared" si="278"/>
        <v>35–39</v>
      </c>
      <c r="D140" s="5">
        <f t="shared" ref="D140:F140" si="279">J140+P140+V140</f>
        <v>11567</v>
      </c>
      <c r="E140" s="5">
        <f t="shared" si="279"/>
        <v>5838</v>
      </c>
      <c r="F140" s="5">
        <f t="shared" si="279"/>
        <v>5729</v>
      </c>
      <c r="G140" s="5"/>
      <c r="H140" s="5" t="s">
        <v>32</v>
      </c>
      <c r="I140" s="5" t="s">
        <v>17</v>
      </c>
      <c r="J140" s="6">
        <f t="shared" si="5"/>
        <v>478</v>
      </c>
      <c r="K140" s="7">
        <v>283.0</v>
      </c>
      <c r="L140" s="7">
        <v>195.0</v>
      </c>
      <c r="N140" s="5" t="s">
        <v>32</v>
      </c>
      <c r="O140" s="5" t="s">
        <v>17</v>
      </c>
      <c r="P140" s="6">
        <f t="shared" si="6"/>
        <v>9606</v>
      </c>
      <c r="Q140" s="7">
        <v>5210.0</v>
      </c>
      <c r="R140" s="7">
        <v>4396.0</v>
      </c>
      <c r="T140" s="5" t="s">
        <v>32</v>
      </c>
      <c r="U140" s="5" t="s">
        <v>17</v>
      </c>
      <c r="V140" s="6">
        <f t="shared" si="7"/>
        <v>1483</v>
      </c>
      <c r="W140" s="7">
        <v>345.0</v>
      </c>
      <c r="X140" s="7">
        <v>1138.0</v>
      </c>
    </row>
    <row r="141">
      <c r="B141" s="5" t="str">
        <f t="shared" ref="B141:C141" si="280">H141</f>
        <v>Khasi and Jaintia Hills</v>
      </c>
      <c r="C141" s="5" t="str">
        <f t="shared" si="280"/>
        <v>40–44</v>
      </c>
      <c r="D141" s="5">
        <f t="shared" ref="D141:F141" si="281">J141+P141+V141</f>
        <v>11082</v>
      </c>
      <c r="E141" s="5">
        <f t="shared" si="281"/>
        <v>5129</v>
      </c>
      <c r="F141" s="5">
        <f t="shared" si="281"/>
        <v>5953</v>
      </c>
      <c r="G141" s="5"/>
      <c r="H141" s="5" t="s">
        <v>32</v>
      </c>
      <c r="I141" s="5" t="s">
        <v>18</v>
      </c>
      <c r="J141" s="6">
        <f t="shared" si="5"/>
        <v>356</v>
      </c>
      <c r="K141" s="7">
        <v>178.0</v>
      </c>
      <c r="L141" s="7">
        <v>178.0</v>
      </c>
      <c r="N141" s="5" t="s">
        <v>32</v>
      </c>
      <c r="O141" s="5" t="s">
        <v>18</v>
      </c>
      <c r="P141" s="6">
        <f t="shared" si="6"/>
        <v>8627</v>
      </c>
      <c r="Q141" s="7">
        <v>4550.0</v>
      </c>
      <c r="R141" s="7">
        <v>4077.0</v>
      </c>
      <c r="T141" s="5" t="s">
        <v>32</v>
      </c>
      <c r="U141" s="5" t="s">
        <v>18</v>
      </c>
      <c r="V141" s="6">
        <f t="shared" si="7"/>
        <v>2099</v>
      </c>
      <c r="W141" s="7">
        <v>401.0</v>
      </c>
      <c r="X141" s="7">
        <v>1698.0</v>
      </c>
    </row>
    <row r="142">
      <c r="B142" s="5" t="str">
        <f t="shared" ref="B142:C142" si="282">H142</f>
        <v>Khasi and Jaintia Hills</v>
      </c>
      <c r="C142" s="5" t="str">
        <f t="shared" si="282"/>
        <v>45–49</v>
      </c>
      <c r="D142" s="5">
        <f t="shared" ref="D142:F142" si="283">J142+P142+V142</f>
        <v>6683</v>
      </c>
      <c r="E142" s="5">
        <f t="shared" si="283"/>
        <v>3264</v>
      </c>
      <c r="F142" s="5">
        <f t="shared" si="283"/>
        <v>3419</v>
      </c>
      <c r="G142" s="5"/>
      <c r="H142" s="5" t="s">
        <v>32</v>
      </c>
      <c r="I142" s="5" t="s">
        <v>19</v>
      </c>
      <c r="J142" s="6">
        <f t="shared" si="5"/>
        <v>143</v>
      </c>
      <c r="K142" s="7">
        <v>66.0</v>
      </c>
      <c r="L142" s="7">
        <v>77.0</v>
      </c>
      <c r="N142" s="5" t="s">
        <v>32</v>
      </c>
      <c r="O142" s="5" t="s">
        <v>19</v>
      </c>
      <c r="P142" s="6">
        <f t="shared" si="6"/>
        <v>4997</v>
      </c>
      <c r="Q142" s="7">
        <v>2893.0</v>
      </c>
      <c r="R142" s="7">
        <v>2104.0</v>
      </c>
      <c r="T142" s="5" t="s">
        <v>32</v>
      </c>
      <c r="U142" s="5" t="s">
        <v>19</v>
      </c>
      <c r="V142" s="6">
        <f t="shared" si="7"/>
        <v>1543</v>
      </c>
      <c r="W142" s="7">
        <v>305.0</v>
      </c>
      <c r="X142" s="7">
        <v>1238.0</v>
      </c>
    </row>
    <row r="143">
      <c r="B143" s="5" t="str">
        <f t="shared" ref="B143:C143" si="284">H143</f>
        <v>Khasi and Jaintia Hills</v>
      </c>
      <c r="C143" s="5" t="str">
        <f t="shared" si="284"/>
        <v>50–54</v>
      </c>
      <c r="D143" s="5">
        <f t="shared" ref="D143:F143" si="285">J143+P143+V143</f>
        <v>7402</v>
      </c>
      <c r="E143" s="5">
        <f t="shared" si="285"/>
        <v>3385</v>
      </c>
      <c r="F143" s="5">
        <f t="shared" si="285"/>
        <v>4017</v>
      </c>
      <c r="G143" s="5"/>
      <c r="H143" s="5" t="s">
        <v>32</v>
      </c>
      <c r="I143" s="5" t="s">
        <v>20</v>
      </c>
      <c r="J143" s="6">
        <f t="shared" si="5"/>
        <v>165</v>
      </c>
      <c r="K143" s="7">
        <v>80.0</v>
      </c>
      <c r="L143" s="7">
        <v>85.0</v>
      </c>
      <c r="N143" s="5" t="s">
        <v>32</v>
      </c>
      <c r="O143" s="5" t="s">
        <v>20</v>
      </c>
      <c r="P143" s="6">
        <f t="shared" si="6"/>
        <v>5010</v>
      </c>
      <c r="Q143" s="7">
        <v>2920.0</v>
      </c>
      <c r="R143" s="7">
        <v>2090.0</v>
      </c>
      <c r="T143" s="5" t="s">
        <v>32</v>
      </c>
      <c r="U143" s="5" t="s">
        <v>20</v>
      </c>
      <c r="V143" s="6">
        <f t="shared" si="7"/>
        <v>2227</v>
      </c>
      <c r="W143" s="7">
        <v>385.0</v>
      </c>
      <c r="X143" s="7">
        <v>1842.0</v>
      </c>
    </row>
    <row r="144">
      <c r="B144" s="5" t="str">
        <f t="shared" ref="B144:C144" si="286">H144</f>
        <v>Khasi and Jaintia Hills</v>
      </c>
      <c r="C144" s="5" t="str">
        <f t="shared" si="286"/>
        <v>55–59</v>
      </c>
      <c r="D144" s="5">
        <f t="shared" ref="D144:F144" si="287">J144+P144+V144</f>
        <v>2791</v>
      </c>
      <c r="E144" s="5">
        <f t="shared" si="287"/>
        <v>1340</v>
      </c>
      <c r="F144" s="5">
        <f t="shared" si="287"/>
        <v>1451</v>
      </c>
      <c r="G144" s="5"/>
      <c r="H144" s="5" t="s">
        <v>32</v>
      </c>
      <c r="I144" s="5" t="s">
        <v>21</v>
      </c>
      <c r="J144" s="6">
        <f t="shared" si="5"/>
        <v>55</v>
      </c>
      <c r="K144" s="7">
        <v>23.0</v>
      </c>
      <c r="L144" s="7">
        <v>32.0</v>
      </c>
      <c r="N144" s="5" t="s">
        <v>32</v>
      </c>
      <c r="O144" s="5" t="s">
        <v>21</v>
      </c>
      <c r="P144" s="6">
        <f t="shared" si="6"/>
        <v>1834</v>
      </c>
      <c r="Q144" s="7">
        <v>1152.0</v>
      </c>
      <c r="R144" s="7">
        <v>682.0</v>
      </c>
      <c r="T144" s="5" t="s">
        <v>32</v>
      </c>
      <c r="U144" s="5" t="s">
        <v>21</v>
      </c>
      <c r="V144" s="6">
        <f t="shared" si="7"/>
        <v>902</v>
      </c>
      <c r="W144" s="7">
        <v>165.0</v>
      </c>
      <c r="X144" s="7">
        <v>737.0</v>
      </c>
    </row>
    <row r="145">
      <c r="B145" s="5" t="str">
        <f t="shared" ref="B145:C145" si="288">H145</f>
        <v>Khasi and Jaintia Hills</v>
      </c>
      <c r="C145" s="5" t="str">
        <f t="shared" si="288"/>
        <v>60 and over</v>
      </c>
      <c r="D145" s="5">
        <f t="shared" ref="D145:F145" si="289">J145+P145+V145</f>
        <v>7773</v>
      </c>
      <c r="E145" s="5">
        <f t="shared" si="289"/>
        <v>2491</v>
      </c>
      <c r="F145" s="5">
        <f t="shared" si="289"/>
        <v>5282</v>
      </c>
      <c r="G145" s="5"/>
      <c r="H145" s="5" t="s">
        <v>32</v>
      </c>
      <c r="I145" s="5" t="s">
        <v>22</v>
      </c>
      <c r="J145" s="6">
        <f t="shared" si="5"/>
        <v>237</v>
      </c>
      <c r="K145" s="7">
        <v>100.0</v>
      </c>
      <c r="L145" s="7">
        <v>137.0</v>
      </c>
      <c r="N145" s="5" t="s">
        <v>32</v>
      </c>
      <c r="O145" s="5" t="s">
        <v>22</v>
      </c>
      <c r="P145" s="6">
        <f t="shared" si="6"/>
        <v>2297</v>
      </c>
      <c r="Q145" s="7">
        <v>1363.0</v>
      </c>
      <c r="R145" s="7">
        <v>934.0</v>
      </c>
      <c r="T145" s="5" t="s">
        <v>32</v>
      </c>
      <c r="U145" s="5" t="s">
        <v>22</v>
      </c>
      <c r="V145" s="6">
        <f t="shared" si="7"/>
        <v>5239</v>
      </c>
      <c r="W145" s="7">
        <v>1028.0</v>
      </c>
      <c r="X145" s="7">
        <v>4211.0</v>
      </c>
    </row>
    <row r="146">
      <c r="B146" s="5" t="str">
        <f t="shared" ref="B146:C146" si="290">H146</f>
        <v>Garo Hills</v>
      </c>
      <c r="C146" s="5" t="str">
        <f t="shared" si="290"/>
        <v>0–4</v>
      </c>
      <c r="D146" s="5">
        <f t="shared" ref="D146:F146" si="291">J146+P146+V146</f>
        <v>21873</v>
      </c>
      <c r="E146" s="5">
        <f t="shared" si="291"/>
        <v>11017</v>
      </c>
      <c r="F146" s="5">
        <f t="shared" si="291"/>
        <v>10856</v>
      </c>
      <c r="G146" s="5"/>
      <c r="H146" s="5" t="s">
        <v>33</v>
      </c>
      <c r="I146" s="5" t="s">
        <v>10</v>
      </c>
      <c r="J146" s="6">
        <f t="shared" si="5"/>
        <v>21819</v>
      </c>
      <c r="K146" s="7">
        <v>10996.0</v>
      </c>
      <c r="L146" s="7">
        <v>10823.0</v>
      </c>
      <c r="N146" s="5" t="s">
        <v>33</v>
      </c>
      <c r="O146" s="5" t="s">
        <v>10</v>
      </c>
      <c r="P146" s="6">
        <f t="shared" si="6"/>
        <v>50</v>
      </c>
      <c r="Q146" s="7">
        <v>19.0</v>
      </c>
      <c r="R146" s="7">
        <v>31.0</v>
      </c>
      <c r="T146" s="5" t="s">
        <v>33</v>
      </c>
      <c r="U146" s="5" t="s">
        <v>10</v>
      </c>
      <c r="V146" s="6">
        <f t="shared" si="7"/>
        <v>4</v>
      </c>
      <c r="W146" s="7">
        <v>2.0</v>
      </c>
      <c r="X146" s="7">
        <v>2.0</v>
      </c>
    </row>
    <row r="147">
      <c r="B147" s="5" t="str">
        <f t="shared" ref="B147:C147" si="292">H147</f>
        <v>Garo Hills</v>
      </c>
      <c r="C147" s="5" t="str">
        <f t="shared" si="292"/>
        <v>5–9</v>
      </c>
      <c r="D147" s="5">
        <f t="shared" ref="D147:F147" si="293">J147+P147+V147</f>
        <v>17668</v>
      </c>
      <c r="E147" s="5">
        <f t="shared" si="293"/>
        <v>9159</v>
      </c>
      <c r="F147" s="5">
        <f t="shared" si="293"/>
        <v>8509</v>
      </c>
      <c r="G147" s="5"/>
      <c r="H147" s="5" t="s">
        <v>33</v>
      </c>
      <c r="I147" s="5" t="s">
        <v>11</v>
      </c>
      <c r="J147" s="6">
        <f t="shared" si="5"/>
        <v>17051</v>
      </c>
      <c r="K147" s="7">
        <v>8812.0</v>
      </c>
      <c r="L147" s="7">
        <v>8239.0</v>
      </c>
      <c r="N147" s="5" t="s">
        <v>33</v>
      </c>
      <c r="O147" s="5" t="s">
        <v>11</v>
      </c>
      <c r="P147" s="6">
        <f t="shared" si="6"/>
        <v>595</v>
      </c>
      <c r="Q147" s="7">
        <v>332.0</v>
      </c>
      <c r="R147" s="7">
        <v>263.0</v>
      </c>
      <c r="T147" s="5" t="s">
        <v>33</v>
      </c>
      <c r="U147" s="5" t="s">
        <v>11</v>
      </c>
      <c r="V147" s="6">
        <f t="shared" si="7"/>
        <v>22</v>
      </c>
      <c r="W147" s="7">
        <v>15.0</v>
      </c>
      <c r="X147" s="7">
        <v>7.0</v>
      </c>
    </row>
    <row r="148">
      <c r="B148" s="5" t="str">
        <f t="shared" ref="B148:C148" si="294">H148</f>
        <v>Garo Hills</v>
      </c>
      <c r="C148" s="5" t="str">
        <f t="shared" si="294"/>
        <v>10–14</v>
      </c>
      <c r="D148" s="5">
        <f t="shared" ref="D148:F148" si="295">J148+P148+V148</f>
        <v>13102</v>
      </c>
      <c r="E148" s="5">
        <f t="shared" si="295"/>
        <v>7757</v>
      </c>
      <c r="F148" s="5">
        <f t="shared" si="295"/>
        <v>5345</v>
      </c>
      <c r="G148" s="5"/>
      <c r="H148" s="5" t="s">
        <v>33</v>
      </c>
      <c r="I148" s="5" t="s">
        <v>12</v>
      </c>
      <c r="J148" s="6">
        <f t="shared" si="5"/>
        <v>10385</v>
      </c>
      <c r="K148" s="7">
        <v>6134.0</v>
      </c>
      <c r="L148" s="7">
        <v>4251.0</v>
      </c>
      <c r="N148" s="5" t="s">
        <v>33</v>
      </c>
      <c r="O148" s="5" t="s">
        <v>12</v>
      </c>
      <c r="P148" s="6">
        <f t="shared" si="6"/>
        <v>2659</v>
      </c>
      <c r="Q148" s="7">
        <v>1616.0</v>
      </c>
      <c r="R148" s="7">
        <v>1043.0</v>
      </c>
      <c r="T148" s="5" t="s">
        <v>33</v>
      </c>
      <c r="U148" s="5" t="s">
        <v>12</v>
      </c>
      <c r="V148" s="6">
        <f t="shared" si="7"/>
        <v>58</v>
      </c>
      <c r="W148" s="7">
        <v>7.0</v>
      </c>
      <c r="X148" s="7">
        <v>51.0</v>
      </c>
    </row>
    <row r="149">
      <c r="B149" s="5" t="str">
        <f t="shared" ref="B149:C149" si="296">H149</f>
        <v>Garo Hills</v>
      </c>
      <c r="C149" s="5" t="str">
        <f t="shared" si="296"/>
        <v>15–19</v>
      </c>
      <c r="D149" s="5">
        <f t="shared" ref="D149:F149" si="297">J149+P149+V149</f>
        <v>10568</v>
      </c>
      <c r="E149" s="5">
        <f t="shared" si="297"/>
        <v>6721</v>
      </c>
      <c r="F149" s="5">
        <f t="shared" si="297"/>
        <v>3847</v>
      </c>
      <c r="G149" s="5"/>
      <c r="H149" s="5" t="s">
        <v>33</v>
      </c>
      <c r="I149" s="5" t="s">
        <v>13</v>
      </c>
      <c r="J149" s="6">
        <f t="shared" si="5"/>
        <v>4656</v>
      </c>
      <c r="K149" s="7">
        <v>3130.0</v>
      </c>
      <c r="L149" s="7">
        <v>1526.0</v>
      </c>
      <c r="N149" s="5" t="s">
        <v>33</v>
      </c>
      <c r="O149" s="5" t="s">
        <v>13</v>
      </c>
      <c r="P149" s="6">
        <f t="shared" si="6"/>
        <v>5760</v>
      </c>
      <c r="Q149" s="7">
        <v>3591.0</v>
      </c>
      <c r="R149" s="7">
        <v>2169.0</v>
      </c>
      <c r="T149" s="5" t="s">
        <v>33</v>
      </c>
      <c r="U149" s="5" t="s">
        <v>13</v>
      </c>
      <c r="V149" s="6">
        <f t="shared" si="7"/>
        <v>152</v>
      </c>
      <c r="W149" s="7">
        <v>0.0</v>
      </c>
      <c r="X149" s="7">
        <v>152.0</v>
      </c>
    </row>
    <row r="150">
      <c r="B150" s="5" t="str">
        <f t="shared" ref="B150:C150" si="298">H150</f>
        <v>Garo Hills</v>
      </c>
      <c r="C150" s="5" t="str">
        <f t="shared" si="298"/>
        <v>20–24</v>
      </c>
      <c r="D150" s="5">
        <f t="shared" ref="D150:F150" si="299">J150+P150+V150</f>
        <v>11080</v>
      </c>
      <c r="E150" s="5">
        <f t="shared" si="299"/>
        <v>6197</v>
      </c>
      <c r="F150" s="5">
        <f t="shared" si="299"/>
        <v>4883</v>
      </c>
      <c r="G150" s="5"/>
      <c r="H150" s="5" t="s">
        <v>33</v>
      </c>
      <c r="I150" s="5" t="s">
        <v>14</v>
      </c>
      <c r="J150" s="6">
        <f t="shared" si="5"/>
        <v>2035</v>
      </c>
      <c r="K150" s="7">
        <v>1546.0</v>
      </c>
      <c r="L150" s="7">
        <v>489.0</v>
      </c>
      <c r="N150" s="5" t="s">
        <v>33</v>
      </c>
      <c r="O150" s="5" t="s">
        <v>14</v>
      </c>
      <c r="P150" s="6">
        <f t="shared" si="6"/>
        <v>8779</v>
      </c>
      <c r="Q150" s="7">
        <v>4603.0</v>
      </c>
      <c r="R150" s="7">
        <v>4176.0</v>
      </c>
      <c r="T150" s="5" t="s">
        <v>33</v>
      </c>
      <c r="U150" s="5" t="s">
        <v>14</v>
      </c>
      <c r="V150" s="6">
        <f t="shared" si="7"/>
        <v>266</v>
      </c>
      <c r="W150" s="7">
        <v>48.0</v>
      </c>
      <c r="X150" s="7">
        <v>218.0</v>
      </c>
    </row>
    <row r="151">
      <c r="B151" s="5" t="str">
        <f t="shared" ref="B151:C151" si="300">H151</f>
        <v>Garo Hills</v>
      </c>
      <c r="C151" s="5" t="str">
        <f t="shared" si="300"/>
        <v>25–29</v>
      </c>
      <c r="D151" s="5">
        <f t="shared" ref="D151:F151" si="301">J151+P151+V151</f>
        <v>7258</v>
      </c>
      <c r="E151" s="5">
        <f t="shared" si="301"/>
        <v>6623</v>
      </c>
      <c r="F151" s="5">
        <f t="shared" si="301"/>
        <v>635</v>
      </c>
      <c r="G151" s="5"/>
      <c r="H151" s="5" t="s">
        <v>33</v>
      </c>
      <c r="I151" s="5" t="s">
        <v>15</v>
      </c>
      <c r="J151" s="6">
        <f t="shared" si="5"/>
        <v>1208</v>
      </c>
      <c r="K151" s="7">
        <v>996.0</v>
      </c>
      <c r="L151" s="7">
        <v>212.0</v>
      </c>
      <c r="N151" s="5" t="s">
        <v>33</v>
      </c>
      <c r="O151" s="5" t="s">
        <v>15</v>
      </c>
      <c r="P151" s="6">
        <f t="shared" si="6"/>
        <v>5504</v>
      </c>
      <c r="Q151" s="7">
        <v>5504.0</v>
      </c>
      <c r="R151" s="7">
        <v>0.0</v>
      </c>
      <c r="T151" s="5" t="s">
        <v>33</v>
      </c>
      <c r="U151" s="5" t="s">
        <v>15</v>
      </c>
      <c r="V151" s="6">
        <f t="shared" si="7"/>
        <v>546</v>
      </c>
      <c r="W151" s="7">
        <v>123.0</v>
      </c>
      <c r="X151" s="7">
        <v>423.0</v>
      </c>
    </row>
    <row r="152">
      <c r="B152" s="5" t="str">
        <f t="shared" ref="B152:C152" si="302">H152</f>
        <v>Garo Hills</v>
      </c>
      <c r="C152" s="5" t="str">
        <f t="shared" si="302"/>
        <v>30–34</v>
      </c>
      <c r="D152" s="5">
        <f t="shared" ref="D152:F152" si="303">J152+P152+V152</f>
        <v>10723</v>
      </c>
      <c r="E152" s="5">
        <f t="shared" si="303"/>
        <v>5410</v>
      </c>
      <c r="F152" s="5">
        <f t="shared" si="303"/>
        <v>5313</v>
      </c>
      <c r="G152" s="5"/>
      <c r="H152" s="5" t="s">
        <v>33</v>
      </c>
      <c r="I152" s="5" t="s">
        <v>16</v>
      </c>
      <c r="J152" s="6">
        <f t="shared" si="5"/>
        <v>446</v>
      </c>
      <c r="K152" s="7">
        <v>351.0</v>
      </c>
      <c r="L152" s="7">
        <v>95.0</v>
      </c>
      <c r="N152" s="5" t="s">
        <v>33</v>
      </c>
      <c r="O152" s="5" t="s">
        <v>16</v>
      </c>
      <c r="P152" s="6">
        <f t="shared" si="6"/>
        <v>9608</v>
      </c>
      <c r="Q152" s="7">
        <v>4892.0</v>
      </c>
      <c r="R152" s="7">
        <v>4716.0</v>
      </c>
      <c r="T152" s="5" t="s">
        <v>33</v>
      </c>
      <c r="U152" s="5" t="s">
        <v>16</v>
      </c>
      <c r="V152" s="6">
        <f t="shared" si="7"/>
        <v>669</v>
      </c>
      <c r="W152" s="7">
        <v>167.0</v>
      </c>
      <c r="X152" s="7">
        <v>502.0</v>
      </c>
    </row>
    <row r="153">
      <c r="B153" s="5" t="str">
        <f t="shared" ref="B153:C153" si="304">H153</f>
        <v>Garo Hills</v>
      </c>
      <c r="C153" s="5" t="str">
        <f t="shared" si="304"/>
        <v>35–39</v>
      </c>
      <c r="D153" s="5">
        <f t="shared" ref="D153:F153" si="305">J153+P153+V153</f>
        <v>8040</v>
      </c>
      <c r="E153" s="5">
        <f t="shared" si="305"/>
        <v>4683</v>
      </c>
      <c r="F153" s="5">
        <f t="shared" si="305"/>
        <v>3357</v>
      </c>
      <c r="G153" s="5"/>
      <c r="H153" s="5" t="s">
        <v>33</v>
      </c>
      <c r="I153" s="5" t="s">
        <v>17</v>
      </c>
      <c r="J153" s="6">
        <f t="shared" si="5"/>
        <v>157</v>
      </c>
      <c r="K153" s="7">
        <v>120.0</v>
      </c>
      <c r="L153" s="7">
        <v>37.0</v>
      </c>
      <c r="N153" s="5" t="s">
        <v>33</v>
      </c>
      <c r="O153" s="5" t="s">
        <v>17</v>
      </c>
      <c r="P153" s="6">
        <f t="shared" si="6"/>
        <v>7365</v>
      </c>
      <c r="Q153" s="7">
        <v>4403.0</v>
      </c>
      <c r="R153" s="7">
        <v>2962.0</v>
      </c>
      <c r="T153" s="5" t="s">
        <v>33</v>
      </c>
      <c r="U153" s="5" t="s">
        <v>17</v>
      </c>
      <c r="V153" s="6">
        <f t="shared" si="7"/>
        <v>518</v>
      </c>
      <c r="W153" s="7">
        <v>160.0</v>
      </c>
      <c r="X153" s="7">
        <v>358.0</v>
      </c>
    </row>
    <row r="154">
      <c r="B154" s="5" t="str">
        <f t="shared" ref="B154:C154" si="306">H154</f>
        <v>Garo Hills</v>
      </c>
      <c r="C154" s="5" t="str">
        <f t="shared" si="306"/>
        <v>40–44</v>
      </c>
      <c r="D154" s="5">
        <f t="shared" ref="D154:F154" si="307">J154+P154+V154</f>
        <v>7242</v>
      </c>
      <c r="E154" s="5">
        <f t="shared" si="307"/>
        <v>3857</v>
      </c>
      <c r="F154" s="5">
        <f t="shared" si="307"/>
        <v>3385</v>
      </c>
      <c r="G154" s="5"/>
      <c r="H154" s="5" t="s">
        <v>33</v>
      </c>
      <c r="I154" s="5" t="s">
        <v>18</v>
      </c>
      <c r="J154" s="6">
        <f t="shared" si="5"/>
        <v>58</v>
      </c>
      <c r="K154" s="7">
        <v>58.0</v>
      </c>
      <c r="L154" s="7">
        <v>0.0</v>
      </c>
      <c r="N154" s="5" t="s">
        <v>33</v>
      </c>
      <c r="O154" s="5" t="s">
        <v>18</v>
      </c>
      <c r="P154" s="6">
        <f t="shared" si="6"/>
        <v>6302</v>
      </c>
      <c r="Q154" s="7">
        <v>3624.0</v>
      </c>
      <c r="R154" s="7">
        <v>2678.0</v>
      </c>
      <c r="T154" s="5" t="s">
        <v>33</v>
      </c>
      <c r="U154" s="5" t="s">
        <v>18</v>
      </c>
      <c r="V154" s="6">
        <f t="shared" si="7"/>
        <v>882</v>
      </c>
      <c r="W154" s="7">
        <v>175.0</v>
      </c>
      <c r="X154" s="7">
        <v>707.0</v>
      </c>
    </row>
    <row r="155">
      <c r="B155" s="5" t="str">
        <f t="shared" ref="B155:C155" si="308">H155</f>
        <v>Garo Hills</v>
      </c>
      <c r="C155" s="5" t="str">
        <f t="shared" si="308"/>
        <v>45–49</v>
      </c>
      <c r="D155" s="5">
        <f t="shared" ref="D155:F155" si="309">J155+P155+V155</f>
        <v>3413</v>
      </c>
      <c r="E155" s="5">
        <f t="shared" si="309"/>
        <v>1935</v>
      </c>
      <c r="F155" s="5">
        <f t="shared" si="309"/>
        <v>1478</v>
      </c>
      <c r="G155" s="5"/>
      <c r="H155" s="5" t="s">
        <v>33</v>
      </c>
      <c r="I155" s="5" t="s">
        <v>19</v>
      </c>
      <c r="J155" s="6">
        <f t="shared" si="5"/>
        <v>34</v>
      </c>
      <c r="K155" s="7">
        <v>22.0</v>
      </c>
      <c r="L155" s="7">
        <v>12.0</v>
      </c>
      <c r="N155" s="5" t="s">
        <v>33</v>
      </c>
      <c r="O155" s="5" t="s">
        <v>19</v>
      </c>
      <c r="P155" s="6">
        <f t="shared" si="6"/>
        <v>2862</v>
      </c>
      <c r="Q155" s="7">
        <v>1818.0</v>
      </c>
      <c r="R155" s="7">
        <v>1044.0</v>
      </c>
      <c r="T155" s="5" t="s">
        <v>33</v>
      </c>
      <c r="U155" s="5" t="s">
        <v>19</v>
      </c>
      <c r="V155" s="6">
        <f t="shared" si="7"/>
        <v>517</v>
      </c>
      <c r="W155" s="7">
        <v>95.0</v>
      </c>
      <c r="X155" s="7">
        <v>422.0</v>
      </c>
    </row>
    <row r="156">
      <c r="B156" s="5" t="str">
        <f t="shared" ref="B156:C156" si="310">H156</f>
        <v>Garo Hills</v>
      </c>
      <c r="C156" s="5" t="str">
        <f t="shared" si="310"/>
        <v>50–54</v>
      </c>
      <c r="D156" s="5">
        <f t="shared" ref="D156:F156" si="311">J156+P156+V156</f>
        <v>3882</v>
      </c>
      <c r="E156" s="5">
        <f t="shared" si="311"/>
        <v>2088</v>
      </c>
      <c r="F156" s="5">
        <f t="shared" si="311"/>
        <v>1794</v>
      </c>
      <c r="G156" s="5"/>
      <c r="H156" s="5" t="s">
        <v>33</v>
      </c>
      <c r="I156" s="5" t="s">
        <v>20</v>
      </c>
      <c r="J156" s="6">
        <f t="shared" si="5"/>
        <v>41</v>
      </c>
      <c r="K156" s="7">
        <v>22.0</v>
      </c>
      <c r="L156" s="7">
        <v>19.0</v>
      </c>
      <c r="N156" s="5" t="s">
        <v>33</v>
      </c>
      <c r="O156" s="5" t="s">
        <v>20</v>
      </c>
      <c r="P156" s="6">
        <f t="shared" si="6"/>
        <v>3005</v>
      </c>
      <c r="Q156" s="7">
        <v>1909.0</v>
      </c>
      <c r="R156" s="7">
        <v>1096.0</v>
      </c>
      <c r="T156" s="5" t="s">
        <v>33</v>
      </c>
      <c r="U156" s="5" t="s">
        <v>20</v>
      </c>
      <c r="V156" s="6">
        <f t="shared" si="7"/>
        <v>836</v>
      </c>
      <c r="W156" s="7">
        <v>157.0</v>
      </c>
      <c r="X156" s="7">
        <v>679.0</v>
      </c>
    </row>
    <row r="157">
      <c r="B157" s="5" t="str">
        <f t="shared" ref="B157:C157" si="312">H157</f>
        <v>Garo Hills</v>
      </c>
      <c r="C157" s="5" t="str">
        <f t="shared" si="312"/>
        <v>55–59</v>
      </c>
      <c r="D157" s="5">
        <f t="shared" ref="D157:F157" si="313">J157+P157+V157</f>
        <v>1540</v>
      </c>
      <c r="E157" s="5">
        <f t="shared" si="313"/>
        <v>852</v>
      </c>
      <c r="F157" s="5">
        <f t="shared" si="313"/>
        <v>688</v>
      </c>
      <c r="G157" s="5"/>
      <c r="H157" s="5" t="s">
        <v>33</v>
      </c>
      <c r="I157" s="5" t="s">
        <v>21</v>
      </c>
      <c r="J157" s="6">
        <f t="shared" si="5"/>
        <v>29</v>
      </c>
      <c r="K157" s="7">
        <v>8.0</v>
      </c>
      <c r="L157" s="7">
        <v>21.0</v>
      </c>
      <c r="N157" s="5" t="s">
        <v>33</v>
      </c>
      <c r="O157" s="5" t="s">
        <v>21</v>
      </c>
      <c r="P157" s="6">
        <f t="shared" si="6"/>
        <v>1208</v>
      </c>
      <c r="Q157" s="7">
        <v>781.0</v>
      </c>
      <c r="R157" s="7">
        <v>427.0</v>
      </c>
      <c r="T157" s="5" t="s">
        <v>33</v>
      </c>
      <c r="U157" s="5" t="s">
        <v>21</v>
      </c>
      <c r="V157" s="6">
        <f t="shared" si="7"/>
        <v>303</v>
      </c>
      <c r="W157" s="7">
        <v>63.0</v>
      </c>
      <c r="X157" s="7">
        <v>240.0</v>
      </c>
    </row>
    <row r="158">
      <c r="B158" s="5" t="str">
        <f t="shared" ref="B158:C158" si="314">H158</f>
        <v>Garo Hills</v>
      </c>
      <c r="C158" s="5" t="str">
        <f t="shared" si="314"/>
        <v>60 and over</v>
      </c>
      <c r="D158" s="5">
        <f t="shared" ref="D158:F158" si="315">J158+P158+V158</f>
        <v>5380</v>
      </c>
      <c r="E158" s="5">
        <f t="shared" si="315"/>
        <v>2847</v>
      </c>
      <c r="F158" s="5">
        <f t="shared" si="315"/>
        <v>2533</v>
      </c>
      <c r="G158" s="5"/>
      <c r="H158" s="5" t="s">
        <v>33</v>
      </c>
      <c r="I158" s="5" t="s">
        <v>22</v>
      </c>
      <c r="J158" s="6">
        <f t="shared" si="5"/>
        <v>61</v>
      </c>
      <c r="K158" s="7">
        <v>31.0</v>
      </c>
      <c r="L158" s="7">
        <v>30.0</v>
      </c>
      <c r="N158" s="5" t="s">
        <v>33</v>
      </c>
      <c r="O158" s="5" t="s">
        <v>22</v>
      </c>
      <c r="P158" s="6">
        <f t="shared" si="6"/>
        <v>3539</v>
      </c>
      <c r="Q158" s="7">
        <v>2401.0</v>
      </c>
      <c r="R158" s="7">
        <v>1138.0</v>
      </c>
      <c r="T158" s="5" t="s">
        <v>33</v>
      </c>
      <c r="U158" s="5" t="s">
        <v>22</v>
      </c>
      <c r="V158" s="6">
        <f t="shared" si="7"/>
        <v>1780</v>
      </c>
      <c r="W158" s="7">
        <v>415.0</v>
      </c>
      <c r="X158" s="7">
        <v>1365.0</v>
      </c>
    </row>
    <row r="159">
      <c r="B159" s="5" t="str">
        <f t="shared" ref="B159:C159" si="316">H159</f>
        <v>North Lushai (Civil and Military)</v>
      </c>
      <c r="C159" s="5" t="str">
        <f t="shared" si="316"/>
        <v>0–4</v>
      </c>
      <c r="D159" s="5">
        <f t="shared" ref="D159:F159" si="317">J159+P159+V159</f>
        <v>0</v>
      </c>
      <c r="E159" s="5">
        <f t="shared" si="317"/>
        <v>0</v>
      </c>
      <c r="F159" s="5">
        <f t="shared" si="317"/>
        <v>0</v>
      </c>
      <c r="G159" s="5"/>
      <c r="H159" s="5" t="s">
        <v>34</v>
      </c>
      <c r="I159" s="5" t="s">
        <v>10</v>
      </c>
      <c r="J159" s="6">
        <f t="shared" si="5"/>
        <v>0</v>
      </c>
      <c r="K159" s="1">
        <v>0.0</v>
      </c>
      <c r="L159" s="1">
        <v>0.0</v>
      </c>
      <c r="N159" s="5" t="s">
        <v>34</v>
      </c>
      <c r="O159" s="5" t="s">
        <v>10</v>
      </c>
      <c r="P159" s="6">
        <f t="shared" si="6"/>
        <v>0</v>
      </c>
      <c r="Q159" s="7">
        <v>0.0</v>
      </c>
      <c r="R159" s="7">
        <v>0.0</v>
      </c>
      <c r="T159" s="5" t="s">
        <v>34</v>
      </c>
      <c r="U159" s="5" t="s">
        <v>10</v>
      </c>
      <c r="V159" s="6">
        <f t="shared" si="7"/>
        <v>0</v>
      </c>
      <c r="W159" s="7">
        <v>0.0</v>
      </c>
      <c r="X159" s="7">
        <v>0.0</v>
      </c>
    </row>
    <row r="160">
      <c r="B160" s="5" t="str">
        <f t="shared" ref="B160:C160" si="318">H160</f>
        <v>North Lushai (Civil and Military)</v>
      </c>
      <c r="C160" s="5" t="str">
        <f t="shared" si="318"/>
        <v>5–9</v>
      </c>
      <c r="D160" s="5">
        <f t="shared" ref="D160:F160" si="319">J160+P160+V160</f>
        <v>0</v>
      </c>
      <c r="E160" s="5">
        <f t="shared" si="319"/>
        <v>0</v>
      </c>
      <c r="F160" s="5">
        <f t="shared" si="319"/>
        <v>0</v>
      </c>
      <c r="G160" s="5"/>
      <c r="H160" s="5" t="s">
        <v>34</v>
      </c>
      <c r="I160" s="5" t="s">
        <v>11</v>
      </c>
      <c r="J160" s="6">
        <f t="shared" si="5"/>
        <v>0</v>
      </c>
      <c r="K160" s="1">
        <v>0.0</v>
      </c>
      <c r="L160" s="1">
        <v>0.0</v>
      </c>
      <c r="N160" s="5" t="s">
        <v>34</v>
      </c>
      <c r="O160" s="5" t="s">
        <v>11</v>
      </c>
      <c r="P160" s="6">
        <f t="shared" si="6"/>
        <v>0</v>
      </c>
      <c r="Q160" s="7">
        <v>0.0</v>
      </c>
      <c r="R160" s="7">
        <v>0.0</v>
      </c>
      <c r="T160" s="5" t="s">
        <v>34</v>
      </c>
      <c r="U160" s="5" t="s">
        <v>11</v>
      </c>
      <c r="V160" s="6">
        <f t="shared" si="7"/>
        <v>0</v>
      </c>
      <c r="W160" s="7">
        <v>0.0</v>
      </c>
      <c r="X160" s="7">
        <v>0.0</v>
      </c>
    </row>
    <row r="161">
      <c r="B161" s="5" t="str">
        <f t="shared" ref="B161:C161" si="320">H161</f>
        <v>North Lushai (Civil and Military)</v>
      </c>
      <c r="C161" s="5" t="str">
        <f t="shared" si="320"/>
        <v>10–14</v>
      </c>
      <c r="D161" s="5">
        <f t="shared" ref="D161:F161" si="321">J161+P161+V161</f>
        <v>6</v>
      </c>
      <c r="E161" s="5">
        <f t="shared" si="321"/>
        <v>6</v>
      </c>
      <c r="F161" s="5">
        <f t="shared" si="321"/>
        <v>0</v>
      </c>
      <c r="G161" s="5"/>
      <c r="H161" s="5" t="s">
        <v>34</v>
      </c>
      <c r="I161" s="5" t="s">
        <v>12</v>
      </c>
      <c r="J161" s="6">
        <f t="shared" si="5"/>
        <v>6</v>
      </c>
      <c r="K161" s="1">
        <v>6.0</v>
      </c>
      <c r="L161" s="1">
        <v>0.0</v>
      </c>
      <c r="N161" s="5" t="s">
        <v>34</v>
      </c>
      <c r="O161" s="5" t="s">
        <v>12</v>
      </c>
      <c r="P161" s="6">
        <f t="shared" si="6"/>
        <v>0</v>
      </c>
      <c r="Q161" s="7">
        <v>0.0</v>
      </c>
      <c r="R161" s="7">
        <v>0.0</v>
      </c>
      <c r="T161" s="5" t="s">
        <v>34</v>
      </c>
      <c r="U161" s="5" t="s">
        <v>12</v>
      </c>
      <c r="V161" s="6">
        <f t="shared" si="7"/>
        <v>0</v>
      </c>
      <c r="W161" s="7">
        <v>0.0</v>
      </c>
      <c r="X161" s="7">
        <v>0.0</v>
      </c>
    </row>
    <row r="162">
      <c r="B162" s="5" t="str">
        <f t="shared" ref="B162:C162" si="322">H162</f>
        <v>North Lushai (Civil and Military)</v>
      </c>
      <c r="C162" s="5" t="str">
        <f t="shared" si="322"/>
        <v>15–19</v>
      </c>
      <c r="D162" s="5">
        <f t="shared" ref="D162:F162" si="323">J162+P162+V162</f>
        <v>137</v>
      </c>
      <c r="E162" s="5">
        <f t="shared" si="323"/>
        <v>137</v>
      </c>
      <c r="F162" s="5">
        <f t="shared" si="323"/>
        <v>0</v>
      </c>
      <c r="G162" s="5"/>
      <c r="H162" s="5" t="s">
        <v>34</v>
      </c>
      <c r="I162" s="5" t="s">
        <v>13</v>
      </c>
      <c r="J162" s="6">
        <f t="shared" si="5"/>
        <v>137</v>
      </c>
      <c r="K162" s="1">
        <v>137.0</v>
      </c>
      <c r="L162" s="1">
        <v>0.0</v>
      </c>
      <c r="N162" s="5" t="s">
        <v>34</v>
      </c>
      <c r="O162" s="5" t="s">
        <v>13</v>
      </c>
      <c r="P162" s="6">
        <f t="shared" si="6"/>
        <v>0</v>
      </c>
      <c r="Q162" s="7">
        <v>0.0</v>
      </c>
      <c r="R162" s="7">
        <v>0.0</v>
      </c>
      <c r="T162" s="5" t="s">
        <v>34</v>
      </c>
      <c r="U162" s="5" t="s">
        <v>13</v>
      </c>
      <c r="V162" s="6">
        <f t="shared" si="7"/>
        <v>0</v>
      </c>
      <c r="W162" s="7">
        <v>0.0</v>
      </c>
      <c r="X162" s="7">
        <v>0.0</v>
      </c>
    </row>
    <row r="163">
      <c r="B163" s="5" t="str">
        <f t="shared" ref="B163:C163" si="324">H163</f>
        <v>North Lushai (Civil and Military)</v>
      </c>
      <c r="C163" s="5" t="str">
        <f t="shared" si="324"/>
        <v>20–24</v>
      </c>
      <c r="D163" s="5">
        <f t="shared" ref="D163:F163" si="325">J163+P163+V163</f>
        <v>715</v>
      </c>
      <c r="E163" s="5">
        <f t="shared" si="325"/>
        <v>439</v>
      </c>
      <c r="F163" s="5">
        <f t="shared" si="325"/>
        <v>276</v>
      </c>
      <c r="G163" s="5"/>
      <c r="H163" s="5" t="s">
        <v>34</v>
      </c>
      <c r="I163" s="5" t="s">
        <v>14</v>
      </c>
      <c r="J163" s="6">
        <f t="shared" si="5"/>
        <v>439</v>
      </c>
      <c r="K163" s="1">
        <v>439.0</v>
      </c>
      <c r="L163" s="1">
        <v>0.0</v>
      </c>
      <c r="N163" s="5" t="s">
        <v>34</v>
      </c>
      <c r="O163" s="5" t="s">
        <v>14</v>
      </c>
      <c r="P163" s="6">
        <f t="shared" si="6"/>
        <v>269</v>
      </c>
      <c r="Q163" s="7">
        <v>0.0</v>
      </c>
      <c r="R163" s="7">
        <v>269.0</v>
      </c>
      <c r="T163" s="5" t="s">
        <v>34</v>
      </c>
      <c r="U163" s="5" t="s">
        <v>14</v>
      </c>
      <c r="V163" s="6">
        <f t="shared" si="7"/>
        <v>7</v>
      </c>
      <c r="W163" s="7">
        <v>0.0</v>
      </c>
      <c r="X163" s="7">
        <v>7.0</v>
      </c>
    </row>
    <row r="164">
      <c r="B164" s="5" t="str">
        <f t="shared" ref="B164:C164" si="326">H164</f>
        <v>North Lushai (Civil and Military)</v>
      </c>
      <c r="C164" s="5" t="str">
        <f t="shared" si="326"/>
        <v>25–29</v>
      </c>
      <c r="D164" s="5">
        <f t="shared" ref="D164:F164" si="327">J164+P164+V164</f>
        <v>380</v>
      </c>
      <c r="E164" s="5">
        <f t="shared" si="327"/>
        <v>375</v>
      </c>
      <c r="F164" s="5">
        <f t="shared" si="327"/>
        <v>5</v>
      </c>
      <c r="G164" s="5"/>
      <c r="H164" s="5" t="s">
        <v>34</v>
      </c>
      <c r="I164" s="5" t="s">
        <v>15</v>
      </c>
      <c r="J164" s="6">
        <f t="shared" si="5"/>
        <v>375</v>
      </c>
      <c r="K164" s="7">
        <v>375.0</v>
      </c>
      <c r="L164" s="7">
        <v>0.0</v>
      </c>
      <c r="N164" s="5" t="s">
        <v>34</v>
      </c>
      <c r="O164" s="5" t="s">
        <v>15</v>
      </c>
      <c r="P164" s="6">
        <f t="shared" si="6"/>
        <v>0</v>
      </c>
      <c r="Q164" s="7">
        <v>0.0</v>
      </c>
      <c r="R164" s="7">
        <v>0.0</v>
      </c>
      <c r="T164" s="5" t="s">
        <v>34</v>
      </c>
      <c r="U164" s="5" t="s">
        <v>15</v>
      </c>
      <c r="V164" s="6">
        <f t="shared" si="7"/>
        <v>5</v>
      </c>
      <c r="W164" s="7">
        <v>0.0</v>
      </c>
      <c r="X164" s="7">
        <v>5.0</v>
      </c>
    </row>
    <row r="165">
      <c r="B165" s="5" t="str">
        <f t="shared" ref="B165:C165" si="328">H165</f>
        <v>North Lushai (Civil and Military)</v>
      </c>
      <c r="C165" s="5" t="str">
        <f t="shared" si="328"/>
        <v>30–34</v>
      </c>
      <c r="D165" s="5">
        <f t="shared" ref="D165:F165" si="329">J165+P165+V165</f>
        <v>336</v>
      </c>
      <c r="E165" s="5">
        <f t="shared" si="329"/>
        <v>336</v>
      </c>
      <c r="F165" s="5">
        <f t="shared" si="329"/>
        <v>0</v>
      </c>
      <c r="G165" s="5"/>
      <c r="H165" s="5" t="s">
        <v>34</v>
      </c>
      <c r="I165" s="5" t="s">
        <v>16</v>
      </c>
      <c r="J165" s="6">
        <f t="shared" si="5"/>
        <v>97</v>
      </c>
      <c r="K165" s="7">
        <v>97.0</v>
      </c>
      <c r="L165" s="7">
        <v>0.0</v>
      </c>
      <c r="N165" s="5" t="s">
        <v>34</v>
      </c>
      <c r="O165" s="5" t="s">
        <v>16</v>
      </c>
      <c r="P165" s="6">
        <f t="shared" si="6"/>
        <v>225</v>
      </c>
      <c r="Q165" s="7">
        <v>225.0</v>
      </c>
      <c r="R165" s="7">
        <v>0.0</v>
      </c>
      <c r="T165" s="5" t="s">
        <v>34</v>
      </c>
      <c r="U165" s="5" t="s">
        <v>16</v>
      </c>
      <c r="V165" s="6">
        <f t="shared" si="7"/>
        <v>14</v>
      </c>
      <c r="W165" s="7">
        <v>14.0</v>
      </c>
      <c r="X165" s="7">
        <v>0.0</v>
      </c>
    </row>
    <row r="166">
      <c r="B166" s="5" t="str">
        <f t="shared" ref="B166:C166" si="330">H166</f>
        <v>North Lushai (Civil and Military)</v>
      </c>
      <c r="C166" s="5" t="str">
        <f t="shared" si="330"/>
        <v>35–39</v>
      </c>
      <c r="D166" s="5">
        <f t="shared" ref="D166:F166" si="331">J166+P166+V166</f>
        <v>152</v>
      </c>
      <c r="E166" s="5">
        <f t="shared" si="331"/>
        <v>152</v>
      </c>
      <c r="F166" s="5">
        <f t="shared" si="331"/>
        <v>0</v>
      </c>
      <c r="G166" s="5"/>
      <c r="H166" s="5" t="s">
        <v>34</v>
      </c>
      <c r="I166" s="5" t="s">
        <v>17</v>
      </c>
      <c r="J166" s="6">
        <f t="shared" si="5"/>
        <v>18</v>
      </c>
      <c r="K166" s="7">
        <v>18.0</v>
      </c>
      <c r="L166" s="7">
        <v>0.0</v>
      </c>
      <c r="N166" s="5" t="s">
        <v>34</v>
      </c>
      <c r="O166" s="5" t="s">
        <v>17</v>
      </c>
      <c r="P166" s="6">
        <f t="shared" si="6"/>
        <v>134</v>
      </c>
      <c r="Q166" s="7">
        <v>134.0</v>
      </c>
      <c r="R166" s="7">
        <v>0.0</v>
      </c>
      <c r="T166" s="5" t="s">
        <v>34</v>
      </c>
      <c r="U166" s="5" t="s">
        <v>17</v>
      </c>
      <c r="V166" s="6">
        <f t="shared" si="7"/>
        <v>0</v>
      </c>
      <c r="W166" s="7">
        <v>0.0</v>
      </c>
      <c r="X166" s="7">
        <v>0.0</v>
      </c>
    </row>
    <row r="167">
      <c r="B167" s="5" t="str">
        <f t="shared" ref="B167:C167" si="332">H167</f>
        <v>North Lushai (Civil and Military)</v>
      </c>
      <c r="C167" s="5" t="str">
        <f t="shared" si="332"/>
        <v>40–44</v>
      </c>
      <c r="D167" s="5">
        <f t="shared" ref="D167:F167" si="333">J167+P167+V167</f>
        <v>68</v>
      </c>
      <c r="E167" s="5">
        <f t="shared" si="333"/>
        <v>68</v>
      </c>
      <c r="F167" s="5">
        <f t="shared" si="333"/>
        <v>0</v>
      </c>
      <c r="H167" s="5" t="s">
        <v>34</v>
      </c>
      <c r="I167" s="5" t="s">
        <v>18</v>
      </c>
      <c r="J167" s="6">
        <f t="shared" si="5"/>
        <v>0</v>
      </c>
      <c r="K167" s="7">
        <v>0.0</v>
      </c>
      <c r="L167" s="7">
        <v>0.0</v>
      </c>
      <c r="N167" s="5" t="s">
        <v>34</v>
      </c>
      <c r="O167" s="5" t="s">
        <v>18</v>
      </c>
      <c r="P167" s="6">
        <f t="shared" si="6"/>
        <v>68</v>
      </c>
      <c r="Q167" s="7">
        <v>68.0</v>
      </c>
      <c r="R167" s="7">
        <v>0.0</v>
      </c>
      <c r="T167" s="5" t="s">
        <v>34</v>
      </c>
      <c r="U167" s="5" t="s">
        <v>18</v>
      </c>
      <c r="V167" s="6">
        <f t="shared" si="7"/>
        <v>0</v>
      </c>
      <c r="W167" s="7">
        <v>0.0</v>
      </c>
      <c r="X167" s="7">
        <v>0.0</v>
      </c>
    </row>
    <row r="168">
      <c r="B168" s="5" t="str">
        <f t="shared" ref="B168:C168" si="334">H168</f>
        <v>North Lushai (Civil and Military)</v>
      </c>
      <c r="C168" s="5" t="str">
        <f t="shared" si="334"/>
        <v>45–49</v>
      </c>
      <c r="D168" s="5">
        <f t="shared" ref="D168:F168" si="335">J168+P168+V168</f>
        <v>32</v>
      </c>
      <c r="E168" s="5">
        <f t="shared" si="335"/>
        <v>32</v>
      </c>
      <c r="F168" s="5">
        <f t="shared" si="335"/>
        <v>0</v>
      </c>
      <c r="H168" s="5" t="s">
        <v>34</v>
      </c>
      <c r="I168" s="5" t="s">
        <v>19</v>
      </c>
      <c r="J168" s="6">
        <f t="shared" si="5"/>
        <v>1</v>
      </c>
      <c r="K168" s="7">
        <v>1.0</v>
      </c>
      <c r="L168" s="7">
        <v>0.0</v>
      </c>
      <c r="N168" s="5" t="s">
        <v>34</v>
      </c>
      <c r="O168" s="5" t="s">
        <v>19</v>
      </c>
      <c r="P168" s="6">
        <f t="shared" si="6"/>
        <v>31</v>
      </c>
      <c r="Q168" s="7">
        <v>31.0</v>
      </c>
      <c r="R168" s="7">
        <v>0.0</v>
      </c>
      <c r="T168" s="5" t="s">
        <v>34</v>
      </c>
      <c r="U168" s="5" t="s">
        <v>19</v>
      </c>
      <c r="V168" s="6">
        <f t="shared" si="7"/>
        <v>0</v>
      </c>
      <c r="W168" s="7">
        <v>0.0</v>
      </c>
      <c r="X168" s="7">
        <v>0.0</v>
      </c>
    </row>
    <row r="169">
      <c r="B169" s="5" t="str">
        <f t="shared" ref="B169:C169" si="336">H169</f>
        <v>North Lushai (Civil and Military)</v>
      </c>
      <c r="C169" s="5" t="str">
        <f t="shared" si="336"/>
        <v>50–54</v>
      </c>
      <c r="D169" s="5">
        <f t="shared" ref="D169:F169" si="337">J169+P169+V169</f>
        <v>25</v>
      </c>
      <c r="E169" s="5">
        <f t="shared" si="337"/>
        <v>22</v>
      </c>
      <c r="F169" s="5">
        <f t="shared" si="337"/>
        <v>3</v>
      </c>
      <c r="H169" s="5" t="s">
        <v>34</v>
      </c>
      <c r="I169" s="5" t="s">
        <v>20</v>
      </c>
      <c r="J169" s="6">
        <f t="shared" si="5"/>
        <v>0</v>
      </c>
      <c r="K169" s="7">
        <v>0.0</v>
      </c>
      <c r="L169" s="7">
        <v>0.0</v>
      </c>
      <c r="N169" s="5" t="s">
        <v>34</v>
      </c>
      <c r="O169" s="5" t="s">
        <v>20</v>
      </c>
      <c r="P169" s="6">
        <f t="shared" si="6"/>
        <v>25</v>
      </c>
      <c r="Q169" s="7">
        <v>22.0</v>
      </c>
      <c r="R169" s="7">
        <v>3.0</v>
      </c>
      <c r="T169" s="5" t="s">
        <v>34</v>
      </c>
      <c r="U169" s="5" t="s">
        <v>20</v>
      </c>
      <c r="V169" s="6">
        <f t="shared" si="7"/>
        <v>0</v>
      </c>
      <c r="W169" s="7">
        <v>0.0</v>
      </c>
      <c r="X169" s="7">
        <v>0.0</v>
      </c>
    </row>
    <row r="170">
      <c r="B170" s="5" t="str">
        <f t="shared" ref="B170:C170" si="338">H170</f>
        <v>North Lushai (Civil and Military)</v>
      </c>
      <c r="C170" s="5" t="str">
        <f t="shared" si="338"/>
        <v>55–59</v>
      </c>
      <c r="D170" s="5">
        <f t="shared" ref="D170:F170" si="339">J170+P170+V170</f>
        <v>0</v>
      </c>
      <c r="E170" s="5">
        <f t="shared" si="339"/>
        <v>0</v>
      </c>
      <c r="F170" s="5">
        <f t="shared" si="339"/>
        <v>0</v>
      </c>
      <c r="H170" s="5" t="s">
        <v>34</v>
      </c>
      <c r="I170" s="5" t="s">
        <v>21</v>
      </c>
      <c r="J170" s="6">
        <f t="shared" si="5"/>
        <v>0</v>
      </c>
      <c r="K170" s="7">
        <v>0.0</v>
      </c>
      <c r="L170" s="7">
        <v>0.0</v>
      </c>
      <c r="N170" s="5" t="s">
        <v>34</v>
      </c>
      <c r="O170" s="5" t="s">
        <v>21</v>
      </c>
      <c r="P170" s="6">
        <f t="shared" si="6"/>
        <v>0</v>
      </c>
      <c r="Q170" s="7">
        <v>0.0</v>
      </c>
      <c r="R170" s="7">
        <v>0.0</v>
      </c>
      <c r="T170" s="5" t="s">
        <v>34</v>
      </c>
      <c r="U170" s="5" t="s">
        <v>21</v>
      </c>
      <c r="V170" s="6">
        <f t="shared" si="7"/>
        <v>0</v>
      </c>
      <c r="W170" s="7">
        <v>0.0</v>
      </c>
      <c r="X170" s="7">
        <v>0.0</v>
      </c>
    </row>
    <row r="171">
      <c r="B171" s="5" t="str">
        <f t="shared" ref="B171:C171" si="340">H171</f>
        <v>North Lushai (Civil and Military)</v>
      </c>
      <c r="C171" s="5" t="str">
        <f t="shared" si="340"/>
        <v>60 and over</v>
      </c>
      <c r="D171" s="5">
        <f t="shared" ref="D171:F171" si="341">J171+P171+V171</f>
        <v>1</v>
      </c>
      <c r="E171" s="5">
        <f t="shared" si="341"/>
        <v>1</v>
      </c>
      <c r="F171" s="5">
        <f t="shared" si="341"/>
        <v>0</v>
      </c>
      <c r="H171" s="5" t="s">
        <v>34</v>
      </c>
      <c r="I171" s="5" t="s">
        <v>22</v>
      </c>
      <c r="J171" s="6">
        <f t="shared" si="5"/>
        <v>1</v>
      </c>
      <c r="K171" s="7">
        <v>1.0</v>
      </c>
      <c r="L171" s="7">
        <v>0.0</v>
      </c>
      <c r="N171" s="5" t="s">
        <v>34</v>
      </c>
      <c r="O171" s="5" t="s">
        <v>22</v>
      </c>
      <c r="P171" s="6">
        <f t="shared" si="6"/>
        <v>0</v>
      </c>
      <c r="Q171" s="7">
        <v>0.0</v>
      </c>
      <c r="R171" s="7">
        <v>0.0</v>
      </c>
      <c r="T171" s="5" t="s">
        <v>34</v>
      </c>
      <c r="U171" s="5" t="s">
        <v>22</v>
      </c>
      <c r="V171" s="6">
        <f t="shared" si="7"/>
        <v>0</v>
      </c>
      <c r="W171" s="7">
        <v>0.0</v>
      </c>
      <c r="X171" s="7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</cols>
  <sheetData>
    <row r="2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</row>
    <row r="3">
      <c r="B3" s="1" t="s">
        <v>9</v>
      </c>
      <c r="C3" s="5" t="s">
        <v>35</v>
      </c>
      <c r="D3" s="7">
        <v>58135.0</v>
      </c>
      <c r="E3" s="7">
        <v>29065.0</v>
      </c>
      <c r="F3" s="7">
        <v>29070.0</v>
      </c>
    </row>
    <row r="4">
      <c r="B4" s="1" t="s">
        <v>9</v>
      </c>
      <c r="C4" s="5" t="s">
        <v>36</v>
      </c>
      <c r="D4" s="7">
        <v>62158.0</v>
      </c>
      <c r="E4" s="7">
        <v>31592.0</v>
      </c>
      <c r="F4" s="7">
        <v>30566.0</v>
      </c>
    </row>
    <row r="5">
      <c r="B5" s="1" t="s">
        <v>9</v>
      </c>
      <c r="C5" s="5" t="s">
        <v>37</v>
      </c>
      <c r="D5" s="7">
        <v>46033.0</v>
      </c>
      <c r="E5" s="7">
        <v>25637.0</v>
      </c>
      <c r="F5" s="7">
        <v>20396.0</v>
      </c>
    </row>
    <row r="6">
      <c r="B6" s="1" t="s">
        <v>9</v>
      </c>
      <c r="C6" s="5" t="s">
        <v>38</v>
      </c>
      <c r="D6" s="7">
        <v>35235.0</v>
      </c>
      <c r="E6" s="7">
        <v>16565.0</v>
      </c>
      <c r="F6" s="7">
        <v>18670.0</v>
      </c>
    </row>
    <row r="7">
      <c r="B7" s="1" t="s">
        <v>9</v>
      </c>
      <c r="C7" s="5" t="s">
        <v>39</v>
      </c>
      <c r="D7" s="7">
        <v>143562.0</v>
      </c>
      <c r="E7" s="7">
        <v>75219.0</v>
      </c>
      <c r="F7" s="7">
        <v>68343.0</v>
      </c>
    </row>
    <row r="8">
      <c r="B8" s="1" t="s">
        <v>9</v>
      </c>
      <c r="C8" s="5" t="s">
        <v>40</v>
      </c>
      <c r="D8" s="7">
        <v>54782.0</v>
      </c>
      <c r="E8" s="7">
        <v>30768.0</v>
      </c>
      <c r="F8" s="7">
        <v>24014.0</v>
      </c>
    </row>
    <row r="9">
      <c r="B9" s="1" t="s">
        <v>9</v>
      </c>
      <c r="C9" s="5" t="s">
        <v>22</v>
      </c>
      <c r="D9" s="7">
        <v>14876.0</v>
      </c>
      <c r="E9" s="7">
        <v>7960.0</v>
      </c>
      <c r="F9" s="7">
        <v>6916.0</v>
      </c>
    </row>
    <row r="10">
      <c r="B10" s="1" t="s">
        <v>9</v>
      </c>
      <c r="C10" s="5" t="s">
        <v>0</v>
      </c>
      <c r="D10" s="7">
        <f t="shared" ref="D10:F10" si="1">SUM(D3:D9)</f>
        <v>414781</v>
      </c>
      <c r="E10" s="7">
        <f t="shared" si="1"/>
        <v>216806</v>
      </c>
      <c r="F10" s="7">
        <f t="shared" si="1"/>
        <v>197975</v>
      </c>
    </row>
    <row r="11">
      <c r="B11" s="1" t="s">
        <v>23</v>
      </c>
      <c r="C11" s="5" t="s">
        <v>35</v>
      </c>
      <c r="D11" s="7">
        <v>317623.0</v>
      </c>
      <c r="E11" s="7">
        <v>155085.0</v>
      </c>
      <c r="F11" s="7">
        <v>162538.0</v>
      </c>
    </row>
    <row r="12">
      <c r="B12" s="1" t="s">
        <v>23</v>
      </c>
      <c r="C12" s="5" t="s">
        <v>36</v>
      </c>
      <c r="D12" s="7">
        <v>363476.0</v>
      </c>
      <c r="E12" s="7">
        <v>181294.0</v>
      </c>
      <c r="F12" s="7">
        <v>183182.0</v>
      </c>
    </row>
    <row r="13">
      <c r="B13" s="1" t="s">
        <v>23</v>
      </c>
      <c r="C13" s="5" t="s">
        <v>37</v>
      </c>
      <c r="D13" s="7">
        <v>253922.0</v>
      </c>
      <c r="E13" s="7">
        <v>143375.0</v>
      </c>
      <c r="F13" s="7">
        <v>110547.0</v>
      </c>
    </row>
    <row r="14">
      <c r="B14" s="1" t="s">
        <v>23</v>
      </c>
      <c r="C14" s="5" t="s">
        <v>38</v>
      </c>
      <c r="D14" s="7">
        <v>202449.0</v>
      </c>
      <c r="E14" s="7">
        <v>93613.0</v>
      </c>
      <c r="F14" s="7">
        <v>108836.0</v>
      </c>
    </row>
    <row r="15">
      <c r="B15" s="1" t="s">
        <v>23</v>
      </c>
      <c r="C15" s="5" t="s">
        <v>39</v>
      </c>
      <c r="D15" s="7">
        <v>720628.0</v>
      </c>
      <c r="E15" s="7">
        <v>363982.0</v>
      </c>
      <c r="F15" s="7">
        <v>356646.0</v>
      </c>
    </row>
    <row r="16">
      <c r="B16" s="1" t="s">
        <v>23</v>
      </c>
      <c r="C16" s="5" t="s">
        <v>40</v>
      </c>
      <c r="D16" s="7">
        <v>287656.0</v>
      </c>
      <c r="E16" s="7">
        <v>155113.0</v>
      </c>
      <c r="F16" s="7">
        <v>132543.0</v>
      </c>
    </row>
    <row r="17">
      <c r="B17" s="1" t="s">
        <v>23</v>
      </c>
      <c r="C17" s="5" t="s">
        <v>22</v>
      </c>
      <c r="D17" s="7">
        <v>96094.0</v>
      </c>
      <c r="E17" s="7">
        <v>48598.0</v>
      </c>
      <c r="F17" s="7">
        <v>47496.0</v>
      </c>
    </row>
    <row r="18">
      <c r="B18" s="1" t="s">
        <v>23</v>
      </c>
      <c r="C18" s="5" t="s">
        <v>0</v>
      </c>
      <c r="D18" s="7">
        <f t="shared" ref="D18:F18" si="2">SUM(D11:D17)</f>
        <v>2241848</v>
      </c>
      <c r="E18" s="7">
        <f t="shared" si="2"/>
        <v>1141060</v>
      </c>
      <c r="F18" s="7">
        <f t="shared" si="2"/>
        <v>1101788</v>
      </c>
    </row>
    <row r="19">
      <c r="B19" s="1" t="s">
        <v>24</v>
      </c>
      <c r="C19" s="5" t="s">
        <v>35</v>
      </c>
      <c r="D19" s="7">
        <v>74850.0</v>
      </c>
      <c r="E19" s="7">
        <v>36391.0</v>
      </c>
      <c r="F19" s="7">
        <v>38459.0</v>
      </c>
    </row>
    <row r="20">
      <c r="B20" s="1" t="s">
        <v>24</v>
      </c>
      <c r="C20" s="5" t="s">
        <v>36</v>
      </c>
      <c r="D20" s="7">
        <v>77988.0</v>
      </c>
      <c r="E20" s="7">
        <v>40034.0</v>
      </c>
      <c r="F20" s="7">
        <v>37954.0</v>
      </c>
    </row>
    <row r="21">
      <c r="B21" s="1" t="s">
        <v>24</v>
      </c>
      <c r="C21" s="5" t="s">
        <v>37</v>
      </c>
      <c r="D21" s="7">
        <v>44897.0</v>
      </c>
      <c r="E21" s="7">
        <v>24948.0</v>
      </c>
      <c r="F21" s="7">
        <v>19949.0</v>
      </c>
    </row>
    <row r="22">
      <c r="B22" s="1" t="s">
        <v>24</v>
      </c>
      <c r="C22" s="5" t="s">
        <v>38</v>
      </c>
      <c r="D22" s="7">
        <v>38025.0</v>
      </c>
      <c r="E22" s="7">
        <v>18128.0</v>
      </c>
      <c r="F22" s="7">
        <v>19897.0</v>
      </c>
    </row>
    <row r="23">
      <c r="B23" s="1" t="s">
        <v>24</v>
      </c>
      <c r="C23" s="5" t="s">
        <v>39</v>
      </c>
      <c r="D23" s="7">
        <v>141468.0</v>
      </c>
      <c r="E23" s="7">
        <v>75875.0</v>
      </c>
      <c r="F23" s="7">
        <v>65593.0</v>
      </c>
    </row>
    <row r="24">
      <c r="B24" s="1" t="s">
        <v>24</v>
      </c>
      <c r="C24" s="5" t="s">
        <v>40</v>
      </c>
      <c r="D24" s="7">
        <v>62557.0</v>
      </c>
      <c r="E24" s="7">
        <v>36249.0</v>
      </c>
      <c r="F24" s="7">
        <v>26308.0</v>
      </c>
    </row>
    <row r="25">
      <c r="B25" s="1" t="s">
        <v>24</v>
      </c>
      <c r="C25" s="5" t="s">
        <v>22</v>
      </c>
      <c r="D25" s="7">
        <v>22267.0</v>
      </c>
      <c r="E25" s="7">
        <v>11060.0</v>
      </c>
      <c r="F25" s="7">
        <v>11207.0</v>
      </c>
    </row>
    <row r="26">
      <c r="B26" s="1" t="s">
        <v>24</v>
      </c>
      <c r="C26" s="1" t="s">
        <v>0</v>
      </c>
      <c r="D26" s="7">
        <f t="shared" ref="D26:F26" si="3">SUM(D19:D25)</f>
        <v>462052</v>
      </c>
      <c r="E26" s="7">
        <f t="shared" si="3"/>
        <v>242685</v>
      </c>
      <c r="F26" s="7">
        <f t="shared" si="3"/>
        <v>219367</v>
      </c>
    </row>
    <row r="27">
      <c r="B27" s="1" t="s">
        <v>25</v>
      </c>
      <c r="C27" s="5" t="s">
        <v>35</v>
      </c>
      <c r="D27" s="7">
        <v>100959.0</v>
      </c>
      <c r="E27" s="7">
        <v>49453.0</v>
      </c>
      <c r="F27" s="7">
        <v>51506.0</v>
      </c>
    </row>
    <row r="28">
      <c r="B28" s="1" t="s">
        <v>25</v>
      </c>
      <c r="C28" s="5" t="s">
        <v>36</v>
      </c>
      <c r="D28" s="7">
        <v>97031.0</v>
      </c>
      <c r="E28" s="7">
        <v>49666.0</v>
      </c>
      <c r="F28" s="7">
        <v>47365.0</v>
      </c>
    </row>
    <row r="29">
      <c r="B29" s="1" t="s">
        <v>25</v>
      </c>
      <c r="C29" s="5" t="s">
        <v>37</v>
      </c>
      <c r="D29" s="7">
        <v>60372.0</v>
      </c>
      <c r="E29" s="7">
        <v>33346.0</v>
      </c>
      <c r="F29" s="7">
        <v>27026.0</v>
      </c>
    </row>
    <row r="30">
      <c r="B30" s="1" t="s">
        <v>25</v>
      </c>
      <c r="C30" s="5" t="s">
        <v>38</v>
      </c>
      <c r="D30" s="7">
        <v>41021.0</v>
      </c>
      <c r="E30" s="7">
        <v>19751.0</v>
      </c>
      <c r="F30" s="7">
        <v>21270.0</v>
      </c>
    </row>
    <row r="31">
      <c r="B31" s="1" t="s">
        <v>25</v>
      </c>
      <c r="C31" s="5" t="s">
        <v>39</v>
      </c>
      <c r="D31" s="7">
        <v>179676.0</v>
      </c>
      <c r="E31" s="7">
        <v>84975.0</v>
      </c>
      <c r="F31" s="7">
        <v>94701.0</v>
      </c>
    </row>
    <row r="32">
      <c r="B32" s="1" t="s">
        <v>25</v>
      </c>
      <c r="C32" s="5" t="s">
        <v>40</v>
      </c>
      <c r="D32" s="7">
        <v>87427.0</v>
      </c>
      <c r="E32" s="7">
        <v>45413.0</v>
      </c>
      <c r="F32" s="7">
        <v>42014.0</v>
      </c>
    </row>
    <row r="33">
      <c r="B33" s="1" t="s">
        <v>25</v>
      </c>
      <c r="C33" s="5" t="s">
        <v>22</v>
      </c>
      <c r="D33" s="7">
        <v>22701.0</v>
      </c>
      <c r="E33" s="7">
        <v>10265.0</v>
      </c>
      <c r="F33" s="7">
        <v>12436.0</v>
      </c>
    </row>
    <row r="34">
      <c r="B34" s="1" t="s">
        <v>25</v>
      </c>
      <c r="C34" s="1" t="s">
        <v>0</v>
      </c>
      <c r="D34" s="7">
        <f t="shared" ref="D34:F34" si="4">SUM(D27:D33)</f>
        <v>589187</v>
      </c>
      <c r="E34" s="7">
        <f t="shared" si="4"/>
        <v>292869</v>
      </c>
      <c r="F34" s="7">
        <f t="shared" si="4"/>
        <v>296318</v>
      </c>
    </row>
    <row r="35">
      <c r="B35" s="1" t="s">
        <v>26</v>
      </c>
      <c r="C35" s="5" t="s">
        <v>35</v>
      </c>
      <c r="D35" s="7">
        <v>49128.0</v>
      </c>
      <c r="E35" s="7">
        <v>24463.0</v>
      </c>
      <c r="F35" s="7">
        <v>24665.0</v>
      </c>
    </row>
    <row r="36">
      <c r="B36" s="1" t="s">
        <v>26</v>
      </c>
      <c r="C36" s="5" t="s">
        <v>36</v>
      </c>
      <c r="D36" s="7">
        <v>49425.0</v>
      </c>
      <c r="E36" s="7">
        <v>25158.0</v>
      </c>
      <c r="F36" s="7">
        <v>24267.0</v>
      </c>
    </row>
    <row r="37">
      <c r="B37" s="1" t="s">
        <v>26</v>
      </c>
      <c r="C37" s="5" t="s">
        <v>37</v>
      </c>
      <c r="D37" s="7">
        <v>32313.0</v>
      </c>
      <c r="E37" s="7">
        <v>17563.0</v>
      </c>
      <c r="F37" s="7">
        <v>14750.0</v>
      </c>
    </row>
    <row r="38">
      <c r="B38" s="1" t="s">
        <v>26</v>
      </c>
      <c r="C38" s="5" t="s">
        <v>38</v>
      </c>
      <c r="D38" s="7">
        <v>21670.0</v>
      </c>
      <c r="E38" s="7">
        <v>10852.0</v>
      </c>
      <c r="F38" s="7">
        <v>10818.0</v>
      </c>
    </row>
    <row r="39">
      <c r="B39" s="1" t="s">
        <v>26</v>
      </c>
      <c r="C39" s="5" t="s">
        <v>39</v>
      </c>
      <c r="D39" s="7">
        <v>124831.0</v>
      </c>
      <c r="E39" s="7">
        <v>64434.0</v>
      </c>
      <c r="F39" s="7">
        <v>60397.0</v>
      </c>
    </row>
    <row r="40">
      <c r="B40" s="1" t="s">
        <v>26</v>
      </c>
      <c r="C40" s="5" t="s">
        <v>40</v>
      </c>
      <c r="D40" s="7">
        <v>50964.0</v>
      </c>
      <c r="E40" s="7">
        <v>28947.0</v>
      </c>
      <c r="F40" s="7">
        <v>22017.0</v>
      </c>
    </row>
    <row r="41">
      <c r="B41" s="1" t="s">
        <v>26</v>
      </c>
      <c r="C41" s="5" t="s">
        <v>22</v>
      </c>
      <c r="D41" s="7">
        <v>8982.0</v>
      </c>
      <c r="E41" s="7">
        <v>4613.0</v>
      </c>
      <c r="F41" s="7">
        <v>4369.0</v>
      </c>
    </row>
    <row r="42">
      <c r="B42" s="1" t="s">
        <v>26</v>
      </c>
      <c r="C42" s="1" t="s">
        <v>0</v>
      </c>
      <c r="D42" s="7">
        <f t="shared" ref="D42:F42" si="5">SUM(D35:D41)</f>
        <v>337313</v>
      </c>
      <c r="E42" s="7">
        <f t="shared" si="5"/>
        <v>176030</v>
      </c>
      <c r="F42" s="7">
        <f t="shared" si="5"/>
        <v>161283</v>
      </c>
    </row>
    <row r="43">
      <c r="B43" s="1" t="s">
        <v>27</v>
      </c>
      <c r="C43" s="5" t="s">
        <v>35</v>
      </c>
      <c r="D43" s="7">
        <v>41962.0</v>
      </c>
      <c r="E43" s="7">
        <v>20590.0</v>
      </c>
      <c r="F43" s="7">
        <v>21372.0</v>
      </c>
    </row>
    <row r="44">
      <c r="B44" s="1" t="s">
        <v>27</v>
      </c>
      <c r="C44" s="5" t="s">
        <v>36</v>
      </c>
      <c r="D44" s="7">
        <v>39657.0</v>
      </c>
      <c r="E44" s="7">
        <v>19875.0</v>
      </c>
      <c r="F44" s="7">
        <v>19782.0</v>
      </c>
    </row>
    <row r="45">
      <c r="B45" s="1" t="s">
        <v>27</v>
      </c>
      <c r="C45" s="5" t="s">
        <v>37</v>
      </c>
      <c r="D45" s="7">
        <v>24774.0</v>
      </c>
      <c r="E45" s="7">
        <v>14025.0</v>
      </c>
      <c r="F45" s="7">
        <v>10749.0</v>
      </c>
    </row>
    <row r="46">
      <c r="B46" s="1" t="s">
        <v>27</v>
      </c>
      <c r="C46" s="5" t="s">
        <v>38</v>
      </c>
      <c r="D46" s="7">
        <v>18807.0</v>
      </c>
      <c r="E46" s="7">
        <v>9016.0</v>
      </c>
      <c r="F46" s="7">
        <v>9791.0</v>
      </c>
    </row>
    <row r="47">
      <c r="B47" s="1" t="s">
        <v>27</v>
      </c>
      <c r="C47" s="5" t="s">
        <v>39</v>
      </c>
      <c r="D47" s="7">
        <v>86934.0</v>
      </c>
      <c r="E47" s="7">
        <v>43978.0</v>
      </c>
      <c r="F47" s="7">
        <v>42956.0</v>
      </c>
    </row>
    <row r="48">
      <c r="B48" s="1" t="s">
        <v>27</v>
      </c>
      <c r="C48" s="5" t="s">
        <v>40</v>
      </c>
      <c r="D48" s="7">
        <v>39518.0</v>
      </c>
      <c r="E48" s="7">
        <v>21416.0</v>
      </c>
      <c r="F48" s="7">
        <v>18102.0</v>
      </c>
    </row>
    <row r="49">
      <c r="B49" s="1" t="s">
        <v>27</v>
      </c>
      <c r="C49" s="5" t="s">
        <v>22</v>
      </c>
      <c r="D49" s="7">
        <v>9508.0</v>
      </c>
      <c r="E49" s="7">
        <v>4095.0</v>
      </c>
      <c r="F49" s="7">
        <v>5413.0</v>
      </c>
    </row>
    <row r="50">
      <c r="B50" s="1" t="s">
        <v>27</v>
      </c>
      <c r="C50" s="1" t="s">
        <v>0</v>
      </c>
      <c r="D50" s="7">
        <f t="shared" ref="D50:F50" si="6">SUM(D43:D49)</f>
        <v>261160</v>
      </c>
      <c r="E50" s="7">
        <f t="shared" si="6"/>
        <v>132995</v>
      </c>
      <c r="F50" s="7">
        <f t="shared" si="6"/>
        <v>128165</v>
      </c>
    </row>
    <row r="51">
      <c r="B51" s="1" t="s">
        <v>28</v>
      </c>
      <c r="C51" s="5" t="s">
        <v>35</v>
      </c>
      <c r="D51" s="7">
        <v>88670.0</v>
      </c>
      <c r="E51" s="7">
        <v>43442.0</v>
      </c>
      <c r="F51" s="7">
        <v>45228.0</v>
      </c>
    </row>
    <row r="52">
      <c r="B52" s="1" t="s">
        <v>28</v>
      </c>
      <c r="C52" s="5" t="s">
        <v>36</v>
      </c>
      <c r="D52" s="7">
        <v>85566.0</v>
      </c>
      <c r="E52" s="7">
        <v>43522.0</v>
      </c>
      <c r="F52" s="7">
        <v>42044.0</v>
      </c>
    </row>
    <row r="53">
      <c r="B53" s="1" t="s">
        <v>28</v>
      </c>
      <c r="C53" s="5" t="s">
        <v>37</v>
      </c>
      <c r="D53" s="7">
        <v>62351.0</v>
      </c>
      <c r="E53" s="7">
        <v>34036.0</v>
      </c>
      <c r="F53" s="7">
        <v>28315.0</v>
      </c>
    </row>
    <row r="54">
      <c r="B54" s="1" t="s">
        <v>28</v>
      </c>
      <c r="C54" s="5" t="s">
        <v>38</v>
      </c>
      <c r="D54" s="7">
        <v>45064.0</v>
      </c>
      <c r="E54" s="7">
        <v>23295.0</v>
      </c>
      <c r="F54" s="7">
        <v>21769.0</v>
      </c>
    </row>
    <row r="55">
      <c r="B55" s="1" t="s">
        <v>28</v>
      </c>
      <c r="C55" s="5" t="s">
        <v>39</v>
      </c>
      <c r="D55" s="7">
        <v>213970.0</v>
      </c>
      <c r="E55" s="7">
        <v>113759.0</v>
      </c>
      <c r="F55" s="7">
        <v>100211.0</v>
      </c>
    </row>
    <row r="56">
      <c r="B56" s="1" t="s">
        <v>28</v>
      </c>
      <c r="C56" s="5" t="s">
        <v>40</v>
      </c>
      <c r="D56" s="7">
        <v>84372.0</v>
      </c>
      <c r="E56" s="7">
        <v>48774.0</v>
      </c>
      <c r="F56" s="7">
        <v>35598.0</v>
      </c>
    </row>
    <row r="57">
      <c r="B57" s="1" t="s">
        <v>28</v>
      </c>
      <c r="C57" s="5" t="s">
        <v>22</v>
      </c>
      <c r="D57" s="7">
        <v>17976.0</v>
      </c>
      <c r="E57" s="7">
        <v>10157.0</v>
      </c>
      <c r="F57" s="7">
        <v>7819.0</v>
      </c>
    </row>
    <row r="58">
      <c r="B58" s="1" t="s">
        <v>28</v>
      </c>
      <c r="C58" s="1" t="s">
        <v>0</v>
      </c>
      <c r="D58" s="7">
        <f t="shared" ref="D58:F58" si="7">SUM(D51:D57)</f>
        <v>597969</v>
      </c>
      <c r="E58" s="7">
        <f t="shared" si="7"/>
        <v>316985</v>
      </c>
      <c r="F58" s="7">
        <f t="shared" si="7"/>
        <v>280984</v>
      </c>
    </row>
    <row r="59">
      <c r="B59" s="1" t="s">
        <v>29</v>
      </c>
      <c r="C59" s="5" t="s">
        <v>35</v>
      </c>
      <c r="D59" s="7">
        <v>54737.0</v>
      </c>
      <c r="E59" s="7">
        <v>26484.0</v>
      </c>
      <c r="F59" s="7">
        <v>28253.0</v>
      </c>
    </row>
    <row r="60">
      <c r="B60" s="1" t="s">
        <v>29</v>
      </c>
      <c r="C60" s="5" t="s">
        <v>36</v>
      </c>
      <c r="D60" s="7">
        <v>48857.0</v>
      </c>
      <c r="E60" s="7">
        <v>25142.0</v>
      </c>
      <c r="F60" s="7">
        <v>23715.0</v>
      </c>
    </row>
    <row r="61">
      <c r="B61" s="1" t="s">
        <v>29</v>
      </c>
      <c r="C61" s="5" t="s">
        <v>37</v>
      </c>
      <c r="D61" s="7">
        <v>33741.0</v>
      </c>
      <c r="E61" s="7">
        <v>18353.0</v>
      </c>
      <c r="F61" s="7">
        <v>15388.0</v>
      </c>
    </row>
    <row r="62">
      <c r="B62" s="1" t="s">
        <v>29</v>
      </c>
      <c r="C62" s="5" t="s">
        <v>38</v>
      </c>
      <c r="D62" s="7">
        <v>35921.0</v>
      </c>
      <c r="E62" s="7">
        <v>12408.0</v>
      </c>
      <c r="F62" s="7">
        <v>13513.0</v>
      </c>
    </row>
    <row r="63">
      <c r="B63" s="1" t="s">
        <v>29</v>
      </c>
      <c r="C63" s="5" t="s">
        <v>39</v>
      </c>
      <c r="D63" s="7">
        <v>150828.0</v>
      </c>
      <c r="E63" s="7">
        <v>82621.0</v>
      </c>
      <c r="F63" s="7">
        <v>68207.0</v>
      </c>
    </row>
    <row r="64">
      <c r="B64" s="1" t="s">
        <v>29</v>
      </c>
      <c r="C64" s="5" t="s">
        <v>40</v>
      </c>
      <c r="D64" s="7">
        <v>49033.0</v>
      </c>
      <c r="E64" s="7">
        <v>29750.0</v>
      </c>
      <c r="F64" s="7">
        <v>19283.0</v>
      </c>
    </row>
    <row r="65">
      <c r="B65" s="1" t="s">
        <v>29</v>
      </c>
      <c r="C65" s="5" t="s">
        <v>22</v>
      </c>
      <c r="D65" s="7">
        <v>8279.0</v>
      </c>
      <c r="E65" s="7">
        <v>4601.0</v>
      </c>
      <c r="F65" s="7">
        <v>3678.0</v>
      </c>
    </row>
    <row r="66">
      <c r="B66" s="1" t="s">
        <v>29</v>
      </c>
      <c r="C66" s="1" t="s">
        <v>0</v>
      </c>
      <c r="D66" s="7">
        <f t="shared" ref="D66:F66" si="8">SUM(D59:D65)</f>
        <v>381396</v>
      </c>
      <c r="E66" s="7">
        <f t="shared" si="8"/>
        <v>199359</v>
      </c>
      <c r="F66" s="7">
        <f t="shared" si="8"/>
        <v>172037</v>
      </c>
    </row>
    <row r="67">
      <c r="B67" s="1" t="s">
        <v>41</v>
      </c>
      <c r="C67" s="5" t="s">
        <v>35</v>
      </c>
      <c r="D67" s="7">
        <v>12821.0</v>
      </c>
      <c r="E67" s="7">
        <v>6148.0</v>
      </c>
      <c r="F67" s="7">
        <v>6673.0</v>
      </c>
    </row>
    <row r="68">
      <c r="B68" s="1" t="s">
        <v>41</v>
      </c>
      <c r="C68" s="5" t="s">
        <v>36</v>
      </c>
      <c r="D68" s="7">
        <v>10479.0</v>
      </c>
      <c r="E68" s="7">
        <v>4947.0</v>
      </c>
      <c r="F68" s="7">
        <v>5532.0</v>
      </c>
    </row>
    <row r="69">
      <c r="B69" s="1" t="s">
        <v>41</v>
      </c>
      <c r="C69" s="5" t="s">
        <v>37</v>
      </c>
      <c r="D69" s="7">
        <v>8125.0</v>
      </c>
      <c r="E69" s="7">
        <v>3961.0</v>
      </c>
      <c r="F69" s="7">
        <v>4164.0</v>
      </c>
    </row>
    <row r="70">
      <c r="B70" s="1" t="s">
        <v>41</v>
      </c>
      <c r="C70" s="5" t="s">
        <v>38</v>
      </c>
      <c r="D70" s="7">
        <v>7492.0</v>
      </c>
      <c r="E70" s="7">
        <v>3354.0</v>
      </c>
      <c r="F70" s="7">
        <v>4138.0</v>
      </c>
    </row>
    <row r="71">
      <c r="B71" s="1" t="s">
        <v>41</v>
      </c>
      <c r="C71" s="5" t="s">
        <v>39</v>
      </c>
      <c r="D71" s="7">
        <v>26968.0</v>
      </c>
      <c r="E71" s="7">
        <v>12861.0</v>
      </c>
      <c r="F71" s="7">
        <v>14107.0</v>
      </c>
    </row>
    <row r="72">
      <c r="B72" s="1" t="s">
        <v>41</v>
      </c>
      <c r="C72" s="5" t="s">
        <v>40</v>
      </c>
      <c r="D72" s="7">
        <v>12446.0</v>
      </c>
      <c r="E72" s="7">
        <v>6022.0</v>
      </c>
      <c r="F72" s="7">
        <v>6424.0</v>
      </c>
    </row>
    <row r="73">
      <c r="B73" s="1" t="s">
        <v>41</v>
      </c>
      <c r="C73" s="5" t="s">
        <v>22</v>
      </c>
      <c r="D73" s="7">
        <v>4103.0</v>
      </c>
      <c r="E73" s="7">
        <v>1711.0</v>
      </c>
      <c r="F73" s="7">
        <v>2392.0</v>
      </c>
    </row>
    <row r="74">
      <c r="B74" s="1" t="s">
        <v>41</v>
      </c>
      <c r="C74" s="1" t="s">
        <v>0</v>
      </c>
      <c r="D74" s="7">
        <f t="shared" ref="D74:F74" si="9">SUM(D67:D73)</f>
        <v>82434</v>
      </c>
      <c r="E74" s="7">
        <f t="shared" si="9"/>
        <v>39004</v>
      </c>
      <c r="F74" s="7">
        <f t="shared" si="9"/>
        <v>43430</v>
      </c>
    </row>
    <row r="75">
      <c r="B75" s="1" t="s">
        <v>30</v>
      </c>
      <c r="C75" s="5" t="s">
        <v>35</v>
      </c>
      <c r="D75" s="7">
        <v>3889.0</v>
      </c>
      <c r="E75" s="7">
        <v>1907.0</v>
      </c>
      <c r="F75" s="7">
        <v>1982.0</v>
      </c>
    </row>
    <row r="76">
      <c r="B76" s="1" t="s">
        <v>30</v>
      </c>
      <c r="C76" s="5" t="s">
        <v>36</v>
      </c>
      <c r="D76" s="7">
        <v>3398.0</v>
      </c>
      <c r="E76" s="7">
        <v>1780.0</v>
      </c>
      <c r="F76" s="7">
        <v>1618.0</v>
      </c>
    </row>
    <row r="77">
      <c r="B77" s="1" t="s">
        <v>30</v>
      </c>
      <c r="C77" s="5" t="s">
        <v>37</v>
      </c>
      <c r="D77" s="7">
        <v>2923.0</v>
      </c>
      <c r="E77" s="7">
        <v>1662.0</v>
      </c>
      <c r="F77" s="7">
        <v>1261.0</v>
      </c>
    </row>
    <row r="78">
      <c r="B78" s="1" t="s">
        <v>30</v>
      </c>
      <c r="C78" s="5" t="s">
        <v>38</v>
      </c>
      <c r="D78" s="7">
        <v>3556.0</v>
      </c>
      <c r="E78" s="7">
        <v>2035.0</v>
      </c>
      <c r="F78" s="7">
        <v>1521.0</v>
      </c>
    </row>
    <row r="79">
      <c r="B79" s="1" t="s">
        <v>30</v>
      </c>
      <c r="C79" s="5" t="s">
        <v>39</v>
      </c>
      <c r="D79" s="7">
        <v>20528.0</v>
      </c>
      <c r="E79" s="7">
        <v>15446.0</v>
      </c>
      <c r="F79" s="7">
        <v>5082.0</v>
      </c>
    </row>
    <row r="80">
      <c r="B80" s="1" t="s">
        <v>30</v>
      </c>
      <c r="C80" s="5" t="s">
        <v>40</v>
      </c>
      <c r="D80" s="7">
        <v>5490.0</v>
      </c>
      <c r="E80" s="7">
        <v>3924.0</v>
      </c>
      <c r="F80" s="7">
        <v>1566.0</v>
      </c>
    </row>
    <row r="81">
      <c r="B81" s="1" t="s">
        <v>30</v>
      </c>
      <c r="C81" s="5" t="s">
        <v>22</v>
      </c>
      <c r="D81" s="7">
        <v>1028.0</v>
      </c>
      <c r="E81" s="7">
        <v>601.0</v>
      </c>
      <c r="F81" s="7">
        <v>427.0</v>
      </c>
    </row>
    <row r="82">
      <c r="B82" s="1" t="s">
        <v>30</v>
      </c>
      <c r="C82" s="1" t="s">
        <v>0</v>
      </c>
      <c r="D82" s="7">
        <f t="shared" ref="D82:F82" si="10">SUM(D75:D81)</f>
        <v>40812</v>
      </c>
      <c r="E82" s="7">
        <f t="shared" si="10"/>
        <v>27355</v>
      </c>
      <c r="F82" s="7">
        <f t="shared" si="10"/>
        <v>13457</v>
      </c>
    </row>
    <row r="83">
      <c r="B83" s="8" t="s">
        <v>31</v>
      </c>
      <c r="C83" s="5" t="s">
        <v>35</v>
      </c>
      <c r="D83" s="7">
        <v>13261.0</v>
      </c>
      <c r="E83" s="7">
        <v>6461.0</v>
      </c>
      <c r="F83" s="7">
        <v>6800.0</v>
      </c>
    </row>
    <row r="84">
      <c r="B84" s="8" t="s">
        <v>31</v>
      </c>
      <c r="C84" s="5" t="s">
        <v>36</v>
      </c>
      <c r="D84" s="7">
        <v>14329.0</v>
      </c>
      <c r="E84" s="7">
        <v>7432.0</v>
      </c>
      <c r="F84" s="7">
        <v>6897.0</v>
      </c>
    </row>
    <row r="85">
      <c r="B85" s="8" t="s">
        <v>31</v>
      </c>
      <c r="C85" s="5" t="s">
        <v>37</v>
      </c>
      <c r="D85" s="7">
        <v>8396.0</v>
      </c>
      <c r="E85" s="7">
        <v>4406.0</v>
      </c>
      <c r="F85" s="7">
        <v>3990.0</v>
      </c>
    </row>
    <row r="86">
      <c r="B86" s="8" t="s">
        <v>31</v>
      </c>
      <c r="C86" s="5" t="s">
        <v>38</v>
      </c>
      <c r="D86" s="7">
        <v>6772.0</v>
      </c>
      <c r="E86" s="7">
        <v>3247.0</v>
      </c>
      <c r="F86" s="7">
        <v>3525.0</v>
      </c>
    </row>
    <row r="87">
      <c r="B87" s="8" t="s">
        <v>31</v>
      </c>
      <c r="C87" s="5" t="s">
        <v>39</v>
      </c>
      <c r="D87" s="7">
        <v>36467.0</v>
      </c>
      <c r="E87" s="7">
        <v>18191.0</v>
      </c>
      <c r="F87" s="7">
        <v>18276.0</v>
      </c>
    </row>
    <row r="88">
      <c r="B88" s="8" t="s">
        <v>31</v>
      </c>
      <c r="C88" s="5" t="s">
        <v>40</v>
      </c>
      <c r="D88" s="7">
        <v>18418.0</v>
      </c>
      <c r="E88" s="7">
        <v>9667.0</v>
      </c>
      <c r="F88" s="7">
        <v>8751.0</v>
      </c>
    </row>
    <row r="89">
      <c r="B89" s="8" t="s">
        <v>31</v>
      </c>
      <c r="C89" s="5" t="s">
        <v>22</v>
      </c>
      <c r="D89" s="7">
        <v>4759.0</v>
      </c>
      <c r="E89" s="7">
        <v>2252.0</v>
      </c>
      <c r="F89" s="7">
        <v>2507.0</v>
      </c>
    </row>
    <row r="90">
      <c r="B90" s="8" t="s">
        <v>31</v>
      </c>
      <c r="C90" s="1" t="s">
        <v>0</v>
      </c>
      <c r="D90" s="7">
        <f t="shared" ref="D90:F90" si="11">SUM(D83:D89)</f>
        <v>102402</v>
      </c>
      <c r="E90" s="7">
        <f t="shared" si="11"/>
        <v>51656</v>
      </c>
      <c r="F90" s="7">
        <f t="shared" si="11"/>
        <v>50746</v>
      </c>
    </row>
    <row r="91">
      <c r="B91" s="1" t="s">
        <v>32</v>
      </c>
      <c r="C91" s="5" t="s">
        <v>35</v>
      </c>
      <c r="D91" s="7">
        <v>31437.0</v>
      </c>
      <c r="E91" s="7">
        <v>15182.0</v>
      </c>
      <c r="F91" s="7">
        <v>16255.0</v>
      </c>
    </row>
    <row r="92">
      <c r="B92" s="1" t="s">
        <v>32</v>
      </c>
      <c r="C92" s="5" t="s">
        <v>36</v>
      </c>
      <c r="D92" s="7">
        <v>27952.0</v>
      </c>
      <c r="E92" s="7">
        <v>14144.0</v>
      </c>
      <c r="F92" s="7">
        <v>13808.0</v>
      </c>
    </row>
    <row r="93">
      <c r="B93" s="1" t="s">
        <v>32</v>
      </c>
      <c r="C93" s="5" t="s">
        <v>37</v>
      </c>
      <c r="D93" s="7">
        <v>22930.0</v>
      </c>
      <c r="E93" s="7">
        <v>11720.0</v>
      </c>
      <c r="F93" s="7">
        <v>11210.0</v>
      </c>
    </row>
    <row r="94">
      <c r="B94" s="1" t="s">
        <v>32</v>
      </c>
      <c r="C94" s="5" t="s">
        <v>38</v>
      </c>
      <c r="D94" s="7">
        <v>18847.0</v>
      </c>
      <c r="E94" s="7">
        <v>8513.0</v>
      </c>
      <c r="F94" s="7">
        <v>10334.0</v>
      </c>
    </row>
    <row r="95">
      <c r="B95" s="1" t="s">
        <v>32</v>
      </c>
      <c r="C95" s="5" t="s">
        <v>39</v>
      </c>
      <c r="D95" s="7">
        <v>65366.0</v>
      </c>
      <c r="E95" s="7">
        <v>50993.0</v>
      </c>
      <c r="F95" s="7">
        <v>34373.0</v>
      </c>
    </row>
    <row r="96">
      <c r="B96" s="1" t="s">
        <v>32</v>
      </c>
      <c r="C96" s="5" t="s">
        <v>40</v>
      </c>
      <c r="D96" s="7">
        <v>27381.0</v>
      </c>
      <c r="E96" s="7">
        <v>13142.0</v>
      </c>
      <c r="F96" s="7">
        <v>14239.0</v>
      </c>
    </row>
    <row r="97">
      <c r="B97" s="1" t="s">
        <v>32</v>
      </c>
      <c r="C97" s="5" t="s">
        <v>22</v>
      </c>
      <c r="D97" s="7">
        <v>8337.0</v>
      </c>
      <c r="E97" s="7">
        <v>3537.0</v>
      </c>
      <c r="F97" s="7">
        <v>4810.0</v>
      </c>
    </row>
    <row r="98">
      <c r="B98" s="1" t="s">
        <v>32</v>
      </c>
      <c r="C98" s="1" t="s">
        <v>0</v>
      </c>
      <c r="D98" s="7">
        <f t="shared" ref="D98:F98" si="12">SUM(D91:D97)</f>
        <v>202250</v>
      </c>
      <c r="E98" s="7">
        <f t="shared" si="12"/>
        <v>117231</v>
      </c>
      <c r="F98" s="7">
        <f t="shared" si="12"/>
        <v>105029</v>
      </c>
    </row>
    <row r="99">
      <c r="B99" s="1" t="s">
        <v>33</v>
      </c>
      <c r="C99" s="5" t="s">
        <v>35</v>
      </c>
      <c r="D99" s="7">
        <v>23953.0</v>
      </c>
      <c r="E99" s="7">
        <v>12108.0</v>
      </c>
      <c r="F99" s="7">
        <v>11845.0</v>
      </c>
    </row>
    <row r="100">
      <c r="B100" s="1" t="s">
        <v>33</v>
      </c>
      <c r="C100" s="5" t="s">
        <v>36</v>
      </c>
      <c r="D100" s="7">
        <v>22303.0</v>
      </c>
      <c r="E100" s="7">
        <v>11494.0</v>
      </c>
      <c r="F100" s="7">
        <v>10809.0</v>
      </c>
    </row>
    <row r="101">
      <c r="B101" s="1" t="s">
        <v>33</v>
      </c>
      <c r="C101" s="5" t="s">
        <v>37</v>
      </c>
      <c r="D101" s="7">
        <v>14911.0</v>
      </c>
      <c r="E101" s="7">
        <v>7731.0</v>
      </c>
      <c r="F101" s="7">
        <v>7180.0</v>
      </c>
    </row>
    <row r="102">
      <c r="B102" s="1" t="s">
        <v>33</v>
      </c>
      <c r="C102" s="5" t="s">
        <v>38</v>
      </c>
      <c r="D102" s="7">
        <v>12714.0</v>
      </c>
      <c r="E102" s="7">
        <v>5367.0</v>
      </c>
      <c r="F102" s="7">
        <v>7347.0</v>
      </c>
    </row>
    <row r="103">
      <c r="B103" s="1" t="s">
        <v>33</v>
      </c>
      <c r="C103" s="5" t="s">
        <v>39</v>
      </c>
      <c r="D103" s="7">
        <v>41704.0</v>
      </c>
      <c r="E103" s="7">
        <v>20561.0</v>
      </c>
      <c r="F103" s="7">
        <v>21143.0</v>
      </c>
    </row>
    <row r="104">
      <c r="B104" s="1" t="s">
        <v>33</v>
      </c>
      <c r="C104" s="5" t="s">
        <v>40</v>
      </c>
      <c r="D104" s="7">
        <v>16854.0</v>
      </c>
      <c r="E104" s="7">
        <v>9463.0</v>
      </c>
      <c r="F104" s="7">
        <v>7391.0</v>
      </c>
    </row>
    <row r="105">
      <c r="B105" s="1" t="s">
        <v>33</v>
      </c>
      <c r="C105" s="5" t="s">
        <v>22</v>
      </c>
      <c r="D105" s="7">
        <v>5835.0</v>
      </c>
      <c r="E105" s="7">
        <v>3311.0</v>
      </c>
      <c r="F105" s="7">
        <v>3524.0</v>
      </c>
    </row>
    <row r="106">
      <c r="B106" s="1" t="s">
        <v>33</v>
      </c>
      <c r="C106" s="1" t="s">
        <v>0</v>
      </c>
      <c r="D106" s="7">
        <f t="shared" ref="D106:F106" si="13">SUM(D99:D105)</f>
        <v>138274</v>
      </c>
      <c r="E106" s="7">
        <f t="shared" si="13"/>
        <v>70035</v>
      </c>
      <c r="F106" s="7">
        <f t="shared" si="13"/>
        <v>69239</v>
      </c>
    </row>
    <row r="107">
      <c r="B107" s="1" t="s">
        <v>42</v>
      </c>
      <c r="C107" s="5" t="s">
        <v>35</v>
      </c>
      <c r="D107" s="7">
        <v>45837.0</v>
      </c>
      <c r="E107" s="7">
        <v>22637.0</v>
      </c>
      <c r="F107" s="7">
        <v>23200.0</v>
      </c>
    </row>
    <row r="108">
      <c r="B108" s="1" t="s">
        <v>42</v>
      </c>
      <c r="C108" s="5" t="s">
        <v>36</v>
      </c>
      <c r="D108" s="7">
        <v>40477.0</v>
      </c>
      <c r="E108" s="7">
        <v>20630.0</v>
      </c>
      <c r="F108" s="7">
        <v>19847.0</v>
      </c>
    </row>
    <row r="109">
      <c r="B109" s="1" t="s">
        <v>42</v>
      </c>
      <c r="C109" s="5" t="s">
        <v>37</v>
      </c>
      <c r="D109" s="7">
        <v>26759.0</v>
      </c>
      <c r="E109" s="7">
        <v>13915.0</v>
      </c>
      <c r="F109" s="7">
        <v>12844.0</v>
      </c>
    </row>
    <row r="110">
      <c r="B110" s="1" t="s">
        <v>42</v>
      </c>
      <c r="C110" s="5" t="s">
        <v>38</v>
      </c>
      <c r="D110" s="7">
        <v>21364.0</v>
      </c>
      <c r="E110" s="7">
        <v>9930.0</v>
      </c>
      <c r="F110" s="7">
        <v>11434.0</v>
      </c>
    </row>
    <row r="111">
      <c r="B111" s="1" t="s">
        <v>42</v>
      </c>
      <c r="C111" s="5" t="s">
        <v>39</v>
      </c>
      <c r="D111" s="7">
        <v>84468.0</v>
      </c>
      <c r="E111" s="7">
        <v>40565.0</v>
      </c>
      <c r="F111" s="7">
        <v>43903.0</v>
      </c>
    </row>
    <row r="112">
      <c r="B112" s="1" t="s">
        <v>42</v>
      </c>
      <c r="C112" s="5" t="s">
        <v>40</v>
      </c>
      <c r="D112" s="7">
        <v>48051.0</v>
      </c>
      <c r="E112" s="7">
        <v>24037.0</v>
      </c>
      <c r="F112" s="7">
        <v>24014.0</v>
      </c>
    </row>
    <row r="113">
      <c r="B113" s="1" t="s">
        <v>42</v>
      </c>
      <c r="C113" s="5" t="s">
        <v>22</v>
      </c>
      <c r="D113" s="7">
        <v>17509.0</v>
      </c>
      <c r="E113" s="7">
        <v>7918.0</v>
      </c>
      <c r="F113" s="7">
        <v>9591.0</v>
      </c>
    </row>
    <row r="114">
      <c r="B114" s="1" t="s">
        <v>42</v>
      </c>
      <c r="C114" s="1" t="s">
        <v>0</v>
      </c>
      <c r="D114" s="7">
        <f t="shared" ref="D114:F114" si="14">SUM(D107:D113)</f>
        <v>284465</v>
      </c>
      <c r="E114" s="7">
        <f t="shared" si="14"/>
        <v>139632</v>
      </c>
      <c r="F114" s="7">
        <f t="shared" si="14"/>
        <v>144833</v>
      </c>
    </row>
  </sheetData>
  <drawing r:id="rId1"/>
</worksheet>
</file>