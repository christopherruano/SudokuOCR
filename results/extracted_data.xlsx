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ancore Eastern Division 190" sheetId="1" state="visible" r:id="rId1"/>
    <sheet xmlns:r="http://schemas.openxmlformats.org/officeDocument/2006/relationships" name="Hyderabad State Summary 1901" sheetId="2" state="visible" r:id="rId2"/>
    <sheet xmlns:r="http://schemas.openxmlformats.org/officeDocument/2006/relationships" name="Coorg 19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3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Travancore Eastern Division 1901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0-5</t>
        </is>
      </c>
      <c r="B4" s="4" t="n">
        <v>169509</v>
      </c>
      <c r="C4" s="4" t="n">
        <v>81224</v>
      </c>
      <c r="D4" s="4" t="n">
        <v>88285</v>
      </c>
      <c r="E4" s="5">
        <f>IF(B4=C4+D4,"PASS","FAIL")</f>
        <v/>
      </c>
      <c r="F4" s="3" t="inlineStr">
        <is>
          <t>locked</t>
        </is>
      </c>
    </row>
    <row r="5">
      <c r="A5" s="3" t="inlineStr">
        <is>
          <t>5-10</t>
        </is>
      </c>
      <c r="B5" s="4" t="n">
        <v>166745</v>
      </c>
      <c r="C5" s="4" t="n">
        <v>83669</v>
      </c>
      <c r="D5" s="4" t="n">
        <v>83076</v>
      </c>
      <c r="E5" s="5">
        <f>IF(B5=C5+D5,"PASS","FAIL")</f>
        <v/>
      </c>
      <c r="F5" s="3" t="inlineStr">
        <is>
          <t>locked</t>
        </is>
      </c>
    </row>
    <row r="6">
      <c r="A6" s="3" t="inlineStr">
        <is>
          <t>10-15</t>
        </is>
      </c>
      <c r="B6" s="4" t="n">
        <v>150630</v>
      </c>
      <c r="C6" s="4" t="n">
        <v>79166</v>
      </c>
      <c r="D6" s="4" t="n">
        <v>71464</v>
      </c>
      <c r="E6" s="5">
        <f>IF(B6=C6+D6,"PASS","FAIL")</f>
        <v/>
      </c>
      <c r="F6" s="3" t="inlineStr">
        <is>
          <t>locked</t>
        </is>
      </c>
    </row>
    <row r="7">
      <c r="A7" s="3" t="inlineStr">
        <is>
          <t>15-20</t>
        </is>
      </c>
      <c r="B7" s="4" t="n">
        <v>116595</v>
      </c>
      <c r="C7" s="4" t="n">
        <v>57993</v>
      </c>
      <c r="D7" s="4" t="n">
        <v>58602</v>
      </c>
      <c r="E7" s="5">
        <f>IF(B7=C7+D7,"PASS","FAIL")</f>
        <v/>
      </c>
      <c r="F7" s="3" t="inlineStr">
        <is>
          <t>locked</t>
        </is>
      </c>
    </row>
    <row r="8">
      <c r="A8" s="3" t="inlineStr">
        <is>
          <t>20-25</t>
        </is>
      </c>
      <c r="B8" s="4" t="n">
        <v>111950</v>
      </c>
      <c r="C8" s="4" t="n">
        <v>53002</v>
      </c>
      <c r="D8" s="4" t="n">
        <v>58948</v>
      </c>
      <c r="E8" s="5">
        <f>IF(B8=C8+D8,"PASS","FAIL")</f>
        <v/>
      </c>
      <c r="F8" s="3" t="inlineStr">
        <is>
          <t>locked</t>
        </is>
      </c>
    </row>
    <row r="9">
      <c r="A9" s="3" t="inlineStr">
        <is>
          <t>25-30</t>
        </is>
      </c>
      <c r="B9" s="4" t="n">
        <v>120076</v>
      </c>
      <c r="C9" s="4" t="n">
        <v>59814</v>
      </c>
      <c r="D9" s="4" t="n">
        <v>60262</v>
      </c>
      <c r="E9" s="5">
        <f>IF(B9=C9+D9,"PASS","FAIL")</f>
        <v/>
      </c>
      <c r="F9" s="3" t="inlineStr">
        <is>
          <t>locked</t>
        </is>
      </c>
    </row>
    <row r="10">
      <c r="A10" s="3" t="inlineStr">
        <is>
          <t>30-35</t>
        </is>
      </c>
      <c r="B10" s="4" t="n">
        <v>95124</v>
      </c>
      <c r="C10" s="4" t="n">
        <v>49257</v>
      </c>
      <c r="D10" s="4" t="n">
        <v>45867</v>
      </c>
      <c r="E10" s="5">
        <f>IF(B10=C10+D10,"PASS","FAIL")</f>
        <v/>
      </c>
      <c r="F10" s="3" t="inlineStr">
        <is>
          <t>locked</t>
        </is>
      </c>
    </row>
    <row r="11">
      <c r="A11" s="3" t="inlineStr">
        <is>
          <t>35-40</t>
        </is>
      </c>
      <c r="B11" s="4" t="n">
        <v>85869</v>
      </c>
      <c r="C11" s="4" t="n">
        <v>47873</v>
      </c>
      <c r="D11" s="4" t="n">
        <v>37996</v>
      </c>
      <c r="E11" s="5">
        <f>IF(B11=C11+D11,"PASS","FAIL")</f>
        <v/>
      </c>
      <c r="F11" s="3" t="inlineStr">
        <is>
          <t>locked</t>
        </is>
      </c>
    </row>
    <row r="12">
      <c r="A12" s="3" t="inlineStr">
        <is>
          <t>40-45</t>
        </is>
      </c>
      <c r="B12" s="4" t="n">
        <v>66459</v>
      </c>
      <c r="C12" s="4" t="n">
        <v>36018</v>
      </c>
      <c r="D12" s="4" t="n">
        <v>30441</v>
      </c>
      <c r="E12" s="5">
        <f>IF(B12=C12+D12,"PASS","FAIL")</f>
        <v/>
      </c>
      <c r="F12" s="3" t="inlineStr">
        <is>
          <t>P:deduced</t>
        </is>
      </c>
    </row>
    <row r="13">
      <c r="A13" s="3" t="inlineStr">
        <is>
          <t>45-50</t>
        </is>
      </c>
      <c r="B13" s="4" t="n">
        <v>53330</v>
      </c>
      <c r="C13" s="4" t="n">
        <v>29353</v>
      </c>
      <c r="D13" s="4" t="n">
        <v>23977</v>
      </c>
      <c r="E13" s="5">
        <f>IF(B13=C13+D13,"PASS","FAIL")</f>
        <v/>
      </c>
      <c r="F13" s="3" t="inlineStr">
        <is>
          <t>locked</t>
        </is>
      </c>
    </row>
    <row r="14">
      <c r="A14" s="3" t="inlineStr">
        <is>
          <t>50-55</t>
        </is>
      </c>
      <c r="B14" s="4" t="n">
        <v>45019</v>
      </c>
      <c r="C14" s="4" t="n">
        <v>23755</v>
      </c>
      <c r="D14" s="4" t="n">
        <v>21264</v>
      </c>
      <c r="E14" s="5">
        <f>IF(B14=C14+D14,"PASS","FAIL")</f>
        <v/>
      </c>
      <c r="F14" s="3" t="inlineStr">
        <is>
          <t>M:deduced, F:deduced</t>
        </is>
      </c>
    </row>
    <row r="15">
      <c r="A15" s="3" t="inlineStr">
        <is>
          <t>55-60</t>
        </is>
      </c>
      <c r="B15" s="4" t="n">
        <v>26926</v>
      </c>
      <c r="C15" s="4" t="n">
        <v>14278</v>
      </c>
      <c r="D15" s="4" t="n">
        <v>12648</v>
      </c>
      <c r="E15" s="5">
        <f>IF(B15=C15+D15,"PASS","FAIL")</f>
        <v/>
      </c>
      <c r="F15" s="3" t="inlineStr">
        <is>
          <t>locked</t>
        </is>
      </c>
    </row>
    <row r="16">
      <c r="A16" s="3" t="inlineStr">
        <is>
          <t>60 and over</t>
        </is>
      </c>
      <c r="B16" s="4" t="n">
        <v>53324</v>
      </c>
      <c r="C16" s="4" t="n">
        <v>25693</v>
      </c>
      <c r="D16" s="4" t="n">
        <v>27631</v>
      </c>
      <c r="E16" s="5">
        <f>IF(B16=C16+D16,"PASS","FAIL")</f>
        <v/>
      </c>
      <c r="F16" s="3" t="inlineStr">
        <is>
          <t>P:deduced, M:deduced, F:deduced</t>
        </is>
      </c>
    </row>
    <row r="17">
      <c r="A17" s="6" t="inlineStr">
        <is>
          <t>Total</t>
        </is>
      </c>
      <c r="B17" s="7" t="n">
        <v>1261556</v>
      </c>
      <c r="C17" s="7" t="n">
        <v>641095</v>
      </c>
      <c r="D17" s="7" t="n">
        <v>620461</v>
      </c>
      <c r="E17" s="8">
        <f>IF(B17=C17+D17,"PASS","FAIL")</f>
        <v/>
      </c>
      <c r="F17" s="6" t="inlineStr">
        <is>
          <t>P:deduced, F:deduced</t>
        </is>
      </c>
    </row>
  </sheetData>
  <mergeCells count="1">
    <mergeCell ref="A1:F1"/>
  </mergeCells>
  <conditionalFormatting sqref="E4:E17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Hyderabad State Summary 1901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0-5</t>
        </is>
      </c>
      <c r="B4" s="4" t="n">
        <v>1355667</v>
      </c>
      <c r="C4" s="4" t="n">
        <v>658857</v>
      </c>
      <c r="D4" s="4" t="n">
        <v>696810</v>
      </c>
      <c r="E4" s="5">
        <f>IF(B4=C4+D4,"PASS","FAIL")</f>
        <v/>
      </c>
      <c r="F4" s="3" t="inlineStr">
        <is>
          <t>locked</t>
        </is>
      </c>
    </row>
    <row r="5">
      <c r="A5" s="3" t="inlineStr">
        <is>
          <t>5-10</t>
        </is>
      </c>
      <c r="B5" s="4" t="n">
        <v>1452854</v>
      </c>
      <c r="C5" s="4" t="n">
        <v>755963</v>
      </c>
      <c r="D5" s="4" t="n">
        <v>696891</v>
      </c>
      <c r="E5" s="5">
        <f>IF(B5=C5+D5,"PASS","FAIL")</f>
        <v/>
      </c>
      <c r="F5" s="3" t="inlineStr">
        <is>
          <t>P:deduced, F:deduced</t>
        </is>
      </c>
    </row>
    <row r="6">
      <c r="A6" s="3" t="inlineStr">
        <is>
          <t>10-15</t>
        </is>
      </c>
      <c r="B6" s="4" t="n">
        <v>1350321</v>
      </c>
      <c r="C6" s="4" t="n">
        <v>739509</v>
      </c>
      <c r="D6" s="4" t="n">
        <v>610812</v>
      </c>
      <c r="E6" s="5">
        <f>IF(B6=C6+D6,"PASS","FAIL")</f>
        <v/>
      </c>
      <c r="F6" s="3" t="inlineStr">
        <is>
          <t>P:deduced, M:deduced, F:deduced</t>
        </is>
      </c>
    </row>
    <row r="7">
      <c r="A7" s="3" t="inlineStr">
        <is>
          <t>15-20</t>
        </is>
      </c>
      <c r="B7" s="4" t="n">
        <v>852389</v>
      </c>
      <c r="C7" s="4" t="n">
        <v>428409</v>
      </c>
      <c r="D7" s="4" t="n">
        <v>423980</v>
      </c>
      <c r="E7" s="5">
        <f>IF(B7=C7+D7,"PASS","FAIL")</f>
        <v/>
      </c>
      <c r="F7" s="3" t="inlineStr">
        <is>
          <t>locked</t>
        </is>
      </c>
    </row>
    <row r="8">
      <c r="A8" s="3" t="inlineStr">
        <is>
          <t>20-25</t>
        </is>
      </c>
      <c r="B8" s="4" t="n">
        <v>894027</v>
      </c>
      <c r="C8" s="4" t="n">
        <v>405798</v>
      </c>
      <c r="D8" s="4" t="n">
        <v>488229</v>
      </c>
      <c r="E8" s="5">
        <f>IF(B8=C8+D8,"PASS","FAIL")</f>
        <v/>
      </c>
      <c r="F8" s="3" t="inlineStr">
        <is>
          <t>M:deduced, F:deduced</t>
        </is>
      </c>
    </row>
    <row r="9">
      <c r="A9" s="3" t="inlineStr">
        <is>
          <t>25-30</t>
        </is>
      </c>
      <c r="B9" s="4" t="n">
        <v>1051503</v>
      </c>
      <c r="C9" s="4" t="n">
        <v>523613</v>
      </c>
      <c r="D9" s="4" t="n">
        <v>527890</v>
      </c>
      <c r="E9" s="5">
        <f>IF(B9=C9+D9,"PASS","FAIL")</f>
        <v/>
      </c>
      <c r="F9" s="3" t="inlineStr">
        <is>
          <t>locked</t>
        </is>
      </c>
    </row>
    <row r="10">
      <c r="A10" s="3" t="inlineStr">
        <is>
          <t>30-35</t>
        </is>
      </c>
      <c r="B10" s="4" t="n">
        <v>1072226</v>
      </c>
      <c r="C10" s="4" t="n">
        <v>538818</v>
      </c>
      <c r="D10" s="4" t="n">
        <v>533408</v>
      </c>
      <c r="E10" s="5">
        <f>IF(B10=C10+D10,"PASS","FAIL")</f>
        <v/>
      </c>
      <c r="F10" s="3" t="inlineStr">
        <is>
          <t>locked</t>
        </is>
      </c>
    </row>
    <row r="11">
      <c r="A11" s="3" t="inlineStr">
        <is>
          <t>35-40</t>
        </is>
      </c>
      <c r="B11" s="4" t="n">
        <v>628589</v>
      </c>
      <c r="C11" s="4" t="n">
        <v>342613</v>
      </c>
      <c r="D11" s="4" t="n">
        <v>285976</v>
      </c>
      <c r="E11" s="5">
        <f>IF(B11=C11+D11,"PASS","FAIL")</f>
        <v/>
      </c>
      <c r="F11" s="3" t="inlineStr">
        <is>
          <t>locked</t>
        </is>
      </c>
    </row>
    <row r="12">
      <c r="A12" s="3" t="inlineStr">
        <is>
          <t>40-45</t>
        </is>
      </c>
      <c r="B12" s="4" t="n">
        <v>818675</v>
      </c>
      <c r="C12" s="4" t="n">
        <v>425753</v>
      </c>
      <c r="D12" s="4" t="n">
        <v>392922</v>
      </c>
      <c r="E12" s="5">
        <f>IF(B12=C12+D12,"PASS","FAIL")</f>
        <v/>
      </c>
      <c r="F12" s="3" t="inlineStr">
        <is>
          <t>M:deduced, F:deduced</t>
        </is>
      </c>
    </row>
    <row r="13">
      <c r="A13" s="3" t="inlineStr">
        <is>
          <t>45-50</t>
        </is>
      </c>
      <c r="B13" s="4" t="n">
        <v>357058</v>
      </c>
      <c r="C13" s="4" t="n">
        <v>200814</v>
      </c>
      <c r="D13" s="4" t="n">
        <v>156244</v>
      </c>
      <c r="E13" s="5">
        <f>IF(B13=C13+D13,"PASS","FAIL")</f>
        <v/>
      </c>
      <c r="F13" s="3" t="inlineStr">
        <is>
          <t>M:deduced, F:deduced</t>
        </is>
      </c>
    </row>
    <row r="14">
      <c r="A14" s="3" t="inlineStr">
        <is>
          <t>50-55</t>
        </is>
      </c>
      <c r="B14" s="4" t="n">
        <v>568550</v>
      </c>
      <c r="C14" s="4" t="n">
        <v>289341</v>
      </c>
      <c r="D14" s="4" t="n">
        <v>279209</v>
      </c>
      <c r="E14" s="5">
        <f>IF(B14=C14+D14,"PASS","FAIL")</f>
        <v/>
      </c>
      <c r="F14" s="3" t="inlineStr">
        <is>
          <t>P:deduced, M:deduced, F:deduced</t>
        </is>
      </c>
    </row>
    <row r="15">
      <c r="A15" s="3" t="inlineStr">
        <is>
          <t>55-60</t>
        </is>
      </c>
      <c r="B15" s="4" t="n">
        <v>168158</v>
      </c>
      <c r="C15" s="4" t="n">
        <v>93094</v>
      </c>
      <c r="D15" s="4" t="n">
        <v>75064</v>
      </c>
      <c r="E15" s="5">
        <f>IF(B15=C15+D15,"PASS","FAIL")</f>
        <v/>
      </c>
      <c r="F15" s="3" t="inlineStr">
        <is>
          <t>P:deduced, F:deduced</t>
        </is>
      </c>
    </row>
    <row r="16">
      <c r="A16" s="3" t="inlineStr">
        <is>
          <t>60 and over</t>
        </is>
      </c>
      <c r="B16" s="4" t="n">
        <v>570951</v>
      </c>
      <c r="C16" s="4" t="n">
        <v>271002</v>
      </c>
      <c r="D16" s="4" t="n">
        <v>299949</v>
      </c>
      <c r="E16" s="5">
        <f>IF(B16=C16+D16,"PASS","FAIL")</f>
        <v/>
      </c>
      <c r="F16" s="3" t="inlineStr">
        <is>
          <t>locked</t>
        </is>
      </c>
    </row>
    <row r="17">
      <c r="A17" s="6" t="inlineStr">
        <is>
          <t>Total</t>
        </is>
      </c>
      <c r="B17" s="7" t="n">
        <v>11141142</v>
      </c>
      <c r="C17" s="7" t="n">
        <v>5673629</v>
      </c>
      <c r="D17" s="7" t="n">
        <v>5467513</v>
      </c>
      <c r="E17" s="8">
        <f>IF(B17=C17+D17,"PASS","FAIL")</f>
        <v/>
      </c>
      <c r="F17" s="6" t="inlineStr">
        <is>
          <t>M:deduced</t>
        </is>
      </c>
    </row>
    <row r="18">
      <c r="A18" s="3" t="inlineStr">
        <is>
          <t>60 &amp; over</t>
        </is>
      </c>
      <c r="B18" s="4" t="n">
        <v>570951</v>
      </c>
      <c r="C18" s="4" t="n">
        <v>271002</v>
      </c>
      <c r="D18" s="4" t="n">
        <v>299949</v>
      </c>
      <c r="E18" s="5">
        <f>IF(B18=C18+D18,"PASS","FAIL")</f>
        <v/>
      </c>
      <c r="F18" s="3" t="inlineStr">
        <is>
          <t>locked</t>
        </is>
      </c>
    </row>
  </sheetData>
  <mergeCells count="1">
    <mergeCell ref="A1:F1"/>
  </mergeCells>
  <conditionalFormatting sqref="E4:E18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Coorg 1901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0-1</t>
        </is>
      </c>
      <c r="B4" s="4" t="n">
        <v>63</v>
      </c>
      <c r="C4" s="4" t="n">
        <v>28</v>
      </c>
      <c r="D4" s="4" t="n">
        <v>35</v>
      </c>
      <c r="E4" s="5">
        <f>IF(B4=C4+D4,"PASS","FAIL")</f>
        <v/>
      </c>
      <c r="F4" s="3" t="inlineStr">
        <is>
          <t>P:deduced, M:deduced, F:deduced</t>
        </is>
      </c>
    </row>
    <row r="5">
      <c r="A5" s="3" t="inlineStr">
        <is>
          <t>1-2</t>
        </is>
      </c>
      <c r="B5" s="4" t="n">
        <v>18</v>
      </c>
      <c r="C5" s="4" t="n">
        <v>8</v>
      </c>
      <c r="D5" s="4" t="n">
        <v>10</v>
      </c>
      <c r="E5" s="5">
        <f>IF(B5=C5+D5,"PASS","FAIL")</f>
        <v/>
      </c>
      <c r="F5" s="3" t="inlineStr">
        <is>
          <t>P:deduced</t>
        </is>
      </c>
    </row>
    <row r="6">
      <c r="A6" s="3" t="inlineStr">
        <is>
          <t>2-3</t>
        </is>
      </c>
      <c r="B6" s="4" t="n">
        <v>46</v>
      </c>
      <c r="C6" s="4" t="n">
        <v>20</v>
      </c>
      <c r="D6" s="4" t="n">
        <v>26</v>
      </c>
      <c r="E6" s="5">
        <f>IF(B6=C6+D6,"PASS","FAIL")</f>
        <v/>
      </c>
      <c r="F6" s="3" t="inlineStr">
        <is>
          <t>P:deduced, F:deduced</t>
        </is>
      </c>
    </row>
    <row r="7">
      <c r="A7" s="3" t="inlineStr">
        <is>
          <t>3-4</t>
        </is>
      </c>
      <c r="B7" s="4" t="n">
        <v>43</v>
      </c>
      <c r="C7" s="4" t="n">
        <v>18</v>
      </c>
      <c r="D7" s="4" t="n">
        <v>25</v>
      </c>
      <c r="E7" s="5">
        <f>IF(B7=C7+D7,"PASS","FAIL")</f>
        <v/>
      </c>
      <c r="F7" s="3" t="inlineStr">
        <is>
          <t>P:deduced, F:deduced</t>
        </is>
      </c>
    </row>
    <row r="8">
      <c r="A8" s="3" t="inlineStr">
        <is>
          <t>4-5</t>
        </is>
      </c>
      <c r="B8" s="4" t="n">
        <v>48</v>
      </c>
      <c r="C8" s="4" t="n">
        <v>21</v>
      </c>
      <c r="D8" s="4" t="n">
        <v>27</v>
      </c>
      <c r="E8" s="5">
        <f>IF(B8=C8+D8,"PASS","FAIL")</f>
        <v/>
      </c>
      <c r="F8" s="3" t="inlineStr">
        <is>
          <t>locked</t>
        </is>
      </c>
    </row>
    <row r="9">
      <c r="A9" s="9" t="inlineStr">
        <is>
          <t>Total 0-5</t>
        </is>
      </c>
      <c r="B9" s="10" t="n">
        <v>218</v>
      </c>
      <c r="C9" s="10" t="n">
        <v>95</v>
      </c>
      <c r="D9" s="10" t="n">
        <v>123</v>
      </c>
      <c r="E9" s="11">
        <f>IF(B9=C9+D9,"PASS","FAIL")</f>
        <v/>
      </c>
      <c r="F9" s="9" t="inlineStr">
        <is>
          <t>P:deduced, F:deduced</t>
        </is>
      </c>
    </row>
    <row r="10">
      <c r="A10" s="3" t="inlineStr">
        <is>
          <t>5-10</t>
        </is>
      </c>
      <c r="B10" s="4" t="n">
        <v>251</v>
      </c>
      <c r="C10" s="4" t="n">
        <v>112</v>
      </c>
      <c r="D10" s="4" t="n">
        <v>139</v>
      </c>
      <c r="E10" s="5">
        <f>IF(B10=C10+D10,"PASS","FAIL")</f>
        <v/>
      </c>
      <c r="F10" s="3" t="inlineStr">
        <is>
          <t>locked</t>
        </is>
      </c>
    </row>
    <row r="11">
      <c r="A11" s="3" t="inlineStr">
        <is>
          <t>10-15</t>
        </is>
      </c>
      <c r="B11" s="4" t="n">
        <v>248</v>
      </c>
      <c r="C11" s="4" t="n">
        <v>119</v>
      </c>
      <c r="D11" s="4" t="n">
        <v>129</v>
      </c>
      <c r="E11" s="5">
        <f>IF(B11=C11+D11,"PASS","FAIL")</f>
        <v/>
      </c>
      <c r="F11" s="3" t="inlineStr">
        <is>
          <t>P:deduced</t>
        </is>
      </c>
    </row>
    <row r="12">
      <c r="A12" s="9" t="inlineStr">
        <is>
          <t>Total 0-15</t>
        </is>
      </c>
      <c r="B12" s="10" t="n">
        <v>717</v>
      </c>
      <c r="C12" s="10" t="n">
        <v>326</v>
      </c>
      <c r="D12" s="10" t="n">
        <v>391</v>
      </c>
      <c r="E12" s="11">
        <f>IF(B12=C12+D12,"PASS","FAIL")</f>
        <v/>
      </c>
      <c r="F12" s="9" t="inlineStr">
        <is>
          <t>P:deduced, M:deduced</t>
        </is>
      </c>
    </row>
    <row r="13">
      <c r="A13" s="3" t="inlineStr">
        <is>
          <t>15-20</t>
        </is>
      </c>
      <c r="B13" s="4" t="n">
        <v>193</v>
      </c>
      <c r="C13" s="4" t="n">
        <v>97</v>
      </c>
      <c r="D13" s="4" t="n">
        <v>96</v>
      </c>
      <c r="E13" s="5">
        <f>IF(B13=C13+D13,"PASS","FAIL")</f>
        <v/>
      </c>
      <c r="F13" s="3" t="inlineStr">
        <is>
          <t>locked</t>
        </is>
      </c>
    </row>
    <row r="14">
      <c r="A14" s="3" t="inlineStr">
        <is>
          <t>20-25</t>
        </is>
      </c>
      <c r="B14" s="4" t="n">
        <v>205</v>
      </c>
      <c r="C14" s="4" t="n">
        <v>101</v>
      </c>
      <c r="D14" s="4" t="n">
        <v>104</v>
      </c>
      <c r="E14" s="5">
        <f>IF(B14=C14+D14,"PASS","FAIL")</f>
        <v/>
      </c>
      <c r="F14" s="3" t="inlineStr">
        <is>
          <t>locked</t>
        </is>
      </c>
    </row>
    <row r="15">
      <c r="A15" s="3" t="inlineStr">
        <is>
          <t>25-30</t>
        </is>
      </c>
      <c r="B15" s="4" t="n">
        <v>231</v>
      </c>
      <c r="C15" s="4" t="n">
        <v>122</v>
      </c>
      <c r="D15" s="4" t="n">
        <v>109</v>
      </c>
      <c r="E15" s="5">
        <f>IF(B15=C15+D15,"PASS","FAIL")</f>
        <v/>
      </c>
      <c r="F15" s="3" t="inlineStr">
        <is>
          <t>P:deduced, M:deduced, F:deduced</t>
        </is>
      </c>
    </row>
    <row r="16">
      <c r="A16" s="3" t="inlineStr">
        <is>
          <t>30-35</t>
        </is>
      </c>
      <c r="B16" s="4" t="n">
        <v>191</v>
      </c>
      <c r="C16" s="4" t="n">
        <v>107</v>
      </c>
      <c r="D16" s="4" t="n">
        <v>84</v>
      </c>
      <c r="E16" s="5">
        <f>IF(B16=C16+D16,"PASS","FAIL")</f>
        <v/>
      </c>
      <c r="F16" s="3" t="inlineStr">
        <is>
          <t>P:deduced</t>
        </is>
      </c>
    </row>
    <row r="17">
      <c r="A17" s="3" t="inlineStr">
        <is>
          <t>35-40</t>
        </is>
      </c>
      <c r="B17" s="4" t="n">
        <v>133</v>
      </c>
      <c r="C17" s="4" t="n">
        <v>79</v>
      </c>
      <c r="D17" s="4" t="n">
        <v>54</v>
      </c>
      <c r="E17" s="5">
        <f>IF(B17=C17+D17,"PASS","FAIL")</f>
        <v/>
      </c>
      <c r="F17" s="3" t="inlineStr">
        <is>
          <t>P:deduced, M:deduced</t>
        </is>
      </c>
    </row>
    <row r="18">
      <c r="A18" s="9" t="inlineStr">
        <is>
          <t>Total 15-40</t>
        </is>
      </c>
      <c r="B18" s="10" t="n">
        <v>953</v>
      </c>
      <c r="C18" s="10" t="n">
        <v>506</v>
      </c>
      <c r="D18" s="10" t="n">
        <v>447</v>
      </c>
      <c r="E18" s="11">
        <f>IF(B18=C18+D18,"PASS","FAIL")</f>
        <v/>
      </c>
      <c r="F18" s="9" t="inlineStr">
        <is>
          <t>locked</t>
        </is>
      </c>
    </row>
    <row r="19">
      <c r="A19" s="3" t="inlineStr">
        <is>
          <t>40-45</t>
        </is>
      </c>
      <c r="B19" s="4" t="n">
        <v>117</v>
      </c>
      <c r="C19" s="4" t="n">
        <v>64</v>
      </c>
      <c r="D19" s="4" t="n">
        <v>53</v>
      </c>
      <c r="E19" s="5">
        <f>IF(B19=C19+D19,"PASS","FAIL")</f>
        <v/>
      </c>
      <c r="F19" s="3" t="inlineStr">
        <is>
          <t>P:deduced, F:deduced</t>
        </is>
      </c>
    </row>
    <row r="20">
      <c r="A20" s="3" t="inlineStr">
        <is>
          <t>45-50</t>
        </is>
      </c>
      <c r="B20" s="4" t="n">
        <v>63</v>
      </c>
      <c r="C20" s="4" t="n">
        <v>35</v>
      </c>
      <c r="D20" s="4" t="n">
        <v>28</v>
      </c>
      <c r="E20" s="5">
        <f>IF(B20=C20+D20,"PASS","FAIL")</f>
        <v/>
      </c>
      <c r="F20" s="3" t="inlineStr">
        <is>
          <t>P:deduced, F:deduced</t>
        </is>
      </c>
    </row>
    <row r="21">
      <c r="A21" s="3" t="inlineStr">
        <is>
          <t>50-55</t>
        </is>
      </c>
      <c r="B21" s="4" t="n">
        <v>67</v>
      </c>
      <c r="C21" s="4" t="n">
        <v>32</v>
      </c>
      <c r="D21" s="4" t="n">
        <v>35</v>
      </c>
      <c r="E21" s="5">
        <f>IF(B21=C21+D21,"PASS","FAIL")</f>
        <v/>
      </c>
      <c r="F21" s="3" t="inlineStr">
        <is>
          <t>P:deduced, F:deduced</t>
        </is>
      </c>
    </row>
    <row r="22">
      <c r="A22" s="3" t="inlineStr">
        <is>
          <t>55-60</t>
        </is>
      </c>
      <c r="B22" s="4" t="n">
        <v>26</v>
      </c>
      <c r="C22" s="4" t="n">
        <v>13</v>
      </c>
      <c r="D22" s="4" t="n">
        <v>13</v>
      </c>
      <c r="E22" s="5">
        <f>IF(B22=C22+D22,"PASS","FAIL")</f>
        <v/>
      </c>
      <c r="F22" s="3" t="inlineStr">
        <is>
          <t>P:deduced, M:deduced, F:deduced</t>
        </is>
      </c>
    </row>
    <row r="23">
      <c r="A23" s="9" t="inlineStr">
        <is>
          <t>Total 40-60</t>
        </is>
      </c>
      <c r="B23" s="10" t="n">
        <v>273</v>
      </c>
      <c r="C23" s="10" t="n">
        <v>144</v>
      </c>
      <c r="D23" s="10" t="n">
        <v>129</v>
      </c>
      <c r="E23" s="11">
        <f>IF(B23=C23+D23,"PASS","FAIL")</f>
        <v/>
      </c>
      <c r="F23" s="9" t="inlineStr">
        <is>
          <t>P:deduced, F:deduced</t>
        </is>
      </c>
    </row>
    <row r="24">
      <c r="A24" s="3" t="inlineStr">
        <is>
          <t>60 and over</t>
        </is>
      </c>
      <c r="B24" s="4" t="n">
        <v>57</v>
      </c>
      <c r="C24" s="4" t="n">
        <v>24</v>
      </c>
      <c r="D24" s="4" t="n">
        <v>33</v>
      </c>
      <c r="E24" s="5">
        <f>IF(B24=C24+D24,"PASS","FAIL")</f>
        <v/>
      </c>
      <c r="F24" s="3" t="inlineStr">
        <is>
          <t>P:deduced, F:deduced</t>
        </is>
      </c>
    </row>
    <row r="25">
      <c r="A25" s="6" t="inlineStr">
        <is>
          <t>Total</t>
        </is>
      </c>
      <c r="B25" s="7" t="n">
        <v>2000</v>
      </c>
      <c r="C25" s="7" t="n">
        <v>1000</v>
      </c>
      <c r="D25" s="7" t="n">
        <v>1000</v>
      </c>
      <c r="E25" s="8">
        <f>IF(B25=C25+D25,"PASS","FAIL")</f>
        <v/>
      </c>
      <c r="F25" s="6" t="inlineStr">
        <is>
          <t>locked</t>
        </is>
      </c>
    </row>
    <row r="26">
      <c r="A26" s="3" t="inlineStr">
        <is>
          <t>Mean Age</t>
        </is>
      </c>
      <c r="B26" s="4" t="n">
        <v>48</v>
      </c>
      <c r="C26" s="4" t="n">
        <v>25</v>
      </c>
      <c r="D26" s="4" t="n">
        <v>23</v>
      </c>
      <c r="E26" s="5">
        <f>IF(B26=C26+D26,"PASS","FAIL")</f>
        <v/>
      </c>
      <c r="F26" s="3" t="inlineStr">
        <is>
          <t>P:deduced</t>
        </is>
      </c>
    </row>
    <row r="28">
      <c r="A28" s="12" t="inlineStr">
        <is>
          <t>Constraint Verification</t>
        </is>
      </c>
    </row>
    <row r="29">
      <c r="A29" s="13" t="inlineStr">
        <is>
          <t>Constraint</t>
        </is>
      </c>
      <c r="B29" s="13" t="inlineStr">
        <is>
          <t>Expected (Subtotal)</t>
        </is>
      </c>
      <c r="C29" s="13" t="inlineStr">
        <is>
          <t>Computed (Sum)</t>
        </is>
      </c>
      <c r="D29" s="13" t="inlineStr">
        <is>
          <t>Check</t>
        </is>
      </c>
    </row>
    <row r="30">
      <c r="A30" s="3" t="inlineStr">
        <is>
          <t>0-5 Persons = sum(0-1, 1-2, 2-3, 3-4, 4-5)</t>
        </is>
      </c>
      <c r="B30" s="3">
        <f>B9</f>
        <v/>
      </c>
      <c r="C30" s="3">
        <f>B4+B5+B6+B7+B8</f>
        <v/>
      </c>
      <c r="D30" s="5">
        <f>IF(B30=C30,"PASS","FAIL")</f>
        <v/>
      </c>
    </row>
    <row r="31">
      <c r="A31" s="3" t="inlineStr">
        <is>
          <t>0-5 Males = sum(0-1, 1-2, 2-3, 3-4, 4-5)</t>
        </is>
      </c>
      <c r="B31" s="3">
        <f>C9</f>
        <v/>
      </c>
      <c r="C31" s="3">
        <f>C4+C5+C6+C7+C8</f>
        <v/>
      </c>
      <c r="D31" s="5">
        <f>IF(B31=C31,"PASS","FAIL")</f>
        <v/>
      </c>
    </row>
    <row r="32">
      <c r="A32" s="3" t="inlineStr">
        <is>
          <t>0-5 Females = sum(0-1, 1-2, 2-3, 3-4, 4-5)</t>
        </is>
      </c>
      <c r="B32" s="3">
        <f>D9</f>
        <v/>
      </c>
      <c r="C32" s="3">
        <f>D4+D5+D6+D7+D8</f>
        <v/>
      </c>
      <c r="D32" s="5">
        <f>IF(B32=C32,"PASS","FAIL")</f>
        <v/>
      </c>
    </row>
    <row r="33">
      <c r="A33" s="3" t="inlineStr">
        <is>
          <t>0-15 Persons = sum(0-5, 5-10, 10-15)</t>
        </is>
      </c>
      <c r="B33" s="3">
        <f>B12</f>
        <v/>
      </c>
      <c r="C33" s="3">
        <f>B9+B10+B11</f>
        <v/>
      </c>
      <c r="D33" s="5">
        <f>IF(B33=C33,"PASS","FAIL")</f>
        <v/>
      </c>
    </row>
    <row r="34">
      <c r="A34" s="3" t="inlineStr">
        <is>
          <t>0-15 Males = sum(0-5, 5-10, 10-15)</t>
        </is>
      </c>
      <c r="B34" s="3">
        <f>C12</f>
        <v/>
      </c>
      <c r="C34" s="3">
        <f>C9+C10+C11</f>
        <v/>
      </c>
      <c r="D34" s="5">
        <f>IF(B34=C34,"PASS","FAIL")</f>
        <v/>
      </c>
    </row>
    <row r="35">
      <c r="A35" s="3" t="inlineStr">
        <is>
          <t>0-15 Females = sum(0-5, 5-10, 10-15)</t>
        </is>
      </c>
      <c r="B35" s="3">
        <f>D12</f>
        <v/>
      </c>
      <c r="C35" s="3">
        <f>D9+D10+D11</f>
        <v/>
      </c>
      <c r="D35" s="5">
        <f>IF(B35=C35,"PASS","FAIL")</f>
        <v/>
      </c>
    </row>
    <row r="36">
      <c r="A36" s="3" t="inlineStr">
        <is>
          <t>15-40 Persons = sum(15-20, 20-25, 25-30, 30-35, 35-40)</t>
        </is>
      </c>
      <c r="B36" s="3">
        <f>B18</f>
        <v/>
      </c>
      <c r="C36" s="3">
        <f>B13+B14+B15+B16+B17</f>
        <v/>
      </c>
      <c r="D36" s="5">
        <f>IF(B36=C36,"PASS","FAIL")</f>
        <v/>
      </c>
    </row>
    <row r="37">
      <c r="A37" s="3" t="inlineStr">
        <is>
          <t>15-40 Males = sum(15-20, 20-25, 25-30, 30-35, 35-40)</t>
        </is>
      </c>
      <c r="B37" s="3">
        <f>C18</f>
        <v/>
      </c>
      <c r="C37" s="3">
        <f>C13+C14+C15+C16+C17</f>
        <v/>
      </c>
      <c r="D37" s="5">
        <f>IF(B37=C37,"PASS","FAIL")</f>
        <v/>
      </c>
    </row>
    <row r="38">
      <c r="A38" s="3" t="inlineStr">
        <is>
          <t>15-40 Females = sum(15-20, 20-25, 25-30, 30-35, 35-40)</t>
        </is>
      </c>
      <c r="B38" s="3">
        <f>D18</f>
        <v/>
      </c>
      <c r="C38" s="3">
        <f>D13+D14+D15+D16+D17</f>
        <v/>
      </c>
      <c r="D38" s="5">
        <f>IF(B38=C38,"PASS","FAIL")</f>
        <v/>
      </c>
    </row>
    <row r="39">
      <c r="A39" s="3" t="inlineStr">
        <is>
          <t>40-60 Persons = sum(40-45, 45-50, 50-55, 55-60)</t>
        </is>
      </c>
      <c r="B39" s="3">
        <f>B23</f>
        <v/>
      </c>
      <c r="C39" s="3">
        <f>B19+B20+B21+B22</f>
        <v/>
      </c>
      <c r="D39" s="5">
        <f>IF(B39=C39,"PASS","FAIL")</f>
        <v/>
      </c>
    </row>
    <row r="40">
      <c r="A40" s="3" t="inlineStr">
        <is>
          <t>40-60 Males = sum(40-45, 45-50, 50-55, 55-60)</t>
        </is>
      </c>
      <c r="B40" s="3">
        <f>C23</f>
        <v/>
      </c>
      <c r="C40" s="3">
        <f>C19+C20+C21+C22</f>
        <v/>
      </c>
      <c r="D40" s="5">
        <f>IF(B40=C40,"PASS","FAIL")</f>
        <v/>
      </c>
    </row>
    <row r="41">
      <c r="A41" s="3" t="inlineStr">
        <is>
          <t>40-60 Females = sum(40-45, 45-50, 50-55, 55-60)</t>
        </is>
      </c>
      <c r="B41" s="3">
        <f>D23</f>
        <v/>
      </c>
      <c r="C41" s="3">
        <f>D19+D20+D21+D22</f>
        <v/>
      </c>
      <c r="D41" s="5">
        <f>IF(B41=C41,"PASS","FAIL")</f>
        <v/>
      </c>
    </row>
    <row r="42">
      <c r="A42" s="3" t="inlineStr">
        <is>
          <t>total Persons = sum(0-15, 15-40, 40-60, 60andover)</t>
        </is>
      </c>
      <c r="B42" s="3">
        <f>B25</f>
        <v/>
      </c>
      <c r="C42" s="3">
        <f>B12+B18+B23+B24</f>
        <v/>
      </c>
      <c r="D42" s="5">
        <f>IF(B42=C42,"PASS","FAIL")</f>
        <v/>
      </c>
    </row>
    <row r="43">
      <c r="A43" s="3" t="inlineStr">
        <is>
          <t>total Males = sum(0-15, 15-40, 40-60, 60andover)</t>
        </is>
      </c>
      <c r="B43" s="3">
        <f>C25</f>
        <v/>
      </c>
      <c r="C43" s="3">
        <f>C12+C18+C23+C24</f>
        <v/>
      </c>
      <c r="D43" s="5">
        <f>IF(B43=C43,"PASS","FAIL")</f>
        <v/>
      </c>
    </row>
    <row r="44">
      <c r="A44" s="3" t="inlineStr">
        <is>
          <t>total Females = sum(0-15, 15-40, 40-60, 60andover)</t>
        </is>
      </c>
      <c r="B44" s="3">
        <f>D25</f>
        <v/>
      </c>
      <c r="C44" s="3">
        <f>D12+D18+D23+D24</f>
        <v/>
      </c>
      <c r="D44" s="5">
        <f>IF(B44=C44,"PASS","FAIL")</f>
        <v/>
      </c>
    </row>
    <row r="46">
      <c r="A46" s="3" t="inlineStr">
        <is>
          <t>Known: total males = 1000</t>
        </is>
      </c>
      <c r="B46" s="3">
        <f>C25</f>
        <v/>
      </c>
      <c r="C46" s="3" t="n">
        <v>1000</v>
      </c>
      <c r="D46" s="5">
        <f>IF(B46=C46,"PASS","FAIL")</f>
        <v/>
      </c>
    </row>
    <row r="47">
      <c r="A47" s="3" t="inlineStr">
        <is>
          <t>Known: total females = 1000</t>
        </is>
      </c>
      <c r="B47" s="3">
        <f>D25</f>
        <v/>
      </c>
      <c r="C47" s="3" t="n">
        <v>1000</v>
      </c>
      <c r="D47" s="5">
        <f>IF(B47=C47,"PASS","FAIL")</f>
        <v/>
      </c>
    </row>
  </sheetData>
  <mergeCells count="1">
    <mergeCell ref="A1:F1"/>
  </mergeCells>
  <conditionalFormatting sqref="E4:E26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D29:D47">
    <cfRule type="cellIs" priority="3" operator="equal" dxfId="0">
      <formula>"PASS"</formula>
    </cfRule>
    <cfRule type="cellIs" priority="4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2026-02-24T04:14:06Z</dcterms:created>
  <dcterms:modified xmlns:dcterms="http://purl.org/dc/terms/" xmlns:xsi="http://www.w3.org/2001/XMLSchema-instance" xsi:type="dcterms:W3CDTF">2026-02-24T04:14:06Z</dcterms:modified>
</cp:coreProperties>
</file>