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 PART A.—Continued.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7" customWidth="1" min="20" max="20"/>
  </cols>
  <sheetData>
    <row r="1">
      <c r="A1" s="1" t="inlineStr">
        <is>
          <t>Mysore — 1891</t>
        </is>
      </c>
    </row>
    <row r="2">
      <c r="A2" s="2" t="inlineStr">
        <is>
          <t>Source: TABLE VIII. PART A.—Continued. (2) Married. Civil Condition by Religion and Age. All Religions.</t>
        </is>
      </c>
    </row>
    <row r="3">
      <c r="A3" s="3" t="inlineStr">
        <is>
          <t>TABLE VIII. PART A.—Continued. (2) Married. Civil Condition by Religion and Age. All Religions.</t>
        </is>
      </c>
    </row>
    <row r="4">
      <c r="A4" s="4" t="inlineStr">
        <is>
          <t>Age</t>
        </is>
      </c>
      <c r="B4" s="5" t="inlineStr">
        <is>
          <t>40—44.</t>
        </is>
      </c>
      <c r="C4" s="6" t="n"/>
      <c r="D4" s="6" t="n"/>
      <c r="E4" s="7" t="inlineStr">
        <is>
          <t>45—49.</t>
        </is>
      </c>
      <c r="F4" s="8" t="n"/>
      <c r="G4" s="8" t="n"/>
      <c r="H4" s="9" t="inlineStr">
        <is>
          <t>50—54.</t>
        </is>
      </c>
      <c r="I4" s="10" t="n"/>
      <c r="J4" s="10" t="n"/>
      <c r="K4" s="11" t="inlineStr">
        <is>
          <t>55—59.</t>
        </is>
      </c>
      <c r="L4" s="12" t="n"/>
      <c r="M4" s="12" t="n"/>
      <c r="N4" s="13" t="inlineStr">
        <is>
          <t>60 and over.</t>
        </is>
      </c>
      <c r="O4" s="14" t="n"/>
      <c r="P4" s="14" t="n"/>
      <c r="Q4" s="5" t="inlineStr">
        <is>
          <t>Age not stated.</t>
        </is>
      </c>
      <c r="R4" s="6" t="n"/>
      <c r="S4" s="6" t="n"/>
      <c r="T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M+F=P</t>
        </is>
      </c>
    </row>
    <row r="6">
      <c r="A6" s="18" t="inlineStr">
        <is>
          <t>Total</t>
        </is>
      </c>
      <c r="B6" s="19" t="n">
        <v>623143</v>
      </c>
      <c r="C6" s="19" t="n">
        <v>415688</v>
      </c>
      <c r="D6" s="19" t="n">
        <v>207455</v>
      </c>
      <c r="E6" s="19" t="n">
        <v>390430</v>
      </c>
      <c r="F6" s="19" t="n">
        <v>274742</v>
      </c>
      <c r="G6" s="19" t="n">
        <v>115688</v>
      </c>
      <c r="H6" s="19" t="n">
        <v>332503</v>
      </c>
      <c r="I6" s="19" t="n">
        <v>247428</v>
      </c>
      <c r="J6" s="19" t="n">
        <v>85075</v>
      </c>
      <c r="K6" s="19" t="n">
        <v>163895</v>
      </c>
      <c r="L6" s="19" t="n">
        <v>125809</v>
      </c>
      <c r="M6" s="19" t="n">
        <v>38086</v>
      </c>
      <c r="N6" s="19" t="n">
        <v>269894</v>
      </c>
      <c r="O6" s="19" t="n">
        <v>220954</v>
      </c>
      <c r="P6" s="19" t="n">
        <v>48940</v>
      </c>
      <c r="Q6" s="19" t="n">
        <v>632</v>
      </c>
      <c r="R6" s="19" t="n">
        <v>317</v>
      </c>
      <c r="S6" s="19" t="n">
        <v>315</v>
      </c>
      <c r="T6" s="20">
        <f>IF(B6=C6+D6,"✓","✗")</f>
        <v/>
      </c>
    </row>
    <row r="7">
      <c r="A7" s="21" t="inlineStr">
        <is>
          <t>Verify: Sum</t>
        </is>
      </c>
      <c r="B7" s="22">
        <f>IF(SUM(B7:B6)=B6,"✓",SUM(B7:B6)-B6)</f>
        <v/>
      </c>
      <c r="C7" s="22">
        <f>IF(SUM(C7:C6)=C6,"✓",SUM(C7:C6)-C6)</f>
        <v/>
      </c>
      <c r="D7" s="22">
        <f>IF(SUM(D7:D6)=D6,"✓",SUM(D7:D6)-D6)</f>
        <v/>
      </c>
      <c r="E7" s="22">
        <f>IF(SUM(E7:E6)=E6,"✓",SUM(E7:E6)-E6)</f>
        <v/>
      </c>
      <c r="F7" s="22">
        <f>IF(SUM(F7:F6)=F6,"✓",SUM(F7:F6)-F6)</f>
        <v/>
      </c>
      <c r="G7" s="22">
        <f>IF(SUM(G7:G6)=G6,"✓",SUM(G7:G6)-G6)</f>
        <v/>
      </c>
      <c r="H7" s="22">
        <f>IF(SUM(H7:H6)=H6,"✓",SUM(H7:H6)-H6)</f>
        <v/>
      </c>
      <c r="I7" s="22">
        <f>IF(SUM(I7:I6)=I6,"✓",SUM(I7:I6)-I6)</f>
        <v/>
      </c>
      <c r="J7" s="22">
        <f>IF(SUM(J7:J6)=J6,"✓",SUM(J7:J6)-J6)</f>
        <v/>
      </c>
      <c r="K7" s="22">
        <f>IF(SUM(K7:K6)=K6,"✓",SUM(K7:K6)-K6)</f>
        <v/>
      </c>
      <c r="L7" s="22">
        <f>IF(SUM(L7:L6)=L6,"✓",SUM(L7:L6)-L6)</f>
        <v/>
      </c>
      <c r="M7" s="22">
        <f>IF(SUM(M7:M6)=M6,"✓",SUM(M7:M6)-M6)</f>
        <v/>
      </c>
      <c r="N7" s="22">
        <f>IF(SUM(N7:N6)=N6,"✓",SUM(N7:N6)-N6)</f>
        <v/>
      </c>
      <c r="O7" s="22">
        <f>IF(SUM(O7:O6)=O6,"✓",SUM(O7:O6)-O6)</f>
        <v/>
      </c>
      <c r="P7" s="22">
        <f>IF(SUM(P7:P6)=P6,"✓",SUM(P7:P6)-P6)</f>
        <v/>
      </c>
      <c r="Q7" s="22">
        <f>IF(SUM(Q7:Q6)=Q6,"✓",SUM(Q7:Q6)-Q6)</f>
        <v/>
      </c>
      <c r="R7" s="22">
        <f>IF(SUM(R7:R6)=R6,"✓",SUM(R7:R6)-R6)</f>
        <v/>
      </c>
      <c r="S7" s="22">
        <f>IF(SUM(S7:S6)=S6,"✓",SUM(S7:S6)-S6)</f>
        <v/>
      </c>
    </row>
  </sheetData>
  <mergeCells count="6">
    <mergeCell ref="K4:M4"/>
    <mergeCell ref="B4:D4"/>
    <mergeCell ref="H4:J4"/>
    <mergeCell ref="Q4:S4"/>
    <mergeCell ref="E4:G4"/>
    <mergeCell ref="N4:P4"/>
  </mergeCells>
  <conditionalFormatting sqref="T6:T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7" customWidth="1" min="20" max="20"/>
  </cols>
  <sheetData>
    <row r="1">
      <c r="A1" s="23" t="inlineStr">
        <is>
          <t>Mysore — 1891</t>
        </is>
      </c>
    </row>
    <row r="2">
      <c r="A2" s="3" t="inlineStr">
        <is>
          <t>TABLE VIII. PART A.—Continued. (2) Married. Civil Condition by Religion and Age. All Religions.</t>
        </is>
      </c>
    </row>
    <row r="3">
      <c r="A3" s="4" t="inlineStr">
        <is>
          <t>Age</t>
        </is>
      </c>
      <c r="B3" s="5" t="inlineStr">
        <is>
          <t>40—44.</t>
        </is>
      </c>
      <c r="C3" s="6" t="n"/>
      <c r="D3" s="6" t="n"/>
      <c r="E3" s="7" t="inlineStr">
        <is>
          <t>45—49.</t>
        </is>
      </c>
      <c r="F3" s="8" t="n"/>
      <c r="G3" s="8" t="n"/>
      <c r="H3" s="9" t="inlineStr">
        <is>
          <t>50—54.</t>
        </is>
      </c>
      <c r="I3" s="10" t="n"/>
      <c r="J3" s="10" t="n"/>
      <c r="K3" s="11" t="inlineStr">
        <is>
          <t>55—59.</t>
        </is>
      </c>
      <c r="L3" s="12" t="n"/>
      <c r="M3" s="12" t="n"/>
      <c r="N3" s="13" t="inlineStr">
        <is>
          <t>60 and over.</t>
        </is>
      </c>
      <c r="O3" s="14" t="n"/>
      <c r="P3" s="14" t="n"/>
      <c r="Q3" s="5" t="inlineStr">
        <is>
          <t>Age not stated.</t>
        </is>
      </c>
      <c r="R3" s="6" t="n"/>
      <c r="S3" s="6" t="n"/>
      <c r="T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M+F=P</t>
        </is>
      </c>
    </row>
    <row r="5">
      <c r="A5" s="18" t="inlineStr">
        <is>
          <t>Total</t>
        </is>
      </c>
      <c r="B5" s="19" t="n">
        <v>623143</v>
      </c>
      <c r="C5" s="19" t="n">
        <v>415688</v>
      </c>
      <c r="D5" s="19" t="n">
        <v>207455</v>
      </c>
      <c r="E5" s="19" t="n">
        <v>390430</v>
      </c>
      <c r="F5" s="19" t="n">
        <v>274742</v>
      </c>
      <c r="G5" s="19" t="n">
        <v>115688</v>
      </c>
      <c r="H5" s="19" t="n">
        <v>332503</v>
      </c>
      <c r="I5" s="19" t="n">
        <v>247428</v>
      </c>
      <c r="J5" s="19" t="n">
        <v>85075</v>
      </c>
      <c r="K5" s="19" t="n">
        <v>163895</v>
      </c>
      <c r="L5" s="19" t="n">
        <v>125809</v>
      </c>
      <c r="M5" s="19" t="n">
        <v>38086</v>
      </c>
      <c r="N5" s="19" t="n">
        <v>269894</v>
      </c>
      <c r="O5" s="19" t="n">
        <v>220954</v>
      </c>
      <c r="P5" s="19" t="n">
        <v>48940</v>
      </c>
      <c r="Q5" s="19" t="n">
        <v>632</v>
      </c>
      <c r="R5" s="19" t="n">
        <v>317</v>
      </c>
      <c r="S5" s="19" t="n">
        <v>315</v>
      </c>
      <c r="T5" s="20">
        <f>IF(B5=C5+D5,"✓","✗")</f>
        <v/>
      </c>
    </row>
    <row r="6">
      <c r="A6" s="21" t="inlineStr">
        <is>
          <t>Verify: Sum</t>
        </is>
      </c>
      <c r="B6" s="22">
        <f>IF(SUM(B6:B5)=B5,"✓",SUM(B6:B5)-B5)</f>
        <v/>
      </c>
      <c r="C6" s="22">
        <f>IF(SUM(C6:C5)=C5,"✓",SUM(C6:C5)-C5)</f>
        <v/>
      </c>
      <c r="D6" s="22">
        <f>IF(SUM(D6:D5)=D5,"✓",SUM(D6:D5)-D5)</f>
        <v/>
      </c>
      <c r="E6" s="22">
        <f>IF(SUM(E6:E5)=E5,"✓",SUM(E6:E5)-E5)</f>
        <v/>
      </c>
      <c r="F6" s="22">
        <f>IF(SUM(F6:F5)=F5,"✓",SUM(F6:F5)-F5)</f>
        <v/>
      </c>
      <c r="G6" s="22">
        <f>IF(SUM(G6:G5)=G5,"✓",SUM(G6:G5)-G5)</f>
        <v/>
      </c>
      <c r="H6" s="22">
        <f>IF(SUM(H6:H5)=H5,"✓",SUM(H6:H5)-H5)</f>
        <v/>
      </c>
      <c r="I6" s="22">
        <f>IF(SUM(I6:I5)=I5,"✓",SUM(I6:I5)-I5)</f>
        <v/>
      </c>
      <c r="J6" s="22">
        <f>IF(SUM(J6:J5)=J5,"✓",SUM(J6:J5)-J5)</f>
        <v/>
      </c>
      <c r="K6" s="22">
        <f>IF(SUM(K6:K5)=K5,"✓",SUM(K6:K5)-K5)</f>
        <v/>
      </c>
      <c r="L6" s="22">
        <f>IF(SUM(L6:L5)=L5,"✓",SUM(L6:L5)-L5)</f>
        <v/>
      </c>
      <c r="M6" s="22">
        <f>IF(SUM(M6:M5)=M5,"✓",SUM(M6:M5)-M5)</f>
        <v/>
      </c>
      <c r="N6" s="22">
        <f>IF(SUM(N6:N5)=N5,"✓",SUM(N6:N5)-N5)</f>
        <v/>
      </c>
      <c r="O6" s="22">
        <f>IF(SUM(O6:O5)=O5,"✓",SUM(O6:O5)-O5)</f>
        <v/>
      </c>
      <c r="P6" s="22">
        <f>IF(SUM(P6:P5)=P5,"✓",SUM(P6:P5)-P5)</f>
        <v/>
      </c>
      <c r="Q6" s="22">
        <f>IF(SUM(Q6:Q5)=Q5,"✓",SUM(Q6:Q5)-Q5)</f>
        <v/>
      </c>
      <c r="R6" s="22">
        <f>IF(SUM(R6:R5)=R5,"✓",SUM(R6:R5)-R5)</f>
        <v/>
      </c>
      <c r="S6" s="22">
        <f>IF(SUM(S6:S5)=S5,"✓",SUM(S6:S5)-S5)</f>
        <v/>
      </c>
    </row>
  </sheetData>
  <mergeCells count="6">
    <mergeCell ref="B3:D3"/>
    <mergeCell ref="E3:G3"/>
    <mergeCell ref="K3:M3"/>
    <mergeCell ref="H3:J3"/>
    <mergeCell ref="N3:P3"/>
    <mergeCell ref="Q3:S3"/>
  </mergeCells>
  <conditionalFormatting sqref="T5:T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2026-02-28T15:46:23Z</dcterms:created>
  <dcterms:modified xmlns:dcterms="http://purl.org/dc/terms/" xmlns:xsi="http://www.w3.org/2001/XMLSchema-instance" xsi:type="dcterms:W3CDTF">2026-02-28T15:46:23Z</dcterms:modified>
</cp:coreProperties>
</file>