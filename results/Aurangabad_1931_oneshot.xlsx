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ll Religions" sheetId="2" state="visible" r:id="rId2"/>
    <sheet xmlns:r="http://schemas.openxmlformats.org/officeDocument/2006/relationships" name="Hindu (Brahmanic)" sheetId="3" state="visible" r:id="rId3"/>
    <sheet xmlns:r="http://schemas.openxmlformats.org/officeDocument/2006/relationships" name="Adi Hindu" sheetId="4" state="visible" r:id="rId4"/>
    <sheet xmlns:r="http://schemas.openxmlformats.org/officeDocument/2006/relationships" name="Musli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8" borderId="2" pivotButton="0" quotePrefix="0" xfId="0"/>
    <xf numFmtId="3" fontId="7" fillId="8" borderId="2" pivotButton="0" quotePrefix="0" xfId="0"/>
    <xf numFmtId="0" fontId="7" fillId="8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1" t="inlineStr">
        <is>
          <t>Aurangabad</t>
        </is>
      </c>
    </row>
    <row r="2">
      <c r="A2" s="2" t="inlineStr">
        <is>
          <t>Source: TABLE VII. Age, Sex and Civil Condition Part II.—Districts.</t>
        </is>
      </c>
    </row>
    <row r="3">
      <c r="A3" s="3" t="inlineStr">
        <is>
          <t>All Religions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Check</t>
        </is>
      </c>
      <c r="O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P=Sum</t>
        </is>
      </c>
      <c r="O5" s="15" t="inlineStr">
        <is>
          <t>M+F=P</t>
        </is>
      </c>
    </row>
    <row r="6">
      <c r="A6" s="16" t="inlineStr">
        <is>
          <t>Total</t>
        </is>
      </c>
      <c r="B6" s="17" t="n">
        <v>1889586</v>
      </c>
      <c r="C6" s="17" t="n">
        <v>960996</v>
      </c>
      <c r="D6" s="17" t="n">
        <v>928590</v>
      </c>
      <c r="E6" s="17" t="n">
        <v>671150</v>
      </c>
      <c r="F6" s="17" t="n">
        <v>389158</v>
      </c>
      <c r="G6" s="17" t="n">
        <v>281992</v>
      </c>
      <c r="H6" s="17" t="n">
        <v>1062142</v>
      </c>
      <c r="I6" s="17" t="n">
        <v>533308</v>
      </c>
      <c r="J6" s="17" t="n">
        <v>528834</v>
      </c>
      <c r="K6" s="17" t="n">
        <v>156294</v>
      </c>
      <c r="L6" s="17" t="n">
        <v>38530</v>
      </c>
      <c r="M6" s="17" t="n">
        <v>117764</v>
      </c>
      <c r="N6" s="18">
        <f>IF(B6=E6+H6+K6,"✓","✗")</f>
        <v/>
      </c>
      <c r="O6" s="18">
        <f>IF(B6=C6+D6,"✓","✗")</f>
        <v/>
      </c>
    </row>
    <row r="7">
      <c r="A7" s="19" t="inlineStr">
        <is>
          <t>0-1</t>
        </is>
      </c>
      <c r="B7" s="20" t="n">
        <v>28555</v>
      </c>
      <c r="C7" s="20" t="n">
        <v>13941</v>
      </c>
      <c r="D7" s="20" t="n">
        <v>14614</v>
      </c>
      <c r="E7" s="20" t="n">
        <v>27813</v>
      </c>
      <c r="F7" s="20" t="n">
        <v>13632</v>
      </c>
      <c r="G7" s="20" t="n">
        <v>14181</v>
      </c>
      <c r="H7" s="20" t="n">
        <v>713</v>
      </c>
      <c r="I7" s="20" t="n">
        <v>306</v>
      </c>
      <c r="J7" s="20" t="n">
        <v>407</v>
      </c>
      <c r="K7" s="20" t="n">
        <v>29</v>
      </c>
      <c r="L7" s="20" t="n">
        <v>3</v>
      </c>
      <c r="M7" s="20" t="n">
        <v>26</v>
      </c>
      <c r="N7" s="21">
        <f>IF(B7=E7+H7+K7,"✓",B7-(E7+H7+K7))</f>
        <v/>
      </c>
      <c r="O7" s="21">
        <f>IF(B7=C7+D7,"✓","✗")</f>
        <v/>
      </c>
    </row>
    <row r="8">
      <c r="A8" s="22" t="inlineStr">
        <is>
          <t>1-5</t>
        </is>
      </c>
      <c r="B8" s="23" t="n">
        <v>126367</v>
      </c>
      <c r="C8" s="23" t="n">
        <v>64182</v>
      </c>
      <c r="D8" s="23" t="n">
        <v>62185</v>
      </c>
      <c r="E8" s="23" t="n">
        <v>115759</v>
      </c>
      <c r="F8" s="23" t="n">
        <v>59052</v>
      </c>
      <c r="G8" s="23" t="n">
        <v>56707</v>
      </c>
      <c r="H8" s="23" t="n">
        <v>10474</v>
      </c>
      <c r="I8" s="23" t="n">
        <v>5081</v>
      </c>
      <c r="J8" s="23" t="n">
        <v>5393</v>
      </c>
      <c r="K8" s="23" t="n">
        <v>134</v>
      </c>
      <c r="L8" s="23" t="n">
        <v>49</v>
      </c>
      <c r="M8" s="23" t="n">
        <v>85</v>
      </c>
      <c r="N8" s="24">
        <f>IF(B8=E8+H8+K8,"✓",B8-(E8+H8+K8))</f>
        <v/>
      </c>
      <c r="O8" s="24">
        <f>IF(B8=C8+D8,"✓","✗")</f>
        <v/>
      </c>
    </row>
    <row r="9">
      <c r="A9" s="19" t="inlineStr">
        <is>
          <t>5-10</t>
        </is>
      </c>
      <c r="B9" s="20" t="n">
        <v>120491</v>
      </c>
      <c r="C9" s="20" t="n">
        <v>62636</v>
      </c>
      <c r="D9" s="20" t="n">
        <v>57855</v>
      </c>
      <c r="E9" s="20" t="n">
        <v>88021</v>
      </c>
      <c r="F9" s="20" t="n">
        <v>49922</v>
      </c>
      <c r="G9" s="20" t="n">
        <v>38099</v>
      </c>
      <c r="H9" s="20" t="n">
        <v>31911</v>
      </c>
      <c r="I9" s="20" t="n">
        <v>12517</v>
      </c>
      <c r="J9" s="20" t="n">
        <v>19394</v>
      </c>
      <c r="K9" s="20" t="n">
        <v>559</v>
      </c>
      <c r="L9" s="20" t="n">
        <v>197</v>
      </c>
      <c r="M9" s="20" t="n">
        <v>362</v>
      </c>
      <c r="N9" s="21">
        <f>IF(B9=E9+H9+K9,"✓",B9-(E9+H9+K9))</f>
        <v/>
      </c>
      <c r="O9" s="21">
        <f>IF(B9=C9+D9,"✓","✗")</f>
        <v/>
      </c>
    </row>
    <row r="10">
      <c r="A10" s="22" t="inlineStr">
        <is>
          <t>10-15</t>
        </is>
      </c>
      <c r="B10" s="23" t="n">
        <v>106672</v>
      </c>
      <c r="C10" s="23" t="n">
        <v>54727</v>
      </c>
      <c r="D10" s="23" t="n">
        <v>51945</v>
      </c>
      <c r="E10" s="23" t="n">
        <v>58521</v>
      </c>
      <c r="F10" s="23" t="n">
        <v>37127</v>
      </c>
      <c r="G10" s="23" t="n">
        <v>21394</v>
      </c>
      <c r="H10" s="23" t="n">
        <v>47135</v>
      </c>
      <c r="I10" s="23" t="n">
        <v>17302</v>
      </c>
      <c r="J10" s="23" t="n">
        <v>29833</v>
      </c>
      <c r="K10" s="23" t="n">
        <v>1016</v>
      </c>
      <c r="L10" s="23" t="n">
        <v>298</v>
      </c>
      <c r="M10" s="23" t="n">
        <v>718</v>
      </c>
      <c r="N10" s="24">
        <f>IF(B10=E10+H10+K10,"✓",B10-(E10+H10+K10))</f>
        <v/>
      </c>
      <c r="O10" s="24">
        <f>IF(B10=C10+D10,"✓","✗")</f>
        <v/>
      </c>
    </row>
    <row r="11">
      <c r="A11" s="19" t="inlineStr">
        <is>
          <t>15-20</t>
        </is>
      </c>
      <c r="B11" s="20" t="n">
        <v>87004</v>
      </c>
      <c r="C11" s="20" t="n">
        <v>41359</v>
      </c>
      <c r="D11" s="20" t="n">
        <v>45645</v>
      </c>
      <c r="E11" s="20" t="n">
        <v>18697</v>
      </c>
      <c r="F11" s="20" t="n">
        <v>15027</v>
      </c>
      <c r="G11" s="20" t="n">
        <v>3670</v>
      </c>
      <c r="H11" s="20" t="n">
        <v>66556</v>
      </c>
      <c r="I11" s="20" t="n">
        <v>25943</v>
      </c>
      <c r="J11" s="20" t="n">
        <v>40613</v>
      </c>
      <c r="K11" s="20" t="n">
        <v>1751</v>
      </c>
      <c r="L11" s="20" t="n">
        <v>389</v>
      </c>
      <c r="M11" s="20" t="n">
        <v>1362</v>
      </c>
      <c r="N11" s="21">
        <f>IF(B11=E11+H11+K11,"✓",B11-(E11+H11+K11))</f>
        <v/>
      </c>
      <c r="O11" s="21">
        <f>IF(B11=C11+D11,"✓","✗")</f>
        <v/>
      </c>
    </row>
    <row r="12">
      <c r="A12" s="22" t="inlineStr">
        <is>
          <t>20-30</t>
        </is>
      </c>
      <c r="B12" s="23" t="n">
        <v>171411</v>
      </c>
      <c r="C12" s="23" t="n">
        <v>85906</v>
      </c>
      <c r="D12" s="23" t="n">
        <v>85505</v>
      </c>
      <c r="E12" s="23" t="n">
        <v>17829</v>
      </c>
      <c r="F12" s="23" t="n">
        <v>13965</v>
      </c>
      <c r="G12" s="23" t="n">
        <v>3864</v>
      </c>
      <c r="H12" s="23" t="n">
        <v>146845</v>
      </c>
      <c r="I12" s="23" t="n">
        <v>70129</v>
      </c>
      <c r="J12" s="23" t="n">
        <v>76716</v>
      </c>
      <c r="K12" s="23" t="n">
        <v>6737</v>
      </c>
      <c r="L12" s="23" t="n">
        <v>1812</v>
      </c>
      <c r="M12" s="23" t="n">
        <v>4925</v>
      </c>
      <c r="N12" s="24">
        <f>IF(B12=E12+H12+K12,"✓",B12-(E12+H12+K12))</f>
        <v/>
      </c>
      <c r="O12" s="24">
        <f>IF(B12=C12+D12,"✓","✗")</f>
        <v/>
      </c>
    </row>
    <row r="13">
      <c r="A13" s="19" t="inlineStr">
        <is>
          <t>30-40</t>
        </is>
      </c>
      <c r="B13" s="20" t="n">
        <v>127118</v>
      </c>
      <c r="C13" s="20" t="n">
        <v>66141</v>
      </c>
      <c r="D13" s="20" t="n">
        <v>60977</v>
      </c>
      <c r="E13" s="20" t="n">
        <v>4542</v>
      </c>
      <c r="F13" s="20" t="n">
        <v>3185</v>
      </c>
      <c r="G13" s="20" t="n">
        <v>1357</v>
      </c>
      <c r="H13" s="20" t="n">
        <v>108674</v>
      </c>
      <c r="I13" s="20" t="n">
        <v>59451</v>
      </c>
      <c r="J13" s="20" t="n">
        <v>49223</v>
      </c>
      <c r="K13" s="20" t="n">
        <v>13902</v>
      </c>
      <c r="L13" s="20" t="n">
        <v>3505</v>
      </c>
      <c r="M13" s="20" t="n">
        <v>10397</v>
      </c>
      <c r="N13" s="21">
        <f>IF(B13=E13+H13+K13,"✓",B13-(E13+H13+K13))</f>
        <v/>
      </c>
      <c r="O13" s="21">
        <f>IF(B13=C13+D13,"✓","✗")</f>
        <v/>
      </c>
    </row>
    <row r="14">
      <c r="A14" s="22" t="inlineStr">
        <is>
          <t>40-50</t>
        </is>
      </c>
      <c r="B14" s="23" t="n">
        <v>86284</v>
      </c>
      <c r="C14" s="23" t="n">
        <v>45686</v>
      </c>
      <c r="D14" s="23" t="n">
        <v>40598</v>
      </c>
      <c r="E14" s="23" t="n">
        <v>2468</v>
      </c>
      <c r="F14" s="23" t="n">
        <v>1445</v>
      </c>
      <c r="G14" s="23" t="n">
        <v>1023</v>
      </c>
      <c r="H14" s="23" t="n">
        <v>64465</v>
      </c>
      <c r="I14" s="23" t="n">
        <v>39478</v>
      </c>
      <c r="J14" s="23" t="n">
        <v>24987</v>
      </c>
      <c r="K14" s="23" t="n">
        <v>19351</v>
      </c>
      <c r="L14" s="23" t="n">
        <v>4763</v>
      </c>
      <c r="M14" s="23" t="n">
        <v>14588</v>
      </c>
      <c r="N14" s="24">
        <f>IF(B14=E14+H14+K14,"✓",B14-(E14+H14+K14))</f>
        <v/>
      </c>
      <c r="O14" s="24">
        <f>IF(B14=C14+D14,"✓","✗")</f>
        <v/>
      </c>
    </row>
    <row r="15">
      <c r="A15" s="19" t="inlineStr">
        <is>
          <t>50-60</t>
        </is>
      </c>
      <c r="B15" s="20" t="n">
        <v>52714</v>
      </c>
      <c r="C15" s="20" t="n">
        <v>27162</v>
      </c>
      <c r="D15" s="20" t="n">
        <v>25552</v>
      </c>
      <c r="E15" s="20" t="n">
        <v>955</v>
      </c>
      <c r="F15" s="20" t="n">
        <v>600</v>
      </c>
      <c r="G15" s="20" t="n">
        <v>355</v>
      </c>
      <c r="H15" s="20" t="n">
        <v>33827</v>
      </c>
      <c r="I15" s="20" t="n">
        <v>22361</v>
      </c>
      <c r="J15" s="20" t="n">
        <v>11466</v>
      </c>
      <c r="K15" s="20" t="n">
        <v>17932</v>
      </c>
      <c r="L15" s="20" t="n">
        <v>4201</v>
      </c>
      <c r="M15" s="20" t="n">
        <v>13731</v>
      </c>
      <c r="N15" s="21">
        <f>IF(B15=E15+H15+K15,"✓",B15-(E15+H15+K15))</f>
        <v/>
      </c>
      <c r="O15" s="21">
        <f>IF(B15=C15+D15,"✓","✗")</f>
        <v/>
      </c>
    </row>
    <row r="16">
      <c r="A16" s="22" t="inlineStr">
        <is>
          <t>60 and over</t>
        </is>
      </c>
      <c r="B16" s="23" t="n">
        <v>38177</v>
      </c>
      <c r="C16" s="23" t="n">
        <v>18758</v>
      </c>
      <c r="D16" s="23" t="n">
        <v>19419</v>
      </c>
      <c r="E16" s="23" t="n">
        <v>970</v>
      </c>
      <c r="F16" s="23" t="n">
        <v>624</v>
      </c>
      <c r="G16" s="23" t="n">
        <v>346</v>
      </c>
      <c r="H16" s="23" t="n">
        <v>20471</v>
      </c>
      <c r="I16" s="23" t="n">
        <v>14086</v>
      </c>
      <c r="J16" s="23" t="n">
        <v>6385</v>
      </c>
      <c r="K16" s="23" t="n">
        <v>16736</v>
      </c>
      <c r="L16" s="23" t="n">
        <v>4048</v>
      </c>
      <c r="M16" s="23" t="n">
        <v>12688</v>
      </c>
      <c r="N16" s="24">
        <f>IF(B16=E16+H16+K16,"✓",B16-(E16+H16+K16))</f>
        <v/>
      </c>
      <c r="O16" s="24">
        <f>IF(B16=C16+D16,"✓","✗")</f>
        <v/>
      </c>
    </row>
    <row r="17">
      <c r="A17" s="19" t="inlineStr">
        <is>
          <t>Total</t>
        </is>
      </c>
      <c r="B17" s="20" t="n">
        <v>944793</v>
      </c>
      <c r="C17" s="20" t="n">
        <v>480498</v>
      </c>
      <c r="D17" s="20" t="n">
        <v>464295</v>
      </c>
      <c r="E17" s="20" t="n">
        <v>335575</v>
      </c>
      <c r="F17" s="20" t="n">
        <v>194579</v>
      </c>
      <c r="G17" s="20" t="n">
        <v>140996</v>
      </c>
      <c r="H17" s="20" t="n">
        <v>531071</v>
      </c>
      <c r="I17" s="20" t="n">
        <v>266654</v>
      </c>
      <c r="J17" s="20" t="n">
        <v>264417</v>
      </c>
      <c r="K17" s="20" t="n">
        <v>78147</v>
      </c>
      <c r="L17" s="20" t="n">
        <v>19265</v>
      </c>
      <c r="M17" s="20" t="n">
        <v>58882</v>
      </c>
      <c r="N17" s="21">
        <f>IF(B17=E17+H17+K17,"✓",B17-(E17+H17+K17))</f>
        <v/>
      </c>
      <c r="O17" s="21">
        <f>IF(B17=C17+D17,"✓","✗")</f>
        <v/>
      </c>
    </row>
    <row r="18">
      <c r="A18" s="25" t="inlineStr">
        <is>
          <t>Verify: Sum</t>
        </is>
      </c>
      <c r="B18" s="26">
        <f>IF(SUM(B7:B17)=B6,"✓",SUM(B7:B17)-B6)</f>
        <v/>
      </c>
      <c r="C18" s="26">
        <f>IF(SUM(C7:C17)=C6,"✓",SUM(C7:C17)-C6)</f>
        <v/>
      </c>
      <c r="D18" s="26">
        <f>IF(SUM(D7:D17)=D6,"✓",SUM(D7:D17)-D6)</f>
        <v/>
      </c>
      <c r="E18" s="26">
        <f>IF(SUM(E7:E17)=E6,"✓",SUM(E7:E17)-E6)</f>
        <v/>
      </c>
      <c r="F18" s="26">
        <f>IF(SUM(F7:F17)=F6,"✓",SUM(F7:F17)-F6)</f>
        <v/>
      </c>
      <c r="G18" s="26">
        <f>IF(SUM(G7:G17)=G6,"✓",SUM(G7:G17)-G6)</f>
        <v/>
      </c>
      <c r="H18" s="26">
        <f>IF(SUM(H7:H17)=H6,"✓",SUM(H7:H17)-H6)</f>
        <v/>
      </c>
      <c r="I18" s="26">
        <f>IF(SUM(I7:I17)=I6,"✓",SUM(I7:I17)-I6)</f>
        <v/>
      </c>
      <c r="J18" s="26">
        <f>IF(SUM(J7:J17)=J6,"✓",SUM(J7:J17)-J6)</f>
        <v/>
      </c>
      <c r="K18" s="26">
        <f>IF(SUM(K7:K17)=K6,"✓",SUM(K7:K17)-K6)</f>
        <v/>
      </c>
      <c r="L18" s="26">
        <f>IF(SUM(L7:L17)=L6,"✓",SUM(L7:L17)-L6)</f>
        <v/>
      </c>
      <c r="M18" s="26">
        <f>IF(SUM(M7:M17)=M6,"✓",SUM(M7:M17)-M6)</f>
        <v/>
      </c>
    </row>
    <row r="20">
      <c r="A20" s="3" t="inlineStr">
        <is>
          <t>Hindu (Brahmanic)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Check</t>
        </is>
      </c>
      <c r="O21" s="13" t="inlineStr">
        <is>
          <t>Check</t>
        </is>
      </c>
    </row>
    <row r="22">
      <c r="A22" s="14" t="inlineStr"/>
      <c r="B22" s="15" t="inlineStr">
        <is>
          <t>Persons</t>
        </is>
      </c>
      <c r="C22" s="15" t="inlineStr">
        <is>
          <t>Males</t>
        </is>
      </c>
      <c r="D22" s="15" t="inlineStr">
        <is>
          <t>Females</t>
        </is>
      </c>
      <c r="E22" s="15" t="inlineStr">
        <is>
          <t>Persons</t>
        </is>
      </c>
      <c r="F22" s="15" t="inlineStr">
        <is>
          <t>Males</t>
        </is>
      </c>
      <c r="G22" s="15" t="inlineStr">
        <is>
          <t>Females</t>
        </is>
      </c>
      <c r="H22" s="15" t="inlineStr">
        <is>
          <t>Persons</t>
        </is>
      </c>
      <c r="I22" s="15" t="inlineStr">
        <is>
          <t>Males</t>
        </is>
      </c>
      <c r="J22" s="15" t="inlineStr">
        <is>
          <t>Females</t>
        </is>
      </c>
      <c r="K22" s="15" t="inlineStr">
        <is>
          <t>Persons</t>
        </is>
      </c>
      <c r="L22" s="15" t="inlineStr">
        <is>
          <t>Males</t>
        </is>
      </c>
      <c r="M22" s="15" t="inlineStr">
        <is>
          <t>Females</t>
        </is>
      </c>
      <c r="N22" s="15" t="inlineStr">
        <is>
          <t>P=Sum</t>
        </is>
      </c>
      <c r="O22" s="15" t="inlineStr">
        <is>
          <t>M+F=P</t>
        </is>
      </c>
    </row>
    <row r="23">
      <c r="A23" s="16" t="inlineStr">
        <is>
          <t>Total</t>
        </is>
      </c>
      <c r="B23" s="17" t="n">
        <v>1282428</v>
      </c>
      <c r="C23" s="17" t="n">
        <v>650514</v>
      </c>
      <c r="D23" s="17" t="n">
        <v>631914</v>
      </c>
      <c r="E23" s="17" t="n">
        <v>436168</v>
      </c>
      <c r="F23" s="17" t="n">
        <v>257390</v>
      </c>
      <c r="G23" s="17" t="n">
        <v>178778</v>
      </c>
      <c r="H23" s="17" t="n">
        <v>732998</v>
      </c>
      <c r="I23" s="17" t="n">
        <v>365240</v>
      </c>
      <c r="J23" s="17" t="n">
        <v>367758</v>
      </c>
      <c r="K23" s="17" t="n">
        <v>113262</v>
      </c>
      <c r="L23" s="17" t="n">
        <v>27884</v>
      </c>
      <c r="M23" s="17" t="n">
        <v>85378</v>
      </c>
      <c r="N23" s="18">
        <f>IF(B23=E23+H23+K23,"✓","✗")</f>
        <v/>
      </c>
      <c r="O23" s="18">
        <f>IF(B23=C23+D23,"✓","✗")</f>
        <v/>
      </c>
    </row>
    <row r="24">
      <c r="A24" s="19" t="inlineStr">
        <is>
          <t>0-1</t>
        </is>
      </c>
      <c r="B24" s="20" t="n">
        <v>19199</v>
      </c>
      <c r="C24" s="20" t="n">
        <v>9420</v>
      </c>
      <c r="D24" s="20" t="n">
        <v>9779</v>
      </c>
      <c r="E24" s="20" t="n">
        <v>18701</v>
      </c>
      <c r="F24" s="20" t="n">
        <v>9193</v>
      </c>
      <c r="G24" s="20" t="n">
        <v>9508</v>
      </c>
      <c r="H24" s="20" t="n">
        <v>471</v>
      </c>
      <c r="I24" s="20" t="n">
        <v>225</v>
      </c>
      <c r="J24" s="20" t="n">
        <v>246</v>
      </c>
      <c r="K24" s="20" t="n">
        <v>27</v>
      </c>
      <c r="L24" s="20" t="n">
        <v>2</v>
      </c>
      <c r="M24" s="20" t="n">
        <v>25</v>
      </c>
      <c r="N24" s="21">
        <f>IF(B24=E24+H24+K24,"✓",B24-(E24+H24+K24))</f>
        <v/>
      </c>
      <c r="O24" s="21">
        <f>IF(B24=C24+D24,"✓","✗")</f>
        <v/>
      </c>
    </row>
    <row r="25">
      <c r="A25" s="22" t="inlineStr">
        <is>
          <t>1-5</t>
        </is>
      </c>
      <c r="B25" s="23" t="n">
        <v>83903</v>
      </c>
      <c r="C25" s="23" t="n">
        <v>43090</v>
      </c>
      <c r="D25" s="23" t="n">
        <v>40813</v>
      </c>
      <c r="E25" s="23" t="n">
        <v>76860</v>
      </c>
      <c r="F25" s="23" t="n">
        <v>39846</v>
      </c>
      <c r="G25" s="23" t="n">
        <v>37014</v>
      </c>
      <c r="H25" s="23" t="n">
        <v>6956</v>
      </c>
      <c r="I25" s="23" t="n">
        <v>3218</v>
      </c>
      <c r="J25" s="23" t="n">
        <v>3738</v>
      </c>
      <c r="K25" s="23" t="n">
        <v>87</v>
      </c>
      <c r="L25" s="23" t="n">
        <v>26</v>
      </c>
      <c r="M25" s="23" t="n">
        <v>61</v>
      </c>
      <c r="N25" s="24">
        <f>IF(B25=E25+H25+K25,"✓",B25-(E25+H25+K25))</f>
        <v/>
      </c>
      <c r="O25" s="24">
        <f>IF(B25=C25+D25,"✓","✗")</f>
        <v/>
      </c>
    </row>
    <row r="26">
      <c r="A26" s="19" t="inlineStr">
        <is>
          <t>5-10</t>
        </is>
      </c>
      <c r="B26" s="20" t="n">
        <v>80346</v>
      </c>
      <c r="C26" s="20" t="n">
        <v>41519</v>
      </c>
      <c r="D26" s="20" t="n">
        <v>38827</v>
      </c>
      <c r="E26" s="20" t="n">
        <v>56677</v>
      </c>
      <c r="F26" s="20" t="n">
        <v>32800</v>
      </c>
      <c r="G26" s="20" t="n">
        <v>23877</v>
      </c>
      <c r="H26" s="20" t="n">
        <v>23241</v>
      </c>
      <c r="I26" s="20" t="n">
        <v>8570</v>
      </c>
      <c r="J26" s="20" t="n">
        <v>14671</v>
      </c>
      <c r="K26" s="20" t="n">
        <v>428</v>
      </c>
      <c r="L26" s="20" t="n">
        <v>149</v>
      </c>
      <c r="M26" s="20" t="n">
        <v>279</v>
      </c>
      <c r="N26" s="21">
        <f>IF(B26=E26+H26+K26,"✓",B26-(E26+H26+K26))</f>
        <v/>
      </c>
      <c r="O26" s="21">
        <f>IF(B26=C26+D26,"✓","✗")</f>
        <v/>
      </c>
    </row>
    <row r="27">
      <c r="A27" s="22" t="inlineStr">
        <is>
          <t>10-15</t>
        </is>
      </c>
      <c r="B27" s="23" t="n">
        <v>71054</v>
      </c>
      <c r="C27" s="23" t="n">
        <v>36795</v>
      </c>
      <c r="D27" s="23" t="n">
        <v>34259</v>
      </c>
      <c r="E27" s="23" t="n">
        <v>37353</v>
      </c>
      <c r="F27" s="23" t="n">
        <v>24833</v>
      </c>
      <c r="G27" s="23" t="n">
        <v>12520</v>
      </c>
      <c r="H27" s="23" t="n">
        <v>32878</v>
      </c>
      <c r="I27" s="23" t="n">
        <v>11718</v>
      </c>
      <c r="J27" s="23" t="n">
        <v>21160</v>
      </c>
      <c r="K27" s="23" t="n">
        <v>823</v>
      </c>
      <c r="L27" s="23" t="n">
        <v>244</v>
      </c>
      <c r="M27" s="23" t="n">
        <v>579</v>
      </c>
      <c r="N27" s="24">
        <f>IF(B27=E27+H27+K27,"✓",B27-(E27+H27+K27))</f>
        <v/>
      </c>
      <c r="O27" s="24">
        <f>IF(B27=C27+D27,"✓","✗")</f>
        <v/>
      </c>
    </row>
    <row r="28">
      <c r="A28" s="19" t="inlineStr">
        <is>
          <t>15-20</t>
        </is>
      </c>
      <c r="B28" s="20" t="n">
        <v>58810</v>
      </c>
      <c r="C28" s="20" t="n">
        <v>27681</v>
      </c>
      <c r="D28" s="20" t="n">
        <v>31129</v>
      </c>
      <c r="E28" s="20" t="n">
        <v>11490</v>
      </c>
      <c r="F28" s="20" t="n">
        <v>9538</v>
      </c>
      <c r="G28" s="20" t="n">
        <v>1952</v>
      </c>
      <c r="H28" s="20" t="n">
        <v>46054</v>
      </c>
      <c r="I28" s="20" t="n">
        <v>17843</v>
      </c>
      <c r="J28" s="20" t="n">
        <v>28211</v>
      </c>
      <c r="K28" s="20" t="n">
        <v>1266</v>
      </c>
      <c r="L28" s="20" t="n">
        <v>300</v>
      </c>
      <c r="M28" s="20" t="n">
        <v>966</v>
      </c>
      <c r="N28" s="21">
        <f>IF(B28=E28+H28+K28,"✓",B28-(E28+H28+K28))</f>
        <v/>
      </c>
      <c r="O28" s="21">
        <f>IF(B28=C28+D28,"✓","✗")</f>
        <v/>
      </c>
    </row>
    <row r="29">
      <c r="A29" s="22" t="inlineStr">
        <is>
          <t>20-30</t>
        </is>
      </c>
      <c r="B29" s="23" t="n">
        <v>118152</v>
      </c>
      <c r="C29" s="23" t="n">
        <v>59347</v>
      </c>
      <c r="D29" s="23" t="n">
        <v>58805</v>
      </c>
      <c r="E29" s="23" t="n">
        <v>11474</v>
      </c>
      <c r="F29" s="23" t="n">
        <v>8983</v>
      </c>
      <c r="G29" s="23" t="n">
        <v>2491</v>
      </c>
      <c r="H29" s="23" t="n">
        <v>101614</v>
      </c>
      <c r="I29" s="23" t="n">
        <v>49073</v>
      </c>
      <c r="J29" s="23" t="n">
        <v>52541</v>
      </c>
      <c r="K29" s="23" t="n">
        <v>5064</v>
      </c>
      <c r="L29" s="23" t="n">
        <v>1291</v>
      </c>
      <c r="M29" s="23" t="n">
        <v>3773</v>
      </c>
      <c r="N29" s="24">
        <f>IF(B29=E29+H29+K29,"✓",B29-(E29+H29+K29))</f>
        <v/>
      </c>
      <c r="O29" s="24">
        <f>IF(B29=C29+D29,"✓","✗")</f>
        <v/>
      </c>
    </row>
    <row r="30">
      <c r="A30" s="19" t="inlineStr">
        <is>
          <t>30-40</t>
        </is>
      </c>
      <c r="B30" s="20" t="n">
        <v>87099</v>
      </c>
      <c r="C30" s="20" t="n">
        <v>44706</v>
      </c>
      <c r="D30" s="20" t="n">
        <v>42393</v>
      </c>
      <c r="E30" s="20" t="n">
        <v>2803</v>
      </c>
      <c r="F30" s="20" t="n">
        <v>1800</v>
      </c>
      <c r="G30" s="20" t="n">
        <v>1003</v>
      </c>
      <c r="H30" s="20" t="n">
        <v>74328</v>
      </c>
      <c r="I30" s="20" t="n">
        <v>40583</v>
      </c>
      <c r="J30" s="20" t="n">
        <v>33745</v>
      </c>
      <c r="K30" s="20" t="n">
        <v>9968</v>
      </c>
      <c r="L30" s="20" t="n">
        <v>2323</v>
      </c>
      <c r="M30" s="20" t="n">
        <v>7645</v>
      </c>
      <c r="N30" s="21">
        <f>IF(B30=E30+H30+K30,"✓",B30-(E30+H30+K30))</f>
        <v/>
      </c>
      <c r="O30" s="21">
        <f>IF(B30=C30+D30,"✓","✗")</f>
        <v/>
      </c>
    </row>
    <row r="31">
      <c r="A31" s="22" t="inlineStr">
        <is>
          <t>40-50</t>
        </is>
      </c>
      <c r="B31" s="23" t="n">
        <v>60234</v>
      </c>
      <c r="C31" s="23" t="n">
        <v>31554</v>
      </c>
      <c r="D31" s="23" t="n">
        <v>28680</v>
      </c>
      <c r="E31" s="23" t="n">
        <v>1575</v>
      </c>
      <c r="F31" s="23" t="n">
        <v>900</v>
      </c>
      <c r="G31" s="23" t="n">
        <v>675</v>
      </c>
      <c r="H31" s="23" t="n">
        <v>44476</v>
      </c>
      <c r="I31" s="23" t="n">
        <v>27068</v>
      </c>
      <c r="J31" s="23" t="n">
        <v>17408</v>
      </c>
      <c r="K31" s="23" t="n">
        <v>14183</v>
      </c>
      <c r="L31" s="23" t="n">
        <v>3586</v>
      </c>
      <c r="M31" s="23" t="n">
        <v>10597</v>
      </c>
      <c r="N31" s="24">
        <f>IF(B31=E31+H31+K31,"✓",B31-(E31+H31+K31))</f>
        <v/>
      </c>
      <c r="O31" s="24">
        <f>IF(B31=C31+D31,"✓","✗")</f>
        <v/>
      </c>
    </row>
    <row r="32">
      <c r="A32" s="19" t="inlineStr">
        <is>
          <t>50-60</t>
        </is>
      </c>
      <c r="B32" s="20" t="n">
        <v>36835</v>
      </c>
      <c r="C32" s="20" t="n">
        <v>18510</v>
      </c>
      <c r="D32" s="20" t="n">
        <v>18325</v>
      </c>
      <c r="E32" s="20" t="n">
        <v>608</v>
      </c>
      <c r="F32" s="20" t="n">
        <v>378</v>
      </c>
      <c r="G32" s="20" t="n">
        <v>230</v>
      </c>
      <c r="H32" s="20" t="n">
        <v>23338</v>
      </c>
      <c r="I32" s="20" t="n">
        <v>15075</v>
      </c>
      <c r="J32" s="20" t="n">
        <v>8263</v>
      </c>
      <c r="K32" s="20" t="n">
        <v>12889</v>
      </c>
      <c r="L32" s="20" t="n">
        <v>3057</v>
      </c>
      <c r="M32" s="20" t="n">
        <v>9832</v>
      </c>
      <c r="N32" s="21">
        <f>IF(B32=E32+H32+K32,"✓",B32-(E32+H32+K32))</f>
        <v/>
      </c>
      <c r="O32" s="21">
        <f>IF(B32=C32+D32,"✓","✗")</f>
        <v/>
      </c>
    </row>
    <row r="33">
      <c r="A33" s="22" t="inlineStr">
        <is>
          <t>60 and over</t>
        </is>
      </c>
      <c r="B33" s="23" t="n">
        <v>25582</v>
      </c>
      <c r="C33" s="23" t="n">
        <v>12635</v>
      </c>
      <c r="D33" s="23" t="n">
        <v>12947</v>
      </c>
      <c r="E33" s="23" t="n">
        <v>543</v>
      </c>
      <c r="F33" s="23" t="n">
        <v>424</v>
      </c>
      <c r="G33" s="23" t="n">
        <v>119</v>
      </c>
      <c r="H33" s="23" t="n">
        <v>13143</v>
      </c>
      <c r="I33" s="23" t="n">
        <v>9247</v>
      </c>
      <c r="J33" s="23" t="n">
        <v>3896</v>
      </c>
      <c r="K33" s="23" t="n">
        <v>11896</v>
      </c>
      <c r="L33" s="23" t="n">
        <v>2964</v>
      </c>
      <c r="M33" s="23" t="n">
        <v>8932</v>
      </c>
      <c r="N33" s="24">
        <f>IF(B33=E33+H33+K33,"✓",B33-(E33+H33+K33))</f>
        <v/>
      </c>
      <c r="O33" s="24">
        <f>IF(B33=C33+D33,"✓","✗")</f>
        <v/>
      </c>
    </row>
    <row r="34">
      <c r="A34" s="19" t="inlineStr">
        <is>
          <t>Total</t>
        </is>
      </c>
      <c r="B34" s="20" t="n">
        <v>641214</v>
      </c>
      <c r="C34" s="20" t="n">
        <v>325257</v>
      </c>
      <c r="D34" s="20" t="n">
        <v>315957</v>
      </c>
      <c r="E34" s="20" t="n">
        <v>218084</v>
      </c>
      <c r="F34" s="20" t="n">
        <v>128695</v>
      </c>
      <c r="G34" s="20" t="n">
        <v>89389</v>
      </c>
      <c r="H34" s="20" t="n">
        <v>366499</v>
      </c>
      <c r="I34" s="20" t="n">
        <v>182620</v>
      </c>
      <c r="J34" s="20" t="n">
        <v>183879</v>
      </c>
      <c r="K34" s="20" t="n">
        <v>56631</v>
      </c>
      <c r="L34" s="20" t="n">
        <v>13942</v>
      </c>
      <c r="M34" s="20" t="n">
        <v>42689</v>
      </c>
      <c r="N34" s="21">
        <f>IF(B34=E34+H34+K34,"✓",B34-(E34+H34+K34))</f>
        <v/>
      </c>
      <c r="O34" s="21">
        <f>IF(B34=C34+D34,"✓","✗")</f>
        <v/>
      </c>
    </row>
    <row r="35">
      <c r="A35" s="25" t="inlineStr">
        <is>
          <t>Verify: Sum</t>
        </is>
      </c>
      <c r="B35" s="26">
        <f>IF(SUM(B24:B34)=B23,"✓",SUM(B24:B34)-B23)</f>
        <v/>
      </c>
      <c r="C35" s="26">
        <f>IF(SUM(C24:C34)=C23,"✓",SUM(C24:C34)-C23)</f>
        <v/>
      </c>
      <c r="D35" s="26">
        <f>IF(SUM(D24:D34)=D23,"✓",SUM(D24:D34)-D23)</f>
        <v/>
      </c>
      <c r="E35" s="26">
        <f>IF(SUM(E24:E34)=E23,"✓",SUM(E24:E34)-E23)</f>
        <v/>
      </c>
      <c r="F35" s="26">
        <f>IF(SUM(F24:F34)=F23,"✓",SUM(F24:F34)-F23)</f>
        <v/>
      </c>
      <c r="G35" s="26">
        <f>IF(SUM(G24:G34)=G23,"✓",SUM(G24:G34)-G23)</f>
        <v/>
      </c>
      <c r="H35" s="26">
        <f>IF(SUM(H24:H34)=H23,"✓",SUM(H24:H34)-H23)</f>
        <v/>
      </c>
      <c r="I35" s="26">
        <f>IF(SUM(I24:I34)=I23,"✓",SUM(I24:I34)-I23)</f>
        <v/>
      </c>
      <c r="J35" s="26">
        <f>IF(SUM(J24:J34)=J23,"✓",SUM(J24:J34)-J23)</f>
        <v/>
      </c>
      <c r="K35" s="26">
        <f>IF(SUM(K24:K34)=K23,"✓",SUM(K24:K34)-K23)</f>
        <v/>
      </c>
      <c r="L35" s="26">
        <f>IF(SUM(L24:L34)=L23,"✓",SUM(L24:L34)-L23)</f>
        <v/>
      </c>
      <c r="M35" s="26">
        <f>IF(SUM(M24:M34)=M23,"✓",SUM(M24:M34)-M23)</f>
        <v/>
      </c>
    </row>
    <row r="37">
      <c r="A37" s="3" t="inlineStr">
        <is>
          <t>Adi Hindu</t>
        </is>
      </c>
    </row>
    <row r="38">
      <c r="A38" s="4" t="inlineStr">
        <is>
          <t>Age</t>
        </is>
      </c>
      <c r="B38" s="5" t="inlineStr">
        <is>
          <t>POPULATION</t>
        </is>
      </c>
      <c r="C38" s="6" t="n"/>
      <c r="D38" s="6" t="n"/>
      <c r="E38" s="7" t="inlineStr">
        <is>
          <t>UNMARRIED</t>
        </is>
      </c>
      <c r="F38" s="8" t="n"/>
      <c r="G38" s="8" t="n"/>
      <c r="H38" s="9" t="inlineStr">
        <is>
          <t>MARRIED</t>
        </is>
      </c>
      <c r="I38" s="10" t="n"/>
      <c r="J38" s="10" t="n"/>
      <c r="K38" s="11" t="inlineStr">
        <is>
          <t>WIDOWED</t>
        </is>
      </c>
      <c r="L38" s="12" t="n"/>
      <c r="M38" s="12" t="n"/>
      <c r="N38" s="13" t="inlineStr">
        <is>
          <t>Check</t>
        </is>
      </c>
      <c r="O38" s="13" t="inlineStr">
        <is>
          <t>Check</t>
        </is>
      </c>
    </row>
    <row r="39">
      <c r="A39" s="14" t="inlineStr"/>
      <c r="B39" s="15" t="inlineStr">
        <is>
          <t>Persons</t>
        </is>
      </c>
      <c r="C39" s="15" t="inlineStr">
        <is>
          <t>Males</t>
        </is>
      </c>
      <c r="D39" s="15" t="inlineStr">
        <is>
          <t>Females</t>
        </is>
      </c>
      <c r="E39" s="15" t="inlineStr">
        <is>
          <t>Persons</t>
        </is>
      </c>
      <c r="F39" s="15" t="inlineStr">
        <is>
          <t>Males</t>
        </is>
      </c>
      <c r="G39" s="15" t="inlineStr">
        <is>
          <t>Females</t>
        </is>
      </c>
      <c r="H39" s="15" t="inlineStr">
        <is>
          <t>Persons</t>
        </is>
      </c>
      <c r="I39" s="15" t="inlineStr">
        <is>
          <t>Males</t>
        </is>
      </c>
      <c r="J39" s="15" t="inlineStr">
        <is>
          <t>Females</t>
        </is>
      </c>
      <c r="K39" s="15" t="inlineStr">
        <is>
          <t>Persons</t>
        </is>
      </c>
      <c r="L39" s="15" t="inlineStr">
        <is>
          <t>Males</t>
        </is>
      </c>
      <c r="M39" s="15" t="inlineStr">
        <is>
          <t>Females</t>
        </is>
      </c>
      <c r="N39" s="15" t="inlineStr">
        <is>
          <t>P=Sum</t>
        </is>
      </c>
      <c r="O39" s="15" t="inlineStr">
        <is>
          <t>M+F=P</t>
        </is>
      </c>
    </row>
    <row r="40">
      <c r="A40" s="16" t="inlineStr">
        <is>
          <t>Total</t>
        </is>
      </c>
      <c r="B40" s="17" t="n">
        <v>280672</v>
      </c>
      <c r="C40" s="17" t="n">
        <v>140646</v>
      </c>
      <c r="D40" s="17" t="n">
        <v>140026</v>
      </c>
      <c r="E40" s="17" t="n">
        <v>99076</v>
      </c>
      <c r="F40" s="17" t="n">
        <v>53120</v>
      </c>
      <c r="G40" s="17" t="n">
        <v>45956</v>
      </c>
      <c r="H40" s="17" t="n">
        <v>162354</v>
      </c>
      <c r="I40" s="17" t="n">
        <v>82598</v>
      </c>
      <c r="J40" s="17" t="n">
        <v>79756</v>
      </c>
      <c r="K40" s="17" t="n">
        <v>19242</v>
      </c>
      <c r="L40" s="17" t="n">
        <v>4928</v>
      </c>
      <c r="M40" s="17" t="n">
        <v>14314</v>
      </c>
      <c r="N40" s="18">
        <f>IF(B40=E40+H40+K40,"✓","✗")</f>
        <v/>
      </c>
      <c r="O40" s="18">
        <f>IF(B40=C40+D40,"✓","✗")</f>
        <v/>
      </c>
    </row>
    <row r="41">
      <c r="A41" s="19" t="inlineStr">
        <is>
          <t>Total</t>
        </is>
      </c>
      <c r="B41" s="20" t="n">
        <v>140336</v>
      </c>
      <c r="C41" s="20" t="n">
        <v>70323</v>
      </c>
      <c r="D41" s="20" t="n">
        <v>70013</v>
      </c>
      <c r="E41" s="20" t="n">
        <v>49538</v>
      </c>
      <c r="F41" s="20" t="n">
        <v>26560</v>
      </c>
      <c r="G41" s="20" t="n">
        <v>22978</v>
      </c>
      <c r="H41" s="20" t="n">
        <v>81177</v>
      </c>
      <c r="I41" s="20" t="n">
        <v>41299</v>
      </c>
      <c r="J41" s="20" t="n">
        <v>39878</v>
      </c>
      <c r="K41" s="20" t="n">
        <v>9621</v>
      </c>
      <c r="L41" s="20" t="n">
        <v>2464</v>
      </c>
      <c r="M41" s="20" t="n">
        <v>7157</v>
      </c>
      <c r="N41" s="21">
        <f>IF(B41=E41+H41+K41,"✓",B41-(E41+H41+K41))</f>
        <v/>
      </c>
      <c r="O41" s="21">
        <f>IF(B41=C41+D41,"✓","✗")</f>
        <v/>
      </c>
    </row>
    <row r="42">
      <c r="A42" s="22" t="inlineStr">
        <is>
          <t>0-1</t>
        </is>
      </c>
      <c r="B42" s="23" t="n">
        <v>4507</v>
      </c>
      <c r="C42" s="23" t="n">
        <v>2205</v>
      </c>
      <c r="D42" s="23" t="n">
        <v>2302</v>
      </c>
      <c r="E42" s="23" t="n">
        <v>4360</v>
      </c>
      <c r="F42" s="23" t="n">
        <v>2172</v>
      </c>
      <c r="G42" s="23" t="n">
        <v>2188</v>
      </c>
      <c r="H42" s="23" t="n">
        <v>146</v>
      </c>
      <c r="I42" s="23" t="n">
        <v>32</v>
      </c>
      <c r="J42" s="23" t="n">
        <v>114</v>
      </c>
      <c r="K42" s="23" t="n">
        <v>1</v>
      </c>
      <c r="L42" s="23" t="n">
        <v>1</v>
      </c>
      <c r="M42" s="23" t="n">
        <v>0</v>
      </c>
      <c r="N42" s="24">
        <f>IF(B42=E42+H42+K42,"✓",B42-(E42+H42+K42))</f>
        <v/>
      </c>
      <c r="O42" s="24">
        <f>IF(B42=C42+D42,"✓","✗")</f>
        <v/>
      </c>
    </row>
    <row r="43">
      <c r="A43" s="19" t="inlineStr">
        <is>
          <t>1-5</t>
        </is>
      </c>
      <c r="B43" s="20" t="n">
        <v>20120</v>
      </c>
      <c r="C43" s="20" t="n">
        <v>10056</v>
      </c>
      <c r="D43" s="20" t="n">
        <v>10064</v>
      </c>
      <c r="E43" s="20" t="n">
        <v>18625</v>
      </c>
      <c r="F43" s="20" t="n">
        <v>9314</v>
      </c>
      <c r="G43" s="20" t="n">
        <v>9311</v>
      </c>
      <c r="H43" s="20" t="n">
        <v>1472</v>
      </c>
      <c r="I43" s="20" t="n">
        <v>727</v>
      </c>
      <c r="J43" s="20" t="n">
        <v>745</v>
      </c>
      <c r="K43" s="20" t="n">
        <v>23</v>
      </c>
      <c r="L43" s="20" t="n">
        <v>15</v>
      </c>
      <c r="M43" s="20" t="n">
        <v>8</v>
      </c>
      <c r="N43" s="21">
        <f>IF(B43=E43+H43+K43,"✓",B43-(E43+H43+K43))</f>
        <v/>
      </c>
      <c r="O43" s="21">
        <f>IF(B43=C43+D43,"✓","✗")</f>
        <v/>
      </c>
    </row>
    <row r="44">
      <c r="A44" s="22" t="inlineStr">
        <is>
          <t>5-10</t>
        </is>
      </c>
      <c r="B44" s="23" t="n">
        <v>17600</v>
      </c>
      <c r="C44" s="23" t="n">
        <v>8768</v>
      </c>
      <c r="D44" s="23" t="n">
        <v>8832</v>
      </c>
      <c r="E44" s="23" t="n">
        <v>13532</v>
      </c>
      <c r="F44" s="23" t="n">
        <v>7246</v>
      </c>
      <c r="G44" s="23" t="n">
        <v>6286</v>
      </c>
      <c r="H44" s="23" t="n">
        <v>3991</v>
      </c>
      <c r="I44" s="23" t="n">
        <v>1492</v>
      </c>
      <c r="J44" s="23" t="n">
        <v>2499</v>
      </c>
      <c r="K44" s="23" t="n">
        <v>77</v>
      </c>
      <c r="L44" s="23" t="n">
        <v>30</v>
      </c>
      <c r="M44" s="23" t="n">
        <v>47</v>
      </c>
      <c r="N44" s="24">
        <f>IF(B44=E44+H44+K44,"✓",B44-(E44+H44+K44))</f>
        <v/>
      </c>
      <c r="O44" s="24">
        <f>IF(B44=C44+D44,"✓","✗")</f>
        <v/>
      </c>
    </row>
    <row r="45">
      <c r="A45" s="19" t="inlineStr">
        <is>
          <t>10-15</t>
        </is>
      </c>
      <c r="B45" s="20" t="n">
        <v>15906</v>
      </c>
      <c r="C45" s="20" t="n">
        <v>7676</v>
      </c>
      <c r="D45" s="20" t="n">
        <v>8230</v>
      </c>
      <c r="E45" s="20" t="n">
        <v>8359</v>
      </c>
      <c r="F45" s="20" t="n">
        <v>5000</v>
      </c>
      <c r="G45" s="20" t="n">
        <v>3359</v>
      </c>
      <c r="H45" s="20" t="n">
        <v>7450</v>
      </c>
      <c r="I45" s="20" t="n">
        <v>2648</v>
      </c>
      <c r="J45" s="20" t="n">
        <v>4802</v>
      </c>
      <c r="K45" s="20" t="n">
        <v>97</v>
      </c>
      <c r="L45" s="20" t="n">
        <v>28</v>
      </c>
      <c r="M45" s="20" t="n">
        <v>69</v>
      </c>
      <c r="N45" s="21">
        <f>IF(B45=E45+H45+K45,"✓",B45-(E45+H45+K45))</f>
        <v/>
      </c>
      <c r="O45" s="21">
        <f>IF(B45=C45+D45,"✓","✗")</f>
        <v/>
      </c>
    </row>
    <row r="46">
      <c r="A46" s="22" t="inlineStr">
        <is>
          <t>15-20</t>
        </is>
      </c>
      <c r="B46" s="23" t="n">
        <v>12344</v>
      </c>
      <c r="C46" s="23" t="n">
        <v>5511</v>
      </c>
      <c r="D46" s="23" t="n">
        <v>6833</v>
      </c>
      <c r="E46" s="23" t="n">
        <v>2186</v>
      </c>
      <c r="F46" s="23" t="n">
        <v>1464</v>
      </c>
      <c r="G46" s="23" t="n">
        <v>722</v>
      </c>
      <c r="H46" s="23" t="n">
        <v>10000</v>
      </c>
      <c r="I46" s="23" t="n">
        <v>4007</v>
      </c>
      <c r="J46" s="23" t="n">
        <v>5993</v>
      </c>
      <c r="K46" s="23" t="n">
        <v>158</v>
      </c>
      <c r="L46" s="23" t="n">
        <v>40</v>
      </c>
      <c r="M46" s="23" t="n">
        <v>118</v>
      </c>
      <c r="N46" s="24">
        <f>IF(B46=E46+H46+K46,"✓",B46-(E46+H46+K46))</f>
        <v/>
      </c>
      <c r="O46" s="24">
        <f>IF(B46=C46+D46,"✓","✗")</f>
        <v/>
      </c>
    </row>
    <row r="47">
      <c r="A47" s="19" t="inlineStr">
        <is>
          <t>20-30</t>
        </is>
      </c>
      <c r="B47" s="20" t="n">
        <v>24218</v>
      </c>
      <c r="C47" s="20" t="n">
        <v>12116</v>
      </c>
      <c r="D47" s="20" t="n">
        <v>12102</v>
      </c>
      <c r="E47" s="20" t="n">
        <v>1524</v>
      </c>
      <c r="F47" s="20" t="n">
        <v>831</v>
      </c>
      <c r="G47" s="20" t="n">
        <v>693</v>
      </c>
      <c r="H47" s="20" t="n">
        <v>21944</v>
      </c>
      <c r="I47" s="20" t="n">
        <v>11066</v>
      </c>
      <c r="J47" s="20" t="n">
        <v>10878</v>
      </c>
      <c r="K47" s="20" t="n">
        <v>750</v>
      </c>
      <c r="L47" s="20" t="n">
        <v>219</v>
      </c>
      <c r="M47" s="20" t="n">
        <v>531</v>
      </c>
      <c r="N47" s="21">
        <f>IF(B47=E47+H47+K47,"✓",B47-(E47+H47+K47))</f>
        <v/>
      </c>
      <c r="O47" s="21">
        <f>IF(B47=C47+D47,"✓","✗")</f>
        <v/>
      </c>
    </row>
    <row r="48">
      <c r="A48" s="22" t="inlineStr">
        <is>
          <t>30-40</t>
        </is>
      </c>
      <c r="B48" s="23" t="n">
        <v>19428</v>
      </c>
      <c r="C48" s="23" t="n">
        <v>10186</v>
      </c>
      <c r="D48" s="23" t="n">
        <v>9242</v>
      </c>
      <c r="E48" s="23" t="n">
        <v>377</v>
      </c>
      <c r="F48" s="23" t="n">
        <v>237</v>
      </c>
      <c r="G48" s="23" t="n">
        <v>140</v>
      </c>
      <c r="H48" s="23" t="n">
        <v>17089</v>
      </c>
      <c r="I48" s="23" t="n">
        <v>9347</v>
      </c>
      <c r="J48" s="23" t="n">
        <v>7742</v>
      </c>
      <c r="K48" s="23" t="n">
        <v>1962</v>
      </c>
      <c r="L48" s="23" t="n">
        <v>602</v>
      </c>
      <c r="M48" s="23" t="n">
        <v>1360</v>
      </c>
      <c r="N48" s="24">
        <f>IF(B48=E48+H48+K48,"✓",B48-(E48+H48+K48))</f>
        <v/>
      </c>
      <c r="O48" s="24">
        <f>IF(B48=C48+D48,"✓","✗")</f>
        <v/>
      </c>
    </row>
    <row r="49">
      <c r="A49" s="19" t="inlineStr">
        <is>
          <t>40-50</t>
        </is>
      </c>
      <c r="B49" s="20" t="n">
        <v>12995</v>
      </c>
      <c r="C49" s="20" t="n">
        <v>6830</v>
      </c>
      <c r="D49" s="20" t="n">
        <v>6165</v>
      </c>
      <c r="E49" s="20" t="n">
        <v>334</v>
      </c>
      <c r="F49" s="20" t="n">
        <v>181</v>
      </c>
      <c r="G49" s="20" t="n">
        <v>153</v>
      </c>
      <c r="H49" s="20" t="n">
        <v>10167</v>
      </c>
      <c r="I49" s="20" t="n">
        <v>6044</v>
      </c>
      <c r="J49" s="20" t="n">
        <v>4123</v>
      </c>
      <c r="K49" s="20" t="n">
        <v>2494</v>
      </c>
      <c r="L49" s="20" t="n">
        <v>605</v>
      </c>
      <c r="M49" s="20" t="n">
        <v>1889</v>
      </c>
      <c r="N49" s="21">
        <f>IF(B49=E49+H49+K49,"✓",B49-(E49+H49+K49))</f>
        <v/>
      </c>
      <c r="O49" s="21">
        <f>IF(B49=C49+D49,"✓","✗")</f>
        <v/>
      </c>
    </row>
    <row r="50">
      <c r="A50" s="22" t="inlineStr">
        <is>
          <t>50-60</t>
        </is>
      </c>
      <c r="B50" s="23" t="n">
        <v>7684</v>
      </c>
      <c r="C50" s="23" t="n">
        <v>4102</v>
      </c>
      <c r="D50" s="23" t="n">
        <v>3582</v>
      </c>
      <c r="E50" s="23" t="n">
        <v>120</v>
      </c>
      <c r="F50" s="23" t="n">
        <v>45</v>
      </c>
      <c r="G50" s="23" t="n">
        <v>75</v>
      </c>
      <c r="H50" s="23" t="n">
        <v>5387</v>
      </c>
      <c r="I50" s="23" t="n">
        <v>3526</v>
      </c>
      <c r="J50" s="23" t="n">
        <v>1861</v>
      </c>
      <c r="K50" s="23" t="n">
        <v>2177</v>
      </c>
      <c r="L50" s="23" t="n">
        <v>531</v>
      </c>
      <c r="M50" s="23" t="n">
        <v>1646</v>
      </c>
      <c r="N50" s="24">
        <f>IF(B50=E50+H50+K50,"✓",B50-(E50+H50+K50))</f>
        <v/>
      </c>
      <c r="O50" s="24">
        <f>IF(B50=C50+D50,"✓","✗")</f>
        <v/>
      </c>
    </row>
    <row r="51">
      <c r="A51" s="19" t="inlineStr">
        <is>
          <t>60 and over</t>
        </is>
      </c>
      <c r="B51" s="20" t="n">
        <v>5534</v>
      </c>
      <c r="C51" s="20" t="n">
        <v>2873</v>
      </c>
      <c r="D51" s="20" t="n">
        <v>2661</v>
      </c>
      <c r="E51" s="20" t="n">
        <v>121</v>
      </c>
      <c r="F51" s="20" t="n">
        <v>70</v>
      </c>
      <c r="G51" s="20" t="n">
        <v>51</v>
      </c>
      <c r="H51" s="20" t="n">
        <v>3531</v>
      </c>
      <c r="I51" s="20" t="n">
        <v>2410</v>
      </c>
      <c r="J51" s="20" t="n">
        <v>1121</v>
      </c>
      <c r="K51" s="20" t="n">
        <v>1882</v>
      </c>
      <c r="L51" s="20" t="n">
        <v>393</v>
      </c>
      <c r="M51" s="20" t="n">
        <v>1489</v>
      </c>
      <c r="N51" s="21">
        <f>IF(B51=E51+H51+K51,"✓",B51-(E51+H51+K51))</f>
        <v/>
      </c>
      <c r="O51" s="21">
        <f>IF(B51=C51+D51,"✓","✗")</f>
        <v/>
      </c>
    </row>
    <row r="52">
      <c r="A52" s="25" t="inlineStr">
        <is>
          <t>Verify: Sum</t>
        </is>
      </c>
      <c r="B52" s="26">
        <f>IF(SUM(B41:B51)=B40,"✓",SUM(B41:B51)-B40)</f>
        <v/>
      </c>
      <c r="C52" s="26">
        <f>IF(SUM(C41:C51)=C40,"✓",SUM(C41:C51)-C40)</f>
        <v/>
      </c>
      <c r="D52" s="26">
        <f>IF(SUM(D41:D51)=D40,"✓",SUM(D41:D51)-D40)</f>
        <v/>
      </c>
      <c r="E52" s="26">
        <f>IF(SUM(E41:E51)=E40,"✓",SUM(E41:E51)-E40)</f>
        <v/>
      </c>
      <c r="F52" s="26">
        <f>IF(SUM(F41:F51)=F40,"✓",SUM(F41:F51)-F40)</f>
        <v/>
      </c>
      <c r="G52" s="26">
        <f>IF(SUM(G41:G51)=G40,"✓",SUM(G41:G51)-G40)</f>
        <v/>
      </c>
      <c r="H52" s="26">
        <f>IF(SUM(H41:H51)=H40,"✓",SUM(H41:H51)-H40)</f>
        <v/>
      </c>
      <c r="I52" s="26">
        <f>IF(SUM(I41:I51)=I40,"✓",SUM(I41:I51)-I40)</f>
        <v/>
      </c>
      <c r="J52" s="26">
        <f>IF(SUM(J41:J51)=J40,"✓",SUM(J41:J51)-J40)</f>
        <v/>
      </c>
      <c r="K52" s="26">
        <f>IF(SUM(K41:K51)=K40,"✓",SUM(K41:K51)-K40)</f>
        <v/>
      </c>
      <c r="L52" s="26">
        <f>IF(SUM(L41:L51)=L40,"✓",SUM(L41:L51)-L40)</f>
        <v/>
      </c>
      <c r="M52" s="26">
        <f>IF(SUM(M41:M51)=M40,"✓",SUM(M41:M51)-M40)</f>
        <v/>
      </c>
    </row>
    <row r="54">
      <c r="A54" s="3" t="inlineStr">
        <is>
          <t>Muslim</t>
        </is>
      </c>
    </row>
    <row r="55">
      <c r="A55" s="4" t="inlineStr">
        <is>
          <t>Age</t>
        </is>
      </c>
      <c r="B55" s="5" t="inlineStr">
        <is>
          <t>POPULATION</t>
        </is>
      </c>
      <c r="C55" s="6" t="n"/>
      <c r="D55" s="6" t="n"/>
      <c r="E55" s="7" t="inlineStr">
        <is>
          <t>UNMARRIED</t>
        </is>
      </c>
      <c r="F55" s="8" t="n"/>
      <c r="G55" s="8" t="n"/>
      <c r="H55" s="9" t="inlineStr">
        <is>
          <t>MARRIED</t>
        </is>
      </c>
      <c r="I55" s="10" t="n"/>
      <c r="J55" s="10" t="n"/>
      <c r="K55" s="11" t="inlineStr">
        <is>
          <t>WIDOWED</t>
        </is>
      </c>
      <c r="L55" s="12" t="n"/>
      <c r="M55" s="12" t="n"/>
      <c r="N55" s="13" t="inlineStr">
        <is>
          <t>Check</t>
        </is>
      </c>
      <c r="O55" s="13" t="inlineStr">
        <is>
          <t>Check</t>
        </is>
      </c>
    </row>
    <row r="56">
      <c r="A56" s="14" t="inlineStr"/>
      <c r="B56" s="15" t="inlineStr">
        <is>
          <t>Persons</t>
        </is>
      </c>
      <c r="C56" s="15" t="inlineStr">
        <is>
          <t>Males</t>
        </is>
      </c>
      <c r="D56" s="15" t="inlineStr">
        <is>
          <t>Females</t>
        </is>
      </c>
      <c r="E56" s="15" t="inlineStr">
        <is>
          <t>Persons</t>
        </is>
      </c>
      <c r="F56" s="15" t="inlineStr">
        <is>
          <t>Males</t>
        </is>
      </c>
      <c r="G56" s="15" t="inlineStr">
        <is>
          <t>Females</t>
        </is>
      </c>
      <c r="H56" s="15" t="inlineStr">
        <is>
          <t>Persons</t>
        </is>
      </c>
      <c r="I56" s="15" t="inlineStr">
        <is>
          <t>Males</t>
        </is>
      </c>
      <c r="J56" s="15" t="inlineStr">
        <is>
          <t>Females</t>
        </is>
      </c>
      <c r="K56" s="15" t="inlineStr">
        <is>
          <t>Persons</t>
        </is>
      </c>
      <c r="L56" s="15" t="inlineStr">
        <is>
          <t>Males</t>
        </is>
      </c>
      <c r="M56" s="15" t="inlineStr">
        <is>
          <t>Females</t>
        </is>
      </c>
      <c r="N56" s="15" t="inlineStr">
        <is>
          <t>P=Sum</t>
        </is>
      </c>
      <c r="O56" s="15" t="inlineStr">
        <is>
          <t>M+F=P</t>
        </is>
      </c>
    </row>
    <row r="57">
      <c r="A57" s="16" t="inlineStr">
        <is>
          <t>Total</t>
        </is>
      </c>
      <c r="B57" s="17" t="n">
        <v>248882</v>
      </c>
      <c r="C57" s="17" t="n">
        <v>130130</v>
      </c>
      <c r="D57" s="17" t="n">
        <v>118752</v>
      </c>
      <c r="E57" s="17" t="n">
        <v>104974</v>
      </c>
      <c r="F57" s="17" t="n">
        <v>61284</v>
      </c>
      <c r="G57" s="17" t="n">
        <v>43690</v>
      </c>
      <c r="H57" s="17" t="n">
        <v>125284</v>
      </c>
      <c r="I57" s="17" t="n">
        <v>64432</v>
      </c>
      <c r="J57" s="17" t="n">
        <v>60852</v>
      </c>
      <c r="K57" s="17" t="n">
        <v>18624</v>
      </c>
      <c r="L57" s="17" t="n">
        <v>4414</v>
      </c>
      <c r="M57" s="17" t="n">
        <v>14210</v>
      </c>
      <c r="N57" s="18">
        <f>IF(B57=E57+H57+K57,"✓","✗")</f>
        <v/>
      </c>
      <c r="O57" s="18">
        <f>IF(B57=C57+D57,"✓","✗")</f>
        <v/>
      </c>
    </row>
    <row r="58">
      <c r="A58" s="19" t="inlineStr">
        <is>
          <t>Total</t>
        </is>
      </c>
      <c r="B58" s="20" t="n">
        <v>124441</v>
      </c>
      <c r="C58" s="20" t="n">
        <v>65065</v>
      </c>
      <c r="D58" s="20" t="n">
        <v>59376</v>
      </c>
      <c r="E58" s="20" t="n">
        <v>52487</v>
      </c>
      <c r="F58" s="20" t="n">
        <v>30642</v>
      </c>
      <c r="G58" s="20" t="n">
        <v>21845</v>
      </c>
      <c r="H58" s="20" t="n">
        <v>62642</v>
      </c>
      <c r="I58" s="20" t="n">
        <v>32216</v>
      </c>
      <c r="J58" s="20" t="n">
        <v>30426</v>
      </c>
      <c r="K58" s="20" t="n">
        <v>9312</v>
      </c>
      <c r="L58" s="20" t="n">
        <v>2207</v>
      </c>
      <c r="M58" s="20" t="n">
        <v>7105</v>
      </c>
      <c r="N58" s="21">
        <f>IF(B58=E58+H58+K58,"✓",B58-(E58+H58+K58))</f>
        <v/>
      </c>
      <c r="O58" s="21">
        <f>IF(B58=C58+D58,"✓","✗")</f>
        <v/>
      </c>
    </row>
    <row r="59">
      <c r="A59" s="22" t="inlineStr">
        <is>
          <t>0-1</t>
        </is>
      </c>
      <c r="B59" s="23" t="n">
        <v>3602</v>
      </c>
      <c r="C59" s="23" t="n">
        <v>1755</v>
      </c>
      <c r="D59" s="23" t="n">
        <v>1847</v>
      </c>
      <c r="E59" s="23" t="n">
        <v>3540</v>
      </c>
      <c r="F59" s="23" t="n">
        <v>1722</v>
      </c>
      <c r="G59" s="23" t="n">
        <v>1818</v>
      </c>
      <c r="H59" s="23" t="n">
        <v>61</v>
      </c>
      <c r="I59" s="23" t="n">
        <v>33</v>
      </c>
      <c r="J59" s="23" t="n">
        <v>28</v>
      </c>
      <c r="K59" s="23" t="n">
        <v>1</v>
      </c>
      <c r="L59" s="23" t="n">
        <v>0</v>
      </c>
      <c r="M59" s="23" t="n">
        <v>1</v>
      </c>
      <c r="N59" s="24">
        <f>IF(B59=E59+H59+K59,"✓",B59-(E59+H59+K59))</f>
        <v/>
      </c>
      <c r="O59" s="24">
        <f>IF(B59=C59+D59,"✓","✗")</f>
        <v/>
      </c>
    </row>
    <row r="60">
      <c r="A60" s="19" t="inlineStr">
        <is>
          <t>1-5</t>
        </is>
      </c>
      <c r="B60" s="20" t="n">
        <v>16402</v>
      </c>
      <c r="C60" s="20" t="n">
        <v>8431</v>
      </c>
      <c r="D60" s="20" t="n">
        <v>7971</v>
      </c>
      <c r="E60" s="20" t="n">
        <v>14972</v>
      </c>
      <c r="F60" s="20" t="n">
        <v>7586</v>
      </c>
      <c r="G60" s="20" t="n">
        <v>7386</v>
      </c>
      <c r="H60" s="20" t="n">
        <v>1415</v>
      </c>
      <c r="I60" s="20" t="n">
        <v>842</v>
      </c>
      <c r="J60" s="20" t="n">
        <v>573</v>
      </c>
      <c r="K60" s="20" t="n">
        <v>15</v>
      </c>
      <c r="L60" s="20" t="n">
        <v>3</v>
      </c>
      <c r="M60" s="20" t="n">
        <v>12</v>
      </c>
      <c r="N60" s="21">
        <f>IF(B60=E60+H60+K60,"✓",B60-(E60+H60+K60))</f>
        <v/>
      </c>
      <c r="O60" s="21">
        <f>IF(B60=C60+D60,"✓","✗")</f>
        <v/>
      </c>
    </row>
    <row r="61">
      <c r="A61" s="22" t="inlineStr">
        <is>
          <t>5-10</t>
        </is>
      </c>
      <c r="B61" s="23" t="n">
        <v>17219</v>
      </c>
      <c r="C61" s="23" t="n">
        <v>9462</v>
      </c>
      <c r="D61" s="23" t="n">
        <v>7757</v>
      </c>
      <c r="E61" s="23" t="n">
        <v>13688</v>
      </c>
      <c r="F61" s="23" t="n">
        <v>7450</v>
      </c>
      <c r="G61" s="23" t="n">
        <v>6238</v>
      </c>
      <c r="H61" s="23" t="n">
        <v>3497</v>
      </c>
      <c r="I61" s="23" t="n">
        <v>2001</v>
      </c>
      <c r="J61" s="23" t="n">
        <v>1496</v>
      </c>
      <c r="K61" s="23" t="n">
        <v>34</v>
      </c>
      <c r="L61" s="23" t="n">
        <v>11</v>
      </c>
      <c r="M61" s="23" t="n">
        <v>23</v>
      </c>
      <c r="N61" s="24">
        <f>IF(B61=E61+H61+K61,"✓",B61-(E61+H61+K61))</f>
        <v/>
      </c>
      <c r="O61" s="24">
        <f>IF(B61=C61+D61,"✓","✗")</f>
        <v/>
      </c>
    </row>
    <row r="62">
      <c r="A62" s="19" t="inlineStr">
        <is>
          <t>10-15</t>
        </is>
      </c>
      <c r="B62" s="20" t="n">
        <v>15214</v>
      </c>
      <c r="C62" s="20" t="n">
        <v>7845</v>
      </c>
      <c r="D62" s="20" t="n">
        <v>7369</v>
      </c>
      <c r="E62" s="20" t="n">
        <v>10256</v>
      </c>
      <c r="F62" s="20" t="n">
        <v>5636</v>
      </c>
      <c r="G62" s="20" t="n">
        <v>4620</v>
      </c>
      <c r="H62" s="20" t="n">
        <v>4883</v>
      </c>
      <c r="I62" s="20" t="n">
        <v>2191</v>
      </c>
      <c r="J62" s="20" t="n">
        <v>2692</v>
      </c>
      <c r="K62" s="20" t="n">
        <v>75</v>
      </c>
      <c r="L62" s="20" t="n">
        <v>18</v>
      </c>
      <c r="M62" s="20" t="n">
        <v>57</v>
      </c>
      <c r="N62" s="21">
        <f>IF(B62=E62+H62+K62,"✓",B62-(E62+H62+K62))</f>
        <v/>
      </c>
      <c r="O62" s="21">
        <f>IF(B62=C62+D62,"✓","✗")</f>
        <v/>
      </c>
    </row>
    <row r="63">
      <c r="A63" s="22" t="inlineStr">
        <is>
          <t>15-20</t>
        </is>
      </c>
      <c r="B63" s="23" t="n">
        <v>12225</v>
      </c>
      <c r="C63" s="23" t="n">
        <v>6345</v>
      </c>
      <c r="D63" s="23" t="n">
        <v>5880</v>
      </c>
      <c r="E63" s="23" t="n">
        <v>4122</v>
      </c>
      <c r="F63" s="23" t="n">
        <v>3281</v>
      </c>
      <c r="G63" s="23" t="n">
        <v>841</v>
      </c>
      <c r="H63" s="23" t="n">
        <v>7827</v>
      </c>
      <c r="I63" s="23" t="n">
        <v>3029</v>
      </c>
      <c r="J63" s="23" t="n">
        <v>4798</v>
      </c>
      <c r="K63" s="23" t="n">
        <v>276</v>
      </c>
      <c r="L63" s="23" t="n">
        <v>35</v>
      </c>
      <c r="M63" s="23" t="n">
        <v>241</v>
      </c>
      <c r="N63" s="24">
        <f>IF(B63=E63+H63+K63,"✓",B63-(E63+H63+K63))</f>
        <v/>
      </c>
      <c r="O63" s="24">
        <f>IF(B63=C63+D63,"✓","✗")</f>
        <v/>
      </c>
    </row>
    <row r="64">
      <c r="A64" s="19" t="inlineStr">
        <is>
          <t>20-30</t>
        </is>
      </c>
      <c r="B64" s="20" t="n">
        <v>22214</v>
      </c>
      <c r="C64" s="20" t="n">
        <v>10897</v>
      </c>
      <c r="D64" s="20" t="n">
        <v>11317</v>
      </c>
      <c r="E64" s="20" t="n">
        <v>3984</v>
      </c>
      <c r="F64" s="20" t="n">
        <v>3467</v>
      </c>
      <c r="G64" s="20" t="n">
        <v>517</v>
      </c>
      <c r="H64" s="20" t="n">
        <v>17511</v>
      </c>
      <c r="I64" s="20" t="n">
        <v>7182</v>
      </c>
      <c r="J64" s="20" t="n">
        <v>10329</v>
      </c>
      <c r="K64" s="20" t="n">
        <v>719</v>
      </c>
      <c r="L64" s="20" t="n">
        <v>248</v>
      </c>
      <c r="M64" s="20" t="n">
        <v>471</v>
      </c>
      <c r="N64" s="21">
        <f>IF(B64=E64+H64+K64,"✓",B64-(E64+H64+K64))</f>
        <v/>
      </c>
      <c r="O64" s="21">
        <f>IF(B64=C64+D64,"✓","✗")</f>
        <v/>
      </c>
    </row>
    <row r="65">
      <c r="A65" s="22" t="inlineStr">
        <is>
          <t>30-40</t>
        </is>
      </c>
      <c r="B65" s="23" t="n">
        <v>15612</v>
      </c>
      <c r="C65" s="23" t="n">
        <v>8564</v>
      </c>
      <c r="D65" s="23" t="n">
        <v>7048</v>
      </c>
      <c r="E65" s="23" t="n">
        <v>1127</v>
      </c>
      <c r="F65" s="23" t="n">
        <v>949</v>
      </c>
      <c r="G65" s="23" t="n">
        <v>178</v>
      </c>
      <c r="H65" s="23" t="n">
        <v>12924</v>
      </c>
      <c r="I65" s="23" t="n">
        <v>7173</v>
      </c>
      <c r="J65" s="23" t="n">
        <v>5751</v>
      </c>
      <c r="K65" s="23" t="n">
        <v>1561</v>
      </c>
      <c r="L65" s="23" t="n">
        <v>442</v>
      </c>
      <c r="M65" s="23" t="n">
        <v>1119</v>
      </c>
      <c r="N65" s="24">
        <f>IF(B65=E65+H65+K65,"✓",B65-(E65+H65+K65))</f>
        <v/>
      </c>
      <c r="O65" s="24">
        <f>IF(B65=C65+D65,"✓","✗")</f>
        <v/>
      </c>
    </row>
    <row r="66">
      <c r="A66" s="19" t="inlineStr">
        <is>
          <t>40-50</t>
        </is>
      </c>
      <c r="B66" s="20" t="n">
        <v>9977</v>
      </c>
      <c r="C66" s="20" t="n">
        <v>5670</v>
      </c>
      <c r="D66" s="20" t="n">
        <v>4307</v>
      </c>
      <c r="E66" s="20" t="n">
        <v>371</v>
      </c>
      <c r="F66" s="20" t="n">
        <v>292</v>
      </c>
      <c r="G66" s="20" t="n">
        <v>79</v>
      </c>
      <c r="H66" s="20" t="n">
        <v>7519</v>
      </c>
      <c r="I66" s="20" t="n">
        <v>4929</v>
      </c>
      <c r="J66" s="20" t="n">
        <v>2590</v>
      </c>
      <c r="K66" s="20" t="n">
        <v>2087</v>
      </c>
      <c r="L66" s="20" t="n">
        <v>449</v>
      </c>
      <c r="M66" s="20" t="n">
        <v>1638</v>
      </c>
      <c r="N66" s="21">
        <f>IF(B66=E66+H66+K66,"✓",B66-(E66+H66+K66))</f>
        <v/>
      </c>
      <c r="O66" s="21">
        <f>IF(B66=C66+D66,"✓","✗")</f>
        <v/>
      </c>
    </row>
    <row r="67">
      <c r="A67" s="22" t="inlineStr">
        <is>
          <t>50-60</t>
        </is>
      </c>
      <c r="B67" s="23" t="n">
        <v>6352</v>
      </c>
      <c r="C67" s="23" t="n">
        <v>3535</v>
      </c>
      <c r="D67" s="23" t="n">
        <v>2817</v>
      </c>
      <c r="E67" s="23" t="n">
        <v>187</v>
      </c>
      <c r="F67" s="23" t="n">
        <v>144</v>
      </c>
      <c r="G67" s="23" t="n">
        <v>43</v>
      </c>
      <c r="H67" s="23" t="n">
        <v>3957</v>
      </c>
      <c r="I67" s="23" t="n">
        <v>2942</v>
      </c>
      <c r="J67" s="23" t="n">
        <v>1015</v>
      </c>
      <c r="K67" s="23" t="n">
        <v>2208</v>
      </c>
      <c r="L67" s="23" t="n">
        <v>449</v>
      </c>
      <c r="M67" s="23" t="n">
        <v>1759</v>
      </c>
      <c r="N67" s="24">
        <f>IF(B67=E67+H67+K67,"✓",B67-(E67+H67+K67))</f>
        <v/>
      </c>
      <c r="O67" s="24">
        <f>IF(B67=C67+D67,"✓","✗")</f>
        <v/>
      </c>
    </row>
    <row r="68">
      <c r="A68" s="19" t="inlineStr">
        <is>
          <t>60 and over</t>
        </is>
      </c>
      <c r="B68" s="20" t="n">
        <v>5624</v>
      </c>
      <c r="C68" s="20" t="n">
        <v>2561</v>
      </c>
      <c r="D68" s="20" t="n">
        <v>3063</v>
      </c>
      <c r="E68" s="20" t="n">
        <v>240</v>
      </c>
      <c r="F68" s="20" t="n">
        <v>115</v>
      </c>
      <c r="G68" s="20" t="n">
        <v>125</v>
      </c>
      <c r="H68" s="20" t="n">
        <v>3048</v>
      </c>
      <c r="I68" s="20" t="n">
        <v>1894</v>
      </c>
      <c r="J68" s="20" t="n">
        <v>1154</v>
      </c>
      <c r="K68" s="20" t="n">
        <v>2336</v>
      </c>
      <c r="L68" s="20" t="n">
        <v>552</v>
      </c>
      <c r="M68" s="20" t="n">
        <v>1784</v>
      </c>
      <c r="N68" s="21">
        <f>IF(B68=E68+H68+K68,"✓",B68-(E68+H68+K68))</f>
        <v/>
      </c>
      <c r="O68" s="21">
        <f>IF(B68=C68+D68,"✓","✗")</f>
        <v/>
      </c>
    </row>
    <row r="69">
      <c r="A69" s="25" t="inlineStr">
        <is>
          <t>Verify: Sum</t>
        </is>
      </c>
      <c r="B69" s="26">
        <f>IF(SUM(B58:B68)=B57,"✓",SUM(B58:B68)-B57)</f>
        <v/>
      </c>
      <c r="C69" s="26">
        <f>IF(SUM(C58:C68)=C57,"✓",SUM(C58:C68)-C57)</f>
        <v/>
      </c>
      <c r="D69" s="26">
        <f>IF(SUM(D58:D68)=D57,"✓",SUM(D58:D68)-D57)</f>
        <v/>
      </c>
      <c r="E69" s="26">
        <f>IF(SUM(E58:E68)=E57,"✓",SUM(E58:E68)-E57)</f>
        <v/>
      </c>
      <c r="F69" s="26">
        <f>IF(SUM(F58:F68)=F57,"✓",SUM(F58:F68)-F57)</f>
        <v/>
      </c>
      <c r="G69" s="26">
        <f>IF(SUM(G58:G68)=G57,"✓",SUM(G58:G68)-G57)</f>
        <v/>
      </c>
      <c r="H69" s="26">
        <f>IF(SUM(H58:H68)=H57,"✓",SUM(H58:H68)-H57)</f>
        <v/>
      </c>
      <c r="I69" s="26">
        <f>IF(SUM(I58:I68)=I57,"✓",SUM(I58:I68)-I57)</f>
        <v/>
      </c>
      <c r="J69" s="26">
        <f>IF(SUM(J58:J68)=J57,"✓",SUM(J58:J68)-J57)</f>
        <v/>
      </c>
      <c r="K69" s="26">
        <f>IF(SUM(K58:K68)=K57,"✓",SUM(K58:K68)-K57)</f>
        <v/>
      </c>
      <c r="L69" s="26">
        <f>IF(SUM(L58:L68)=L57,"✓",SUM(L58:L68)-L57)</f>
        <v/>
      </c>
      <c r="M69" s="26">
        <f>IF(SUM(M58:M68)=M57,"✓",SUM(M58:M68)-M57)</f>
        <v/>
      </c>
    </row>
  </sheetData>
  <mergeCells count="16">
    <mergeCell ref="H38:J38"/>
    <mergeCell ref="E55:G55"/>
    <mergeCell ref="K38:M38"/>
    <mergeCell ref="K4:M4"/>
    <mergeCell ref="B4:D4"/>
    <mergeCell ref="H4:J4"/>
    <mergeCell ref="H55:J55"/>
    <mergeCell ref="K21:M21"/>
    <mergeCell ref="K55:M55"/>
    <mergeCell ref="E4:G4"/>
    <mergeCell ref="B21:D21"/>
    <mergeCell ref="E21:G21"/>
    <mergeCell ref="B55:D55"/>
    <mergeCell ref="B38:D38"/>
    <mergeCell ref="H21:J21"/>
    <mergeCell ref="E38:G38"/>
  </mergeCells>
  <conditionalFormatting sqref="N6:N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6:O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N23:N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O23:O35">
    <cfRule type="cellIs" priority="7" operator="equal" dxfId="0">
      <formula>"✓"</formula>
    </cfRule>
    <cfRule type="cellIs" priority="8" operator="notEqual" dxfId="1">
      <formula>"✓"</formula>
    </cfRule>
  </conditionalFormatting>
  <conditionalFormatting sqref="N40:N52">
    <cfRule type="cellIs" priority="9" operator="equal" dxfId="0">
      <formula>"✓"</formula>
    </cfRule>
    <cfRule type="cellIs" priority="10" operator="notEqual" dxfId="1">
      <formula>"✓"</formula>
    </cfRule>
  </conditionalFormatting>
  <conditionalFormatting sqref="O40:O52">
    <cfRule type="cellIs" priority="11" operator="equal" dxfId="0">
      <formula>"✓"</formula>
    </cfRule>
    <cfRule type="cellIs" priority="12" operator="notEqual" dxfId="1">
      <formula>"✓"</formula>
    </cfRule>
  </conditionalFormatting>
  <conditionalFormatting sqref="N57:N69">
    <cfRule type="cellIs" priority="13" operator="equal" dxfId="0">
      <formula>"✓"</formula>
    </cfRule>
    <cfRule type="cellIs" priority="14" operator="notEqual" dxfId="1">
      <formula>"✓"</formula>
    </cfRule>
  </conditionalFormatting>
  <conditionalFormatting sqref="O57:O69">
    <cfRule type="cellIs" priority="15" operator="equal" dxfId="0">
      <formula>"✓"</formula>
    </cfRule>
    <cfRule type="cellIs" priority="16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Aurangabad</t>
        </is>
      </c>
    </row>
    <row r="2">
      <c r="A2" s="3" t="inlineStr">
        <is>
          <t>All Religions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1889586</v>
      </c>
      <c r="C5" s="17" t="n">
        <v>960996</v>
      </c>
      <c r="D5" s="17" t="n">
        <v>928590</v>
      </c>
      <c r="E5" s="17" t="n">
        <v>671150</v>
      </c>
      <c r="F5" s="17" t="n">
        <v>389158</v>
      </c>
      <c r="G5" s="17" t="n">
        <v>281992</v>
      </c>
      <c r="H5" s="17" t="n">
        <v>1062142</v>
      </c>
      <c r="I5" s="17" t="n">
        <v>533308</v>
      </c>
      <c r="J5" s="17" t="n">
        <v>528834</v>
      </c>
      <c r="K5" s="17" t="n">
        <v>156294</v>
      </c>
      <c r="L5" s="17" t="n">
        <v>38530</v>
      </c>
      <c r="M5" s="17" t="n">
        <v>117764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0-1</t>
        </is>
      </c>
      <c r="B6" s="20" t="n">
        <v>28555</v>
      </c>
      <c r="C6" s="20" t="n">
        <v>13941</v>
      </c>
      <c r="D6" s="20" t="n">
        <v>14614</v>
      </c>
      <c r="E6" s="20" t="n">
        <v>27813</v>
      </c>
      <c r="F6" s="20" t="n">
        <v>13632</v>
      </c>
      <c r="G6" s="20" t="n">
        <v>14181</v>
      </c>
      <c r="H6" s="20" t="n">
        <v>713</v>
      </c>
      <c r="I6" s="20" t="n">
        <v>306</v>
      </c>
      <c r="J6" s="20" t="n">
        <v>407</v>
      </c>
      <c r="K6" s="20" t="n">
        <v>29</v>
      </c>
      <c r="L6" s="20" t="n">
        <v>3</v>
      </c>
      <c r="M6" s="20" t="n">
        <v>26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1-5</t>
        </is>
      </c>
      <c r="B7" s="23" t="n">
        <v>126367</v>
      </c>
      <c r="C7" s="23" t="n">
        <v>64182</v>
      </c>
      <c r="D7" s="23" t="n">
        <v>62185</v>
      </c>
      <c r="E7" s="23" t="n">
        <v>115759</v>
      </c>
      <c r="F7" s="23" t="n">
        <v>59052</v>
      </c>
      <c r="G7" s="23" t="n">
        <v>56707</v>
      </c>
      <c r="H7" s="23" t="n">
        <v>10474</v>
      </c>
      <c r="I7" s="23" t="n">
        <v>5081</v>
      </c>
      <c r="J7" s="23" t="n">
        <v>5393</v>
      </c>
      <c r="K7" s="23" t="n">
        <v>134</v>
      </c>
      <c r="L7" s="23" t="n">
        <v>49</v>
      </c>
      <c r="M7" s="23" t="n">
        <v>85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5-10</t>
        </is>
      </c>
      <c r="B8" s="20" t="n">
        <v>120491</v>
      </c>
      <c r="C8" s="20" t="n">
        <v>62636</v>
      </c>
      <c r="D8" s="20" t="n">
        <v>57855</v>
      </c>
      <c r="E8" s="20" t="n">
        <v>88021</v>
      </c>
      <c r="F8" s="20" t="n">
        <v>49922</v>
      </c>
      <c r="G8" s="20" t="n">
        <v>38099</v>
      </c>
      <c r="H8" s="20" t="n">
        <v>31911</v>
      </c>
      <c r="I8" s="20" t="n">
        <v>12517</v>
      </c>
      <c r="J8" s="20" t="n">
        <v>19394</v>
      </c>
      <c r="K8" s="20" t="n">
        <v>559</v>
      </c>
      <c r="L8" s="20" t="n">
        <v>197</v>
      </c>
      <c r="M8" s="20" t="n">
        <v>362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10-15</t>
        </is>
      </c>
      <c r="B9" s="23" t="n">
        <v>106672</v>
      </c>
      <c r="C9" s="23" t="n">
        <v>54727</v>
      </c>
      <c r="D9" s="23" t="n">
        <v>51945</v>
      </c>
      <c r="E9" s="23" t="n">
        <v>58521</v>
      </c>
      <c r="F9" s="23" t="n">
        <v>37127</v>
      </c>
      <c r="G9" s="23" t="n">
        <v>21394</v>
      </c>
      <c r="H9" s="23" t="n">
        <v>47135</v>
      </c>
      <c r="I9" s="23" t="n">
        <v>17302</v>
      </c>
      <c r="J9" s="23" t="n">
        <v>29833</v>
      </c>
      <c r="K9" s="23" t="n">
        <v>1016</v>
      </c>
      <c r="L9" s="23" t="n">
        <v>298</v>
      </c>
      <c r="M9" s="23" t="n">
        <v>718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15-20</t>
        </is>
      </c>
      <c r="B10" s="20" t="n">
        <v>87004</v>
      </c>
      <c r="C10" s="20" t="n">
        <v>41359</v>
      </c>
      <c r="D10" s="20" t="n">
        <v>45645</v>
      </c>
      <c r="E10" s="20" t="n">
        <v>18697</v>
      </c>
      <c r="F10" s="20" t="n">
        <v>15027</v>
      </c>
      <c r="G10" s="20" t="n">
        <v>3670</v>
      </c>
      <c r="H10" s="20" t="n">
        <v>66556</v>
      </c>
      <c r="I10" s="20" t="n">
        <v>25943</v>
      </c>
      <c r="J10" s="20" t="n">
        <v>40613</v>
      </c>
      <c r="K10" s="20" t="n">
        <v>1751</v>
      </c>
      <c r="L10" s="20" t="n">
        <v>389</v>
      </c>
      <c r="M10" s="20" t="n">
        <v>1362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20-30</t>
        </is>
      </c>
      <c r="B11" s="23" t="n">
        <v>171411</v>
      </c>
      <c r="C11" s="23" t="n">
        <v>85906</v>
      </c>
      <c r="D11" s="23" t="n">
        <v>85505</v>
      </c>
      <c r="E11" s="23" t="n">
        <v>17829</v>
      </c>
      <c r="F11" s="23" t="n">
        <v>13965</v>
      </c>
      <c r="G11" s="23" t="n">
        <v>3864</v>
      </c>
      <c r="H11" s="23" t="n">
        <v>146845</v>
      </c>
      <c r="I11" s="23" t="n">
        <v>70129</v>
      </c>
      <c r="J11" s="23" t="n">
        <v>76716</v>
      </c>
      <c r="K11" s="23" t="n">
        <v>6737</v>
      </c>
      <c r="L11" s="23" t="n">
        <v>1812</v>
      </c>
      <c r="M11" s="23" t="n">
        <v>4925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30-40</t>
        </is>
      </c>
      <c r="B12" s="20" t="n">
        <v>127118</v>
      </c>
      <c r="C12" s="20" t="n">
        <v>66141</v>
      </c>
      <c r="D12" s="20" t="n">
        <v>60977</v>
      </c>
      <c r="E12" s="20" t="n">
        <v>4542</v>
      </c>
      <c r="F12" s="20" t="n">
        <v>3185</v>
      </c>
      <c r="G12" s="20" t="n">
        <v>1357</v>
      </c>
      <c r="H12" s="20" t="n">
        <v>108674</v>
      </c>
      <c r="I12" s="20" t="n">
        <v>59451</v>
      </c>
      <c r="J12" s="20" t="n">
        <v>49223</v>
      </c>
      <c r="K12" s="20" t="n">
        <v>13902</v>
      </c>
      <c r="L12" s="20" t="n">
        <v>3505</v>
      </c>
      <c r="M12" s="20" t="n">
        <v>10397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40-50</t>
        </is>
      </c>
      <c r="B13" s="23" t="n">
        <v>86284</v>
      </c>
      <c r="C13" s="23" t="n">
        <v>45686</v>
      </c>
      <c r="D13" s="23" t="n">
        <v>40598</v>
      </c>
      <c r="E13" s="23" t="n">
        <v>2468</v>
      </c>
      <c r="F13" s="23" t="n">
        <v>1445</v>
      </c>
      <c r="G13" s="23" t="n">
        <v>1023</v>
      </c>
      <c r="H13" s="23" t="n">
        <v>64465</v>
      </c>
      <c r="I13" s="23" t="n">
        <v>39478</v>
      </c>
      <c r="J13" s="23" t="n">
        <v>24987</v>
      </c>
      <c r="K13" s="23" t="n">
        <v>19351</v>
      </c>
      <c r="L13" s="23" t="n">
        <v>4763</v>
      </c>
      <c r="M13" s="23" t="n">
        <v>14588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50-60</t>
        </is>
      </c>
      <c r="B14" s="20" t="n">
        <v>52714</v>
      </c>
      <c r="C14" s="20" t="n">
        <v>27162</v>
      </c>
      <c r="D14" s="20" t="n">
        <v>25552</v>
      </c>
      <c r="E14" s="20" t="n">
        <v>955</v>
      </c>
      <c r="F14" s="20" t="n">
        <v>600</v>
      </c>
      <c r="G14" s="20" t="n">
        <v>355</v>
      </c>
      <c r="H14" s="20" t="n">
        <v>33827</v>
      </c>
      <c r="I14" s="20" t="n">
        <v>22361</v>
      </c>
      <c r="J14" s="20" t="n">
        <v>11466</v>
      </c>
      <c r="K14" s="20" t="n">
        <v>17932</v>
      </c>
      <c r="L14" s="20" t="n">
        <v>4201</v>
      </c>
      <c r="M14" s="20" t="n">
        <v>13731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60 and over</t>
        </is>
      </c>
      <c r="B15" s="23" t="n">
        <v>38177</v>
      </c>
      <c r="C15" s="23" t="n">
        <v>18758</v>
      </c>
      <c r="D15" s="23" t="n">
        <v>19419</v>
      </c>
      <c r="E15" s="23" t="n">
        <v>970</v>
      </c>
      <c r="F15" s="23" t="n">
        <v>624</v>
      </c>
      <c r="G15" s="23" t="n">
        <v>346</v>
      </c>
      <c r="H15" s="23" t="n">
        <v>20471</v>
      </c>
      <c r="I15" s="23" t="n">
        <v>14086</v>
      </c>
      <c r="J15" s="23" t="n">
        <v>6385</v>
      </c>
      <c r="K15" s="23" t="n">
        <v>16736</v>
      </c>
      <c r="L15" s="23" t="n">
        <v>4048</v>
      </c>
      <c r="M15" s="23" t="n">
        <v>12688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Total</t>
        </is>
      </c>
      <c r="B16" s="20" t="n">
        <v>944793</v>
      </c>
      <c r="C16" s="20" t="n">
        <v>480498</v>
      </c>
      <c r="D16" s="20" t="n">
        <v>464295</v>
      </c>
      <c r="E16" s="20" t="n">
        <v>335575</v>
      </c>
      <c r="F16" s="20" t="n">
        <v>194579</v>
      </c>
      <c r="G16" s="20" t="n">
        <v>140996</v>
      </c>
      <c r="H16" s="20" t="n">
        <v>531071</v>
      </c>
      <c r="I16" s="20" t="n">
        <v>266654</v>
      </c>
      <c r="J16" s="20" t="n">
        <v>264417</v>
      </c>
      <c r="K16" s="20" t="n">
        <v>78147</v>
      </c>
      <c r="L16" s="20" t="n">
        <v>19265</v>
      </c>
      <c r="M16" s="20" t="n">
        <v>58882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Aurangabad</t>
        </is>
      </c>
    </row>
    <row r="2">
      <c r="A2" s="3" t="inlineStr">
        <is>
          <t>Hindu (Brahmanic)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1282428</v>
      </c>
      <c r="C5" s="17" t="n">
        <v>650514</v>
      </c>
      <c r="D5" s="17" t="n">
        <v>631914</v>
      </c>
      <c r="E5" s="17" t="n">
        <v>436168</v>
      </c>
      <c r="F5" s="17" t="n">
        <v>257390</v>
      </c>
      <c r="G5" s="17" t="n">
        <v>178778</v>
      </c>
      <c r="H5" s="17" t="n">
        <v>732998</v>
      </c>
      <c r="I5" s="17" t="n">
        <v>365240</v>
      </c>
      <c r="J5" s="17" t="n">
        <v>367758</v>
      </c>
      <c r="K5" s="17" t="n">
        <v>113262</v>
      </c>
      <c r="L5" s="17" t="n">
        <v>27884</v>
      </c>
      <c r="M5" s="17" t="n">
        <v>85378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0-1</t>
        </is>
      </c>
      <c r="B6" s="20" t="n">
        <v>19199</v>
      </c>
      <c r="C6" s="20" t="n">
        <v>9420</v>
      </c>
      <c r="D6" s="20" t="n">
        <v>9779</v>
      </c>
      <c r="E6" s="20" t="n">
        <v>18701</v>
      </c>
      <c r="F6" s="20" t="n">
        <v>9193</v>
      </c>
      <c r="G6" s="20" t="n">
        <v>9508</v>
      </c>
      <c r="H6" s="20" t="n">
        <v>471</v>
      </c>
      <c r="I6" s="20" t="n">
        <v>225</v>
      </c>
      <c r="J6" s="20" t="n">
        <v>246</v>
      </c>
      <c r="K6" s="20" t="n">
        <v>27</v>
      </c>
      <c r="L6" s="20" t="n">
        <v>2</v>
      </c>
      <c r="M6" s="20" t="n">
        <v>25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1-5</t>
        </is>
      </c>
      <c r="B7" s="23" t="n">
        <v>83903</v>
      </c>
      <c r="C7" s="23" t="n">
        <v>43090</v>
      </c>
      <c r="D7" s="23" t="n">
        <v>40813</v>
      </c>
      <c r="E7" s="23" t="n">
        <v>76860</v>
      </c>
      <c r="F7" s="23" t="n">
        <v>39846</v>
      </c>
      <c r="G7" s="23" t="n">
        <v>37014</v>
      </c>
      <c r="H7" s="23" t="n">
        <v>6956</v>
      </c>
      <c r="I7" s="23" t="n">
        <v>3218</v>
      </c>
      <c r="J7" s="23" t="n">
        <v>3738</v>
      </c>
      <c r="K7" s="23" t="n">
        <v>87</v>
      </c>
      <c r="L7" s="23" t="n">
        <v>26</v>
      </c>
      <c r="M7" s="23" t="n">
        <v>61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5-10</t>
        </is>
      </c>
      <c r="B8" s="20" t="n">
        <v>80346</v>
      </c>
      <c r="C8" s="20" t="n">
        <v>41519</v>
      </c>
      <c r="D8" s="20" t="n">
        <v>38827</v>
      </c>
      <c r="E8" s="20" t="n">
        <v>56677</v>
      </c>
      <c r="F8" s="20" t="n">
        <v>32800</v>
      </c>
      <c r="G8" s="20" t="n">
        <v>23877</v>
      </c>
      <c r="H8" s="20" t="n">
        <v>23241</v>
      </c>
      <c r="I8" s="20" t="n">
        <v>8570</v>
      </c>
      <c r="J8" s="20" t="n">
        <v>14671</v>
      </c>
      <c r="K8" s="20" t="n">
        <v>428</v>
      </c>
      <c r="L8" s="20" t="n">
        <v>149</v>
      </c>
      <c r="M8" s="20" t="n">
        <v>279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10-15</t>
        </is>
      </c>
      <c r="B9" s="23" t="n">
        <v>71054</v>
      </c>
      <c r="C9" s="23" t="n">
        <v>36795</v>
      </c>
      <c r="D9" s="23" t="n">
        <v>34259</v>
      </c>
      <c r="E9" s="23" t="n">
        <v>37353</v>
      </c>
      <c r="F9" s="23" t="n">
        <v>24833</v>
      </c>
      <c r="G9" s="23" t="n">
        <v>12520</v>
      </c>
      <c r="H9" s="23" t="n">
        <v>32878</v>
      </c>
      <c r="I9" s="23" t="n">
        <v>11718</v>
      </c>
      <c r="J9" s="23" t="n">
        <v>21160</v>
      </c>
      <c r="K9" s="23" t="n">
        <v>823</v>
      </c>
      <c r="L9" s="23" t="n">
        <v>244</v>
      </c>
      <c r="M9" s="23" t="n">
        <v>579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15-20</t>
        </is>
      </c>
      <c r="B10" s="20" t="n">
        <v>58810</v>
      </c>
      <c r="C10" s="20" t="n">
        <v>27681</v>
      </c>
      <c r="D10" s="20" t="n">
        <v>31129</v>
      </c>
      <c r="E10" s="20" t="n">
        <v>11490</v>
      </c>
      <c r="F10" s="20" t="n">
        <v>9538</v>
      </c>
      <c r="G10" s="20" t="n">
        <v>1952</v>
      </c>
      <c r="H10" s="20" t="n">
        <v>46054</v>
      </c>
      <c r="I10" s="20" t="n">
        <v>17843</v>
      </c>
      <c r="J10" s="20" t="n">
        <v>28211</v>
      </c>
      <c r="K10" s="20" t="n">
        <v>1266</v>
      </c>
      <c r="L10" s="20" t="n">
        <v>300</v>
      </c>
      <c r="M10" s="20" t="n">
        <v>966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20-30</t>
        </is>
      </c>
      <c r="B11" s="23" t="n">
        <v>118152</v>
      </c>
      <c r="C11" s="23" t="n">
        <v>59347</v>
      </c>
      <c r="D11" s="23" t="n">
        <v>58805</v>
      </c>
      <c r="E11" s="23" t="n">
        <v>11474</v>
      </c>
      <c r="F11" s="23" t="n">
        <v>8983</v>
      </c>
      <c r="G11" s="23" t="n">
        <v>2491</v>
      </c>
      <c r="H11" s="23" t="n">
        <v>101614</v>
      </c>
      <c r="I11" s="23" t="n">
        <v>49073</v>
      </c>
      <c r="J11" s="23" t="n">
        <v>52541</v>
      </c>
      <c r="K11" s="23" t="n">
        <v>5064</v>
      </c>
      <c r="L11" s="23" t="n">
        <v>1291</v>
      </c>
      <c r="M11" s="23" t="n">
        <v>3773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30-40</t>
        </is>
      </c>
      <c r="B12" s="20" t="n">
        <v>87099</v>
      </c>
      <c r="C12" s="20" t="n">
        <v>44706</v>
      </c>
      <c r="D12" s="20" t="n">
        <v>42393</v>
      </c>
      <c r="E12" s="20" t="n">
        <v>2803</v>
      </c>
      <c r="F12" s="20" t="n">
        <v>1800</v>
      </c>
      <c r="G12" s="20" t="n">
        <v>1003</v>
      </c>
      <c r="H12" s="20" t="n">
        <v>74328</v>
      </c>
      <c r="I12" s="20" t="n">
        <v>40583</v>
      </c>
      <c r="J12" s="20" t="n">
        <v>33745</v>
      </c>
      <c r="K12" s="20" t="n">
        <v>9968</v>
      </c>
      <c r="L12" s="20" t="n">
        <v>2323</v>
      </c>
      <c r="M12" s="20" t="n">
        <v>7645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40-50</t>
        </is>
      </c>
      <c r="B13" s="23" t="n">
        <v>60234</v>
      </c>
      <c r="C13" s="23" t="n">
        <v>31554</v>
      </c>
      <c r="D13" s="23" t="n">
        <v>28680</v>
      </c>
      <c r="E13" s="23" t="n">
        <v>1575</v>
      </c>
      <c r="F13" s="23" t="n">
        <v>900</v>
      </c>
      <c r="G13" s="23" t="n">
        <v>675</v>
      </c>
      <c r="H13" s="23" t="n">
        <v>44476</v>
      </c>
      <c r="I13" s="23" t="n">
        <v>27068</v>
      </c>
      <c r="J13" s="23" t="n">
        <v>17408</v>
      </c>
      <c r="K13" s="23" t="n">
        <v>14183</v>
      </c>
      <c r="L13" s="23" t="n">
        <v>3586</v>
      </c>
      <c r="M13" s="23" t="n">
        <v>10597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50-60</t>
        </is>
      </c>
      <c r="B14" s="20" t="n">
        <v>36835</v>
      </c>
      <c r="C14" s="20" t="n">
        <v>18510</v>
      </c>
      <c r="D14" s="20" t="n">
        <v>18325</v>
      </c>
      <c r="E14" s="20" t="n">
        <v>608</v>
      </c>
      <c r="F14" s="20" t="n">
        <v>378</v>
      </c>
      <c r="G14" s="20" t="n">
        <v>230</v>
      </c>
      <c r="H14" s="20" t="n">
        <v>23338</v>
      </c>
      <c r="I14" s="20" t="n">
        <v>15075</v>
      </c>
      <c r="J14" s="20" t="n">
        <v>8263</v>
      </c>
      <c r="K14" s="20" t="n">
        <v>12889</v>
      </c>
      <c r="L14" s="20" t="n">
        <v>3057</v>
      </c>
      <c r="M14" s="20" t="n">
        <v>9832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60 and over</t>
        </is>
      </c>
      <c r="B15" s="23" t="n">
        <v>25582</v>
      </c>
      <c r="C15" s="23" t="n">
        <v>12635</v>
      </c>
      <c r="D15" s="23" t="n">
        <v>12947</v>
      </c>
      <c r="E15" s="23" t="n">
        <v>543</v>
      </c>
      <c r="F15" s="23" t="n">
        <v>424</v>
      </c>
      <c r="G15" s="23" t="n">
        <v>119</v>
      </c>
      <c r="H15" s="23" t="n">
        <v>13143</v>
      </c>
      <c r="I15" s="23" t="n">
        <v>9247</v>
      </c>
      <c r="J15" s="23" t="n">
        <v>3896</v>
      </c>
      <c r="K15" s="23" t="n">
        <v>11896</v>
      </c>
      <c r="L15" s="23" t="n">
        <v>2964</v>
      </c>
      <c r="M15" s="23" t="n">
        <v>8932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Total</t>
        </is>
      </c>
      <c r="B16" s="20" t="n">
        <v>641214</v>
      </c>
      <c r="C16" s="20" t="n">
        <v>325257</v>
      </c>
      <c r="D16" s="20" t="n">
        <v>315957</v>
      </c>
      <c r="E16" s="20" t="n">
        <v>218084</v>
      </c>
      <c r="F16" s="20" t="n">
        <v>128695</v>
      </c>
      <c r="G16" s="20" t="n">
        <v>89389</v>
      </c>
      <c r="H16" s="20" t="n">
        <v>366499</v>
      </c>
      <c r="I16" s="20" t="n">
        <v>182620</v>
      </c>
      <c r="J16" s="20" t="n">
        <v>183879</v>
      </c>
      <c r="K16" s="20" t="n">
        <v>56631</v>
      </c>
      <c r="L16" s="20" t="n">
        <v>13942</v>
      </c>
      <c r="M16" s="20" t="n">
        <v>42689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Aurangabad</t>
        </is>
      </c>
    </row>
    <row r="2">
      <c r="A2" s="3" t="inlineStr">
        <is>
          <t>Adi Hindu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280672</v>
      </c>
      <c r="C5" s="17" t="n">
        <v>140646</v>
      </c>
      <c r="D5" s="17" t="n">
        <v>140026</v>
      </c>
      <c r="E5" s="17" t="n">
        <v>99076</v>
      </c>
      <c r="F5" s="17" t="n">
        <v>53120</v>
      </c>
      <c r="G5" s="17" t="n">
        <v>45956</v>
      </c>
      <c r="H5" s="17" t="n">
        <v>162354</v>
      </c>
      <c r="I5" s="17" t="n">
        <v>82598</v>
      </c>
      <c r="J5" s="17" t="n">
        <v>79756</v>
      </c>
      <c r="K5" s="17" t="n">
        <v>19242</v>
      </c>
      <c r="L5" s="17" t="n">
        <v>4928</v>
      </c>
      <c r="M5" s="17" t="n">
        <v>14314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Total</t>
        </is>
      </c>
      <c r="B6" s="20" t="n">
        <v>140336</v>
      </c>
      <c r="C6" s="20" t="n">
        <v>70323</v>
      </c>
      <c r="D6" s="20" t="n">
        <v>70013</v>
      </c>
      <c r="E6" s="20" t="n">
        <v>49538</v>
      </c>
      <c r="F6" s="20" t="n">
        <v>26560</v>
      </c>
      <c r="G6" s="20" t="n">
        <v>22978</v>
      </c>
      <c r="H6" s="20" t="n">
        <v>81177</v>
      </c>
      <c r="I6" s="20" t="n">
        <v>41299</v>
      </c>
      <c r="J6" s="20" t="n">
        <v>39878</v>
      </c>
      <c r="K6" s="20" t="n">
        <v>9621</v>
      </c>
      <c r="L6" s="20" t="n">
        <v>2464</v>
      </c>
      <c r="M6" s="20" t="n">
        <v>7157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0-1</t>
        </is>
      </c>
      <c r="B7" s="23" t="n">
        <v>4507</v>
      </c>
      <c r="C7" s="23" t="n">
        <v>2205</v>
      </c>
      <c r="D7" s="23" t="n">
        <v>2302</v>
      </c>
      <c r="E7" s="23" t="n">
        <v>4360</v>
      </c>
      <c r="F7" s="23" t="n">
        <v>2172</v>
      </c>
      <c r="G7" s="23" t="n">
        <v>2188</v>
      </c>
      <c r="H7" s="23" t="n">
        <v>146</v>
      </c>
      <c r="I7" s="23" t="n">
        <v>32</v>
      </c>
      <c r="J7" s="23" t="n">
        <v>114</v>
      </c>
      <c r="K7" s="23" t="n">
        <v>1</v>
      </c>
      <c r="L7" s="23" t="n">
        <v>1</v>
      </c>
      <c r="M7" s="23" t="n">
        <v>0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1-5</t>
        </is>
      </c>
      <c r="B8" s="20" t="n">
        <v>20120</v>
      </c>
      <c r="C8" s="20" t="n">
        <v>10056</v>
      </c>
      <c r="D8" s="20" t="n">
        <v>10064</v>
      </c>
      <c r="E8" s="20" t="n">
        <v>18625</v>
      </c>
      <c r="F8" s="20" t="n">
        <v>9314</v>
      </c>
      <c r="G8" s="20" t="n">
        <v>9311</v>
      </c>
      <c r="H8" s="20" t="n">
        <v>1472</v>
      </c>
      <c r="I8" s="20" t="n">
        <v>727</v>
      </c>
      <c r="J8" s="20" t="n">
        <v>745</v>
      </c>
      <c r="K8" s="20" t="n">
        <v>23</v>
      </c>
      <c r="L8" s="20" t="n">
        <v>15</v>
      </c>
      <c r="M8" s="20" t="n">
        <v>8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5-10</t>
        </is>
      </c>
      <c r="B9" s="23" t="n">
        <v>17600</v>
      </c>
      <c r="C9" s="23" t="n">
        <v>8768</v>
      </c>
      <c r="D9" s="23" t="n">
        <v>8832</v>
      </c>
      <c r="E9" s="23" t="n">
        <v>13532</v>
      </c>
      <c r="F9" s="23" t="n">
        <v>7246</v>
      </c>
      <c r="G9" s="23" t="n">
        <v>6286</v>
      </c>
      <c r="H9" s="23" t="n">
        <v>3991</v>
      </c>
      <c r="I9" s="23" t="n">
        <v>1492</v>
      </c>
      <c r="J9" s="23" t="n">
        <v>2499</v>
      </c>
      <c r="K9" s="23" t="n">
        <v>77</v>
      </c>
      <c r="L9" s="23" t="n">
        <v>30</v>
      </c>
      <c r="M9" s="23" t="n">
        <v>47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10-15</t>
        </is>
      </c>
      <c r="B10" s="20" t="n">
        <v>15906</v>
      </c>
      <c r="C10" s="20" t="n">
        <v>7676</v>
      </c>
      <c r="D10" s="20" t="n">
        <v>8230</v>
      </c>
      <c r="E10" s="20" t="n">
        <v>8359</v>
      </c>
      <c r="F10" s="20" t="n">
        <v>5000</v>
      </c>
      <c r="G10" s="20" t="n">
        <v>3359</v>
      </c>
      <c r="H10" s="20" t="n">
        <v>7450</v>
      </c>
      <c r="I10" s="20" t="n">
        <v>2648</v>
      </c>
      <c r="J10" s="20" t="n">
        <v>4802</v>
      </c>
      <c r="K10" s="20" t="n">
        <v>97</v>
      </c>
      <c r="L10" s="20" t="n">
        <v>28</v>
      </c>
      <c r="M10" s="20" t="n">
        <v>69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15-20</t>
        </is>
      </c>
      <c r="B11" s="23" t="n">
        <v>12344</v>
      </c>
      <c r="C11" s="23" t="n">
        <v>5511</v>
      </c>
      <c r="D11" s="23" t="n">
        <v>6833</v>
      </c>
      <c r="E11" s="23" t="n">
        <v>2186</v>
      </c>
      <c r="F11" s="23" t="n">
        <v>1464</v>
      </c>
      <c r="G11" s="23" t="n">
        <v>722</v>
      </c>
      <c r="H11" s="23" t="n">
        <v>10000</v>
      </c>
      <c r="I11" s="23" t="n">
        <v>4007</v>
      </c>
      <c r="J11" s="23" t="n">
        <v>5993</v>
      </c>
      <c r="K11" s="23" t="n">
        <v>158</v>
      </c>
      <c r="L11" s="23" t="n">
        <v>40</v>
      </c>
      <c r="M11" s="23" t="n">
        <v>118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20-30</t>
        </is>
      </c>
      <c r="B12" s="20" t="n">
        <v>24218</v>
      </c>
      <c r="C12" s="20" t="n">
        <v>12116</v>
      </c>
      <c r="D12" s="20" t="n">
        <v>12102</v>
      </c>
      <c r="E12" s="20" t="n">
        <v>1524</v>
      </c>
      <c r="F12" s="20" t="n">
        <v>831</v>
      </c>
      <c r="G12" s="20" t="n">
        <v>693</v>
      </c>
      <c r="H12" s="20" t="n">
        <v>21944</v>
      </c>
      <c r="I12" s="20" t="n">
        <v>11066</v>
      </c>
      <c r="J12" s="20" t="n">
        <v>10878</v>
      </c>
      <c r="K12" s="20" t="n">
        <v>750</v>
      </c>
      <c r="L12" s="20" t="n">
        <v>219</v>
      </c>
      <c r="M12" s="20" t="n">
        <v>531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30-40</t>
        </is>
      </c>
      <c r="B13" s="23" t="n">
        <v>19428</v>
      </c>
      <c r="C13" s="23" t="n">
        <v>10186</v>
      </c>
      <c r="D13" s="23" t="n">
        <v>9242</v>
      </c>
      <c r="E13" s="23" t="n">
        <v>377</v>
      </c>
      <c r="F13" s="23" t="n">
        <v>237</v>
      </c>
      <c r="G13" s="23" t="n">
        <v>140</v>
      </c>
      <c r="H13" s="23" t="n">
        <v>17089</v>
      </c>
      <c r="I13" s="23" t="n">
        <v>9347</v>
      </c>
      <c r="J13" s="23" t="n">
        <v>7742</v>
      </c>
      <c r="K13" s="23" t="n">
        <v>1962</v>
      </c>
      <c r="L13" s="23" t="n">
        <v>602</v>
      </c>
      <c r="M13" s="23" t="n">
        <v>1360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40-50</t>
        </is>
      </c>
      <c r="B14" s="20" t="n">
        <v>12995</v>
      </c>
      <c r="C14" s="20" t="n">
        <v>6830</v>
      </c>
      <c r="D14" s="20" t="n">
        <v>6165</v>
      </c>
      <c r="E14" s="20" t="n">
        <v>334</v>
      </c>
      <c r="F14" s="20" t="n">
        <v>181</v>
      </c>
      <c r="G14" s="20" t="n">
        <v>153</v>
      </c>
      <c r="H14" s="20" t="n">
        <v>10167</v>
      </c>
      <c r="I14" s="20" t="n">
        <v>6044</v>
      </c>
      <c r="J14" s="20" t="n">
        <v>4123</v>
      </c>
      <c r="K14" s="20" t="n">
        <v>2494</v>
      </c>
      <c r="L14" s="20" t="n">
        <v>605</v>
      </c>
      <c r="M14" s="20" t="n">
        <v>1889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50-60</t>
        </is>
      </c>
      <c r="B15" s="23" t="n">
        <v>7684</v>
      </c>
      <c r="C15" s="23" t="n">
        <v>4102</v>
      </c>
      <c r="D15" s="23" t="n">
        <v>3582</v>
      </c>
      <c r="E15" s="23" t="n">
        <v>120</v>
      </c>
      <c r="F15" s="23" t="n">
        <v>45</v>
      </c>
      <c r="G15" s="23" t="n">
        <v>75</v>
      </c>
      <c r="H15" s="23" t="n">
        <v>5387</v>
      </c>
      <c r="I15" s="23" t="n">
        <v>3526</v>
      </c>
      <c r="J15" s="23" t="n">
        <v>1861</v>
      </c>
      <c r="K15" s="23" t="n">
        <v>2177</v>
      </c>
      <c r="L15" s="23" t="n">
        <v>531</v>
      </c>
      <c r="M15" s="23" t="n">
        <v>1646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60 and over</t>
        </is>
      </c>
      <c r="B16" s="20" t="n">
        <v>5534</v>
      </c>
      <c r="C16" s="20" t="n">
        <v>2873</v>
      </c>
      <c r="D16" s="20" t="n">
        <v>2661</v>
      </c>
      <c r="E16" s="20" t="n">
        <v>121</v>
      </c>
      <c r="F16" s="20" t="n">
        <v>70</v>
      </c>
      <c r="G16" s="20" t="n">
        <v>51</v>
      </c>
      <c r="H16" s="20" t="n">
        <v>3531</v>
      </c>
      <c r="I16" s="20" t="n">
        <v>2410</v>
      </c>
      <c r="J16" s="20" t="n">
        <v>1121</v>
      </c>
      <c r="K16" s="20" t="n">
        <v>1882</v>
      </c>
      <c r="L16" s="20" t="n">
        <v>393</v>
      </c>
      <c r="M16" s="20" t="n">
        <v>1489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Aurangabad</t>
        </is>
      </c>
    </row>
    <row r="2">
      <c r="A2" s="3" t="inlineStr">
        <is>
          <t>Muslim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248882</v>
      </c>
      <c r="C5" s="17" t="n">
        <v>130130</v>
      </c>
      <c r="D5" s="17" t="n">
        <v>118752</v>
      </c>
      <c r="E5" s="17" t="n">
        <v>104974</v>
      </c>
      <c r="F5" s="17" t="n">
        <v>61284</v>
      </c>
      <c r="G5" s="17" t="n">
        <v>43690</v>
      </c>
      <c r="H5" s="17" t="n">
        <v>125284</v>
      </c>
      <c r="I5" s="17" t="n">
        <v>64432</v>
      </c>
      <c r="J5" s="17" t="n">
        <v>60852</v>
      </c>
      <c r="K5" s="17" t="n">
        <v>18624</v>
      </c>
      <c r="L5" s="17" t="n">
        <v>4414</v>
      </c>
      <c r="M5" s="17" t="n">
        <v>14210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Total</t>
        </is>
      </c>
      <c r="B6" s="20" t="n">
        <v>124441</v>
      </c>
      <c r="C6" s="20" t="n">
        <v>65065</v>
      </c>
      <c r="D6" s="20" t="n">
        <v>59376</v>
      </c>
      <c r="E6" s="20" t="n">
        <v>52487</v>
      </c>
      <c r="F6" s="20" t="n">
        <v>30642</v>
      </c>
      <c r="G6" s="20" t="n">
        <v>21845</v>
      </c>
      <c r="H6" s="20" t="n">
        <v>62642</v>
      </c>
      <c r="I6" s="20" t="n">
        <v>32216</v>
      </c>
      <c r="J6" s="20" t="n">
        <v>30426</v>
      </c>
      <c r="K6" s="20" t="n">
        <v>9312</v>
      </c>
      <c r="L6" s="20" t="n">
        <v>2207</v>
      </c>
      <c r="M6" s="20" t="n">
        <v>7105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0-1</t>
        </is>
      </c>
      <c r="B7" s="23" t="n">
        <v>3602</v>
      </c>
      <c r="C7" s="23" t="n">
        <v>1755</v>
      </c>
      <c r="D7" s="23" t="n">
        <v>1847</v>
      </c>
      <c r="E7" s="23" t="n">
        <v>3540</v>
      </c>
      <c r="F7" s="23" t="n">
        <v>1722</v>
      </c>
      <c r="G7" s="23" t="n">
        <v>1818</v>
      </c>
      <c r="H7" s="23" t="n">
        <v>61</v>
      </c>
      <c r="I7" s="23" t="n">
        <v>33</v>
      </c>
      <c r="J7" s="23" t="n">
        <v>28</v>
      </c>
      <c r="K7" s="23" t="n">
        <v>1</v>
      </c>
      <c r="L7" s="23" t="n">
        <v>0</v>
      </c>
      <c r="M7" s="23" t="n">
        <v>1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1-5</t>
        </is>
      </c>
      <c r="B8" s="20" t="n">
        <v>16402</v>
      </c>
      <c r="C8" s="20" t="n">
        <v>8431</v>
      </c>
      <c r="D8" s="20" t="n">
        <v>7971</v>
      </c>
      <c r="E8" s="20" t="n">
        <v>14972</v>
      </c>
      <c r="F8" s="20" t="n">
        <v>7586</v>
      </c>
      <c r="G8" s="20" t="n">
        <v>7386</v>
      </c>
      <c r="H8" s="20" t="n">
        <v>1415</v>
      </c>
      <c r="I8" s="20" t="n">
        <v>842</v>
      </c>
      <c r="J8" s="20" t="n">
        <v>573</v>
      </c>
      <c r="K8" s="20" t="n">
        <v>15</v>
      </c>
      <c r="L8" s="20" t="n">
        <v>3</v>
      </c>
      <c r="M8" s="20" t="n">
        <v>12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5-10</t>
        </is>
      </c>
      <c r="B9" s="23" t="n">
        <v>17219</v>
      </c>
      <c r="C9" s="23" t="n">
        <v>9462</v>
      </c>
      <c r="D9" s="23" t="n">
        <v>7757</v>
      </c>
      <c r="E9" s="23" t="n">
        <v>13688</v>
      </c>
      <c r="F9" s="23" t="n">
        <v>7450</v>
      </c>
      <c r="G9" s="23" t="n">
        <v>6238</v>
      </c>
      <c r="H9" s="23" t="n">
        <v>3497</v>
      </c>
      <c r="I9" s="23" t="n">
        <v>2001</v>
      </c>
      <c r="J9" s="23" t="n">
        <v>1496</v>
      </c>
      <c r="K9" s="23" t="n">
        <v>34</v>
      </c>
      <c r="L9" s="23" t="n">
        <v>11</v>
      </c>
      <c r="M9" s="23" t="n">
        <v>23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10-15</t>
        </is>
      </c>
      <c r="B10" s="20" t="n">
        <v>15214</v>
      </c>
      <c r="C10" s="20" t="n">
        <v>7845</v>
      </c>
      <c r="D10" s="20" t="n">
        <v>7369</v>
      </c>
      <c r="E10" s="20" t="n">
        <v>10256</v>
      </c>
      <c r="F10" s="20" t="n">
        <v>5636</v>
      </c>
      <c r="G10" s="20" t="n">
        <v>4620</v>
      </c>
      <c r="H10" s="20" t="n">
        <v>4883</v>
      </c>
      <c r="I10" s="20" t="n">
        <v>2191</v>
      </c>
      <c r="J10" s="20" t="n">
        <v>2692</v>
      </c>
      <c r="K10" s="20" t="n">
        <v>75</v>
      </c>
      <c r="L10" s="20" t="n">
        <v>18</v>
      </c>
      <c r="M10" s="20" t="n">
        <v>57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15-20</t>
        </is>
      </c>
      <c r="B11" s="23" t="n">
        <v>12225</v>
      </c>
      <c r="C11" s="23" t="n">
        <v>6345</v>
      </c>
      <c r="D11" s="23" t="n">
        <v>5880</v>
      </c>
      <c r="E11" s="23" t="n">
        <v>4122</v>
      </c>
      <c r="F11" s="23" t="n">
        <v>3281</v>
      </c>
      <c r="G11" s="23" t="n">
        <v>841</v>
      </c>
      <c r="H11" s="23" t="n">
        <v>7827</v>
      </c>
      <c r="I11" s="23" t="n">
        <v>3029</v>
      </c>
      <c r="J11" s="23" t="n">
        <v>4798</v>
      </c>
      <c r="K11" s="23" t="n">
        <v>276</v>
      </c>
      <c r="L11" s="23" t="n">
        <v>35</v>
      </c>
      <c r="M11" s="23" t="n">
        <v>241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20-30</t>
        </is>
      </c>
      <c r="B12" s="20" t="n">
        <v>22214</v>
      </c>
      <c r="C12" s="20" t="n">
        <v>10897</v>
      </c>
      <c r="D12" s="20" t="n">
        <v>11317</v>
      </c>
      <c r="E12" s="20" t="n">
        <v>3984</v>
      </c>
      <c r="F12" s="20" t="n">
        <v>3467</v>
      </c>
      <c r="G12" s="20" t="n">
        <v>517</v>
      </c>
      <c r="H12" s="20" t="n">
        <v>17511</v>
      </c>
      <c r="I12" s="20" t="n">
        <v>7182</v>
      </c>
      <c r="J12" s="20" t="n">
        <v>10329</v>
      </c>
      <c r="K12" s="20" t="n">
        <v>719</v>
      </c>
      <c r="L12" s="20" t="n">
        <v>248</v>
      </c>
      <c r="M12" s="20" t="n">
        <v>471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30-40</t>
        </is>
      </c>
      <c r="B13" s="23" t="n">
        <v>15612</v>
      </c>
      <c r="C13" s="23" t="n">
        <v>8564</v>
      </c>
      <c r="D13" s="23" t="n">
        <v>7048</v>
      </c>
      <c r="E13" s="23" t="n">
        <v>1127</v>
      </c>
      <c r="F13" s="23" t="n">
        <v>949</v>
      </c>
      <c r="G13" s="23" t="n">
        <v>178</v>
      </c>
      <c r="H13" s="23" t="n">
        <v>12924</v>
      </c>
      <c r="I13" s="23" t="n">
        <v>7173</v>
      </c>
      <c r="J13" s="23" t="n">
        <v>5751</v>
      </c>
      <c r="K13" s="23" t="n">
        <v>1561</v>
      </c>
      <c r="L13" s="23" t="n">
        <v>442</v>
      </c>
      <c r="M13" s="23" t="n">
        <v>1119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40-50</t>
        </is>
      </c>
      <c r="B14" s="20" t="n">
        <v>9977</v>
      </c>
      <c r="C14" s="20" t="n">
        <v>5670</v>
      </c>
      <c r="D14" s="20" t="n">
        <v>4307</v>
      </c>
      <c r="E14" s="20" t="n">
        <v>371</v>
      </c>
      <c r="F14" s="20" t="n">
        <v>292</v>
      </c>
      <c r="G14" s="20" t="n">
        <v>79</v>
      </c>
      <c r="H14" s="20" t="n">
        <v>7519</v>
      </c>
      <c r="I14" s="20" t="n">
        <v>4929</v>
      </c>
      <c r="J14" s="20" t="n">
        <v>2590</v>
      </c>
      <c r="K14" s="20" t="n">
        <v>2087</v>
      </c>
      <c r="L14" s="20" t="n">
        <v>449</v>
      </c>
      <c r="M14" s="20" t="n">
        <v>1638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50-60</t>
        </is>
      </c>
      <c r="B15" s="23" t="n">
        <v>6352</v>
      </c>
      <c r="C15" s="23" t="n">
        <v>3535</v>
      </c>
      <c r="D15" s="23" t="n">
        <v>2817</v>
      </c>
      <c r="E15" s="23" t="n">
        <v>187</v>
      </c>
      <c r="F15" s="23" t="n">
        <v>144</v>
      </c>
      <c r="G15" s="23" t="n">
        <v>43</v>
      </c>
      <c r="H15" s="23" t="n">
        <v>3957</v>
      </c>
      <c r="I15" s="23" t="n">
        <v>2942</v>
      </c>
      <c r="J15" s="23" t="n">
        <v>1015</v>
      </c>
      <c r="K15" s="23" t="n">
        <v>2208</v>
      </c>
      <c r="L15" s="23" t="n">
        <v>449</v>
      </c>
      <c r="M15" s="23" t="n">
        <v>1759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60 and over</t>
        </is>
      </c>
      <c r="B16" s="20" t="n">
        <v>5624</v>
      </c>
      <c r="C16" s="20" t="n">
        <v>2561</v>
      </c>
      <c r="D16" s="20" t="n">
        <v>3063</v>
      </c>
      <c r="E16" s="20" t="n">
        <v>240</v>
      </c>
      <c r="F16" s="20" t="n">
        <v>115</v>
      </c>
      <c r="G16" s="20" t="n">
        <v>125</v>
      </c>
      <c r="H16" s="20" t="n">
        <v>3048</v>
      </c>
      <c r="I16" s="20" t="n">
        <v>1894</v>
      </c>
      <c r="J16" s="20" t="n">
        <v>1154</v>
      </c>
      <c r="K16" s="20" t="n">
        <v>2336</v>
      </c>
      <c r="L16" s="20" t="n">
        <v>552</v>
      </c>
      <c r="M16" s="20" t="n">
        <v>1784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2026-02-28T23:25:23Z</dcterms:created>
  <dcterms:modified xmlns:dcterms="http://purl.org/dc/terms/" xmlns:xsi="http://www.w3.org/2001/XMLSchema-instance" xsi:type="dcterms:W3CDTF">2026-02-28T23:25:23Z</dcterms:modified>
</cp:coreProperties>
</file>