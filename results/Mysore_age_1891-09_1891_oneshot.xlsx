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ctions" sheetId="1" state="visible" r:id="rId1"/>
    <sheet xmlns:r="http://schemas.openxmlformats.org/officeDocument/2006/relationships" name="TABLE VIII. PART A.-Concluded.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3"/>
    </font>
    <font>
      <b val="1"/>
      <i val="1"/>
      <sz val="12"/>
    </font>
    <font>
      <b val="1"/>
      <color rgb="00FFFFFF"/>
      <sz val="11"/>
    </font>
    <font>
      <b val="1"/>
      <sz val="10"/>
    </font>
    <font>
      <b val="1"/>
      <color rgb="00FFFFFF"/>
      <sz val="10"/>
    </font>
    <font>
      <b val="1"/>
      <sz val="11"/>
    </font>
    <font>
      <sz val="10"/>
    </font>
    <font>
      <b val="1"/>
      <i val="1"/>
      <color rgb="00666666"/>
      <sz val="9"/>
    </font>
    <font>
      <i val="1"/>
      <color rgb="00666666"/>
      <sz val="9"/>
    </font>
    <font>
      <b val="1"/>
      <sz val="14"/>
    </font>
    <font>
      <i val="1"/>
      <color rgb="00666666"/>
      <sz val="10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843C0C"/>
        <bgColor rgb="00843C0C"/>
      </patternFill>
    </fill>
    <fill>
      <patternFill patternType="solid">
        <fgColor rgb="007030A0"/>
        <bgColor rgb="007030A0"/>
      </patternFill>
    </fill>
    <fill>
      <patternFill patternType="solid">
        <fgColor rgb="00808080"/>
        <bgColor rgb="00808080"/>
      </patternFill>
    </fill>
    <fill>
      <patternFill patternType="solid">
        <fgColor rgb="00B4C6E7"/>
        <bgColor rgb="00B4C6E7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3" fillId="4" borderId="0" applyAlignment="1" pivotButton="0" quotePrefix="0" xfId="0">
      <alignment horizontal="center"/>
    </xf>
    <xf numFmtId="0" fontId="0" fillId="4" borderId="0" pivotButton="0" quotePrefix="0" xfId="0"/>
    <xf numFmtId="0" fontId="3" fillId="5" borderId="0" applyAlignment="1" pivotButton="0" quotePrefix="0" xfId="0">
      <alignment horizontal="center"/>
    </xf>
    <xf numFmtId="0" fontId="0" fillId="5" borderId="0" pivotButton="0" quotePrefix="0" xfId="0"/>
    <xf numFmtId="0" fontId="3" fillId="6" borderId="0" applyAlignment="1" pivotButton="0" quotePrefix="0" xfId="0">
      <alignment horizontal="center"/>
    </xf>
    <xf numFmtId="0" fontId="0" fillId="6" borderId="0" pivotButton="0" quotePrefix="0" xfId="0"/>
    <xf numFmtId="0" fontId="5" fillId="7" borderId="0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6" fillId="8" borderId="2" pivotButton="0" quotePrefix="0" xfId="0"/>
    <xf numFmtId="3" fontId="6" fillId="8" borderId="2" pivotButton="0" quotePrefix="0" xfId="0"/>
    <xf numFmtId="0" fontId="6" fillId="8" borderId="2" applyAlignment="1" pivotButton="0" quotePrefix="0" xfId="0">
      <alignment horizontal="center"/>
    </xf>
    <xf numFmtId="0" fontId="7" fillId="9" borderId="2" pivotButton="0" quotePrefix="0" xfId="0"/>
    <xf numFmtId="3" fontId="7" fillId="9" borderId="2" pivotButton="0" quotePrefix="0" xfId="0"/>
    <xf numFmtId="0" fontId="7" fillId="9" borderId="2" applyAlignment="1" pivotButton="0" quotePrefix="0" xfId="0">
      <alignment horizontal="center"/>
    </xf>
    <xf numFmtId="0" fontId="7" fillId="0" borderId="2" pivotButton="0" quotePrefix="0" xfId="0"/>
    <xf numFmtId="3" fontId="7" fillId="0" borderId="2" pivotButton="0" quotePrefix="0" xfId="0"/>
    <xf numFmtId="0" fontId="7" fillId="0" borderId="2" applyAlignment="1" pivotButton="0" quotePrefix="0" xfId="0">
      <alignment horizontal="center"/>
    </xf>
    <xf numFmtId="0" fontId="8" fillId="0" borderId="2" pivotButton="0" quotePrefix="0" xfId="0"/>
    <xf numFmtId="0" fontId="9" fillId="0" borderId="2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7" customWidth="1" min="17" max="17"/>
  </cols>
  <sheetData>
    <row r="1">
      <c r="A1" s="1" t="inlineStr">
        <is>
          <t>TABLE VIII. PART A.-Concluded.</t>
        </is>
      </c>
    </row>
    <row r="2">
      <c r="A2" s="2" t="inlineStr">
        <is>
          <t>Source: TABLE VIII. PART A.-Concluded.</t>
        </is>
      </c>
    </row>
    <row r="3">
      <c r="A3" s="3" t="inlineStr">
        <is>
          <t>TABLE VIII. PART A.-Concluded.</t>
        </is>
      </c>
    </row>
    <row r="4">
      <c r="A4" s="4" t="inlineStr">
        <is>
          <t>Age</t>
        </is>
      </c>
      <c r="B4" s="5" t="inlineStr">
        <is>
          <t>45-49.</t>
        </is>
      </c>
      <c r="C4" s="6" t="n"/>
      <c r="D4" s="6" t="n"/>
      <c r="E4" s="7" t="inlineStr">
        <is>
          <t>50-54.</t>
        </is>
      </c>
      <c r="F4" s="8" t="n"/>
      <c r="G4" s="8" t="n"/>
      <c r="H4" s="9" t="inlineStr">
        <is>
          <t>55-59.</t>
        </is>
      </c>
      <c r="I4" s="10" t="n"/>
      <c r="J4" s="10" t="n"/>
      <c r="K4" s="11" t="inlineStr">
        <is>
          <t>60 and over.</t>
        </is>
      </c>
      <c r="L4" s="12" t="n"/>
      <c r="M4" s="12" t="n"/>
      <c r="N4" s="13" t="inlineStr">
        <is>
          <t>Age not stated.</t>
        </is>
      </c>
      <c r="O4" s="14" t="n"/>
      <c r="P4" s="14" t="n"/>
      <c r="Q4" s="15" t="inlineStr">
        <is>
          <t>Check</t>
        </is>
      </c>
    </row>
    <row r="5">
      <c r="A5" s="16" t="inlineStr"/>
      <c r="B5" s="17" t="inlineStr">
        <is>
          <t>Persons</t>
        </is>
      </c>
      <c r="C5" s="17" t="inlineStr">
        <is>
          <t>Males</t>
        </is>
      </c>
      <c r="D5" s="17" t="inlineStr">
        <is>
          <t>Females</t>
        </is>
      </c>
      <c r="E5" s="17" t="inlineStr">
        <is>
          <t>Persons</t>
        </is>
      </c>
      <c r="F5" s="17" t="inlineStr">
        <is>
          <t>Males</t>
        </is>
      </c>
      <c r="G5" s="17" t="inlineStr">
        <is>
          <t>Females</t>
        </is>
      </c>
      <c r="H5" s="17" t="inlineStr">
        <is>
          <t>Persons</t>
        </is>
      </c>
      <c r="I5" s="17" t="inlineStr">
        <is>
          <t>Males</t>
        </is>
      </c>
      <c r="J5" s="17" t="inlineStr">
        <is>
          <t>Females</t>
        </is>
      </c>
      <c r="K5" s="17" t="inlineStr">
        <is>
          <t>Persons</t>
        </is>
      </c>
      <c r="L5" s="17" t="inlineStr">
        <is>
          <t>Males</t>
        </is>
      </c>
      <c r="M5" s="17" t="inlineStr">
        <is>
          <t>Females</t>
        </is>
      </c>
      <c r="N5" s="17" t="inlineStr">
        <is>
          <t>Persons</t>
        </is>
      </c>
      <c r="O5" s="17" t="inlineStr">
        <is>
          <t>Males</t>
        </is>
      </c>
      <c r="P5" s="17" t="inlineStr">
        <is>
          <t>Females</t>
        </is>
      </c>
      <c r="Q5" s="17" t="inlineStr">
        <is>
          <t>M+F=P</t>
        </is>
      </c>
    </row>
    <row r="6">
      <c r="A6" s="18" t="inlineStr">
        <is>
          <t>Total</t>
        </is>
      </c>
      <c r="B6" s="19" t="n">
        <v>0</v>
      </c>
      <c r="C6" s="19" t="n">
        <v>0</v>
      </c>
      <c r="D6" s="19" t="n">
        <v>0</v>
      </c>
      <c r="E6" s="19" t="n">
        <v>284954</v>
      </c>
      <c r="F6" s="19" t="n">
        <v>51284</v>
      </c>
      <c r="G6" s="19" t="n">
        <v>233670</v>
      </c>
      <c r="H6" s="19" t="n">
        <v>0</v>
      </c>
      <c r="I6" s="19" t="n">
        <v>0</v>
      </c>
      <c r="J6" s="19" t="n">
        <v>0</v>
      </c>
      <c r="K6" s="19" t="n">
        <v>0</v>
      </c>
      <c r="L6" s="19" t="n">
        <v>0</v>
      </c>
      <c r="M6" s="19" t="n">
        <v>0</v>
      </c>
      <c r="N6" s="19" t="n">
        <v>0</v>
      </c>
      <c r="O6" s="19" t="n">
        <v>0</v>
      </c>
      <c r="P6" s="19" t="n">
        <v>0</v>
      </c>
      <c r="Q6" s="20">
        <f>IF(B6=C6+D6,"✓","✗")</f>
        <v/>
      </c>
    </row>
    <row r="7">
      <c r="A7" s="21" t="inlineStr">
        <is>
          <t>1 Bangalore</t>
        </is>
      </c>
      <c r="B7" s="22" t="n"/>
      <c r="C7" s="22" t="n"/>
      <c r="D7" s="22" t="n"/>
      <c r="E7" s="22" t="n">
        <v>13698</v>
      </c>
      <c r="F7" s="22" t="n">
        <v>2433</v>
      </c>
      <c r="G7" s="22" t="n">
        <v>11265</v>
      </c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3">
        <f>IF(B7=C7+D7,"✓","✗")</f>
        <v/>
      </c>
    </row>
    <row r="8">
      <c r="A8" s="24" t="inlineStr">
        <is>
          <t>2 Kolar</t>
        </is>
      </c>
      <c r="B8" s="25" t="n"/>
      <c r="C8" s="25" t="n"/>
      <c r="D8" s="25" t="n"/>
      <c r="E8" s="25" t="n">
        <v>12496</v>
      </c>
      <c r="F8" s="25" t="n">
        <v>2516</v>
      </c>
      <c r="G8" s="25" t="n">
        <v>9980</v>
      </c>
      <c r="H8" s="25" t="n"/>
      <c r="I8" s="25" t="n"/>
      <c r="J8" s="25" t="n"/>
      <c r="K8" s="25" t="n"/>
      <c r="L8" s="25" t="n"/>
      <c r="M8" s="25" t="n"/>
      <c r="N8" s="25" t="n"/>
      <c r="O8" s="25" t="n"/>
      <c r="P8" s="25" t="n"/>
      <c r="Q8" s="26">
        <f>IF(B8=C8+D8,"✓","✗")</f>
        <v/>
      </c>
    </row>
    <row r="9">
      <c r="A9" s="21" t="inlineStr">
        <is>
          <t>3 Tumkur</t>
        </is>
      </c>
      <c r="B9" s="22" t="n"/>
      <c r="C9" s="22" t="n"/>
      <c r="D9" s="22" t="n"/>
      <c r="E9" s="22" t="n">
        <v>11686</v>
      </c>
      <c r="F9" s="22" t="n">
        <v>2214</v>
      </c>
      <c r="G9" s="22" t="n">
        <v>9472</v>
      </c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23">
        <f>IF(B9=C9+D9,"✓","✗")</f>
        <v/>
      </c>
    </row>
    <row r="10">
      <c r="A10" s="24" t="inlineStr">
        <is>
          <t>4 Mysore</t>
        </is>
      </c>
      <c r="B10" s="25" t="n"/>
      <c r="C10" s="25" t="n"/>
      <c r="D10" s="25" t="n"/>
      <c r="E10" s="25" t="n">
        <v>22651</v>
      </c>
      <c r="F10" s="25" t="n">
        <v>2853</v>
      </c>
      <c r="G10" s="25" t="n">
        <v>19798</v>
      </c>
      <c r="H10" s="25" t="n"/>
      <c r="I10" s="25" t="n"/>
      <c r="J10" s="25" t="n"/>
      <c r="K10" s="25" t="n"/>
      <c r="L10" s="25" t="n"/>
      <c r="M10" s="25" t="n"/>
      <c r="N10" s="25" t="n"/>
      <c r="O10" s="25" t="n"/>
      <c r="P10" s="25" t="n"/>
      <c r="Q10" s="26">
        <f>IF(B10=C10+D10,"✓","✗")</f>
        <v/>
      </c>
    </row>
    <row r="11">
      <c r="A11" s="21" t="inlineStr">
        <is>
          <t>5 Hassan</t>
        </is>
      </c>
      <c r="B11" s="22" t="n"/>
      <c r="C11" s="22" t="n"/>
      <c r="D11" s="22" t="n"/>
      <c r="E11" s="22" t="n">
        <v>9765</v>
      </c>
      <c r="F11" s="22" t="n">
        <v>1490</v>
      </c>
      <c r="G11" s="22" t="n">
        <v>8275</v>
      </c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3">
        <f>IF(B11=C11+D11,"✓","✗")</f>
        <v/>
      </c>
    </row>
    <row r="12">
      <c r="A12" s="24" t="inlineStr">
        <is>
          <t>6 Shimoga</t>
        </is>
      </c>
      <c r="B12" s="25" t="n"/>
      <c r="C12" s="25" t="n"/>
      <c r="D12" s="25" t="n"/>
      <c r="E12" s="25" t="n">
        <v>10521</v>
      </c>
      <c r="F12" s="25" t="n">
        <v>2651</v>
      </c>
      <c r="G12" s="25" t="n">
        <v>7870</v>
      </c>
      <c r="H12" s="25" t="n"/>
      <c r="I12" s="25" t="n"/>
      <c r="J12" s="25" t="n"/>
      <c r="K12" s="25" t="n"/>
      <c r="L12" s="25" t="n"/>
      <c r="M12" s="25" t="n"/>
      <c r="N12" s="25" t="n"/>
      <c r="O12" s="25" t="n"/>
      <c r="P12" s="25" t="n"/>
      <c r="Q12" s="26">
        <f>IF(B12=C12+D12,"✓","✗")</f>
        <v/>
      </c>
    </row>
    <row r="13">
      <c r="A13" s="21" t="inlineStr">
        <is>
          <t>7 Kadur</t>
        </is>
      </c>
      <c r="B13" s="22" t="n"/>
      <c r="C13" s="22" t="n"/>
      <c r="D13" s="22" t="n"/>
      <c r="E13" s="22" t="n">
        <v>6074</v>
      </c>
      <c r="F13" s="22" t="n">
        <v>1279</v>
      </c>
      <c r="G13" s="22" t="n">
        <v>4795</v>
      </c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3">
        <f>IF(B13=C13+D13,"✓","✗")</f>
        <v/>
      </c>
    </row>
    <row r="14">
      <c r="A14" s="24" t="inlineStr">
        <is>
          <t>8 Chitaldurg</t>
        </is>
      </c>
      <c r="B14" s="25" t="n"/>
      <c r="C14" s="25" t="n"/>
      <c r="D14" s="25" t="n"/>
      <c r="E14" s="25" t="n">
        <v>6907</v>
      </c>
      <c r="F14" s="25" t="n">
        <v>1478</v>
      </c>
      <c r="G14" s="25" t="n">
        <v>5429</v>
      </c>
      <c r="H14" s="25" t="n"/>
      <c r="I14" s="25" t="n"/>
      <c r="J14" s="25" t="n"/>
      <c r="K14" s="25" t="n"/>
      <c r="L14" s="25" t="n"/>
      <c r="M14" s="25" t="n"/>
      <c r="N14" s="25" t="n"/>
      <c r="O14" s="25" t="n"/>
      <c r="P14" s="25" t="n"/>
      <c r="Q14" s="26">
        <f>IF(B14=C14+D14,"✓","✗")</f>
        <v/>
      </c>
    </row>
    <row r="15">
      <c r="A15" s="21" t="inlineStr">
        <is>
          <t>The Civil and Military Station, Bangalore...</t>
        </is>
      </c>
      <c r="B15" s="22" t="n"/>
      <c r="C15" s="22" t="n"/>
      <c r="D15" s="22" t="n"/>
      <c r="E15" s="22" t="n">
        <v>1780</v>
      </c>
      <c r="F15" s="22" t="n">
        <v>271</v>
      </c>
      <c r="G15" s="22" t="n">
        <v>1509</v>
      </c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3">
        <f>IF(B15=C15+D15,"✓","✗")</f>
        <v/>
      </c>
    </row>
    <row r="16">
      <c r="A16" s="24" t="inlineStr">
        <is>
          <t>GRAND TOTAL..</t>
        </is>
      </c>
      <c r="B16" s="25" t="n"/>
      <c r="C16" s="25" t="n"/>
      <c r="D16" s="25" t="n"/>
      <c r="E16" s="25" t="n">
        <v>95578</v>
      </c>
      <c r="F16" s="25" t="n">
        <v>17185</v>
      </c>
      <c r="G16" s="25" t="n">
        <v>78393</v>
      </c>
      <c r="H16" s="25" t="n"/>
      <c r="I16" s="25" t="n"/>
      <c r="J16" s="25" t="n"/>
      <c r="K16" s="25" t="n"/>
      <c r="L16" s="25" t="n"/>
      <c r="M16" s="25" t="n"/>
      <c r="N16" s="25" t="n"/>
      <c r="O16" s="25" t="n"/>
      <c r="P16" s="25" t="n"/>
      <c r="Q16" s="26">
        <f>IF(B16=C16+D16,"✓","✗")</f>
        <v/>
      </c>
    </row>
    <row r="17">
      <c r="A17" s="21" t="inlineStr">
        <is>
          <t>Total</t>
        </is>
      </c>
      <c r="B17" s="22" t="n"/>
      <c r="C17" s="22" t="n"/>
      <c r="D17" s="22" t="n"/>
      <c r="E17" s="22" t="n">
        <v>93798</v>
      </c>
      <c r="F17" s="22" t="n">
        <v>16914</v>
      </c>
      <c r="G17" s="22" t="n">
        <v>76884</v>
      </c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>
        <f>IF(B17=C17+D17,"✓","✗")</f>
        <v/>
      </c>
    </row>
    <row r="18">
      <c r="A18" s="27" t="inlineStr">
        <is>
          <t>Verify: Sum</t>
        </is>
      </c>
      <c r="B18" s="28">
        <f>IF(SUM(B7:B17)=B6,"✓",SUM(B7:B17)-B6)</f>
        <v/>
      </c>
      <c r="C18" s="28">
        <f>IF(SUM(C7:C17)=C6,"✓",SUM(C7:C17)-C6)</f>
        <v/>
      </c>
      <c r="D18" s="28">
        <f>IF(SUM(D7:D17)=D6,"✓",SUM(D7:D17)-D6)</f>
        <v/>
      </c>
      <c r="E18" s="28">
        <f>IF(SUM(E7:E17)=E6,"✓",SUM(E7:E17)-E6)</f>
        <v/>
      </c>
      <c r="F18" s="28">
        <f>IF(SUM(F7:F17)=F6,"✓",SUM(F7:F17)-F6)</f>
        <v/>
      </c>
      <c r="G18" s="28">
        <f>IF(SUM(G7:G17)=G6,"✓",SUM(G7:G17)-G6)</f>
        <v/>
      </c>
      <c r="H18" s="28">
        <f>IF(SUM(H7:H17)=H6,"✓",SUM(H7:H17)-H6)</f>
        <v/>
      </c>
      <c r="I18" s="28">
        <f>IF(SUM(I7:I17)=I6,"✓",SUM(I7:I17)-I6)</f>
        <v/>
      </c>
      <c r="J18" s="28">
        <f>IF(SUM(J7:J17)=J6,"✓",SUM(J7:J17)-J6)</f>
        <v/>
      </c>
      <c r="K18" s="28">
        <f>IF(SUM(K7:K17)=K6,"✓",SUM(K7:K17)-K6)</f>
        <v/>
      </c>
      <c r="L18" s="28">
        <f>IF(SUM(L7:L17)=L6,"✓",SUM(L7:L17)-L6)</f>
        <v/>
      </c>
      <c r="M18" s="28">
        <f>IF(SUM(M7:M17)=M6,"✓",SUM(M7:M17)-M6)</f>
        <v/>
      </c>
      <c r="N18" s="28">
        <f>IF(SUM(N7:N17)=N6,"✓",SUM(N7:N17)-N6)</f>
        <v/>
      </c>
      <c r="O18" s="28">
        <f>IF(SUM(O7:O17)=O6,"✓",SUM(O7:O17)-O6)</f>
        <v/>
      </c>
      <c r="P18" s="28">
        <f>IF(SUM(P7:P17)=P6,"✓",SUM(P7:P17)-P6)</f>
        <v/>
      </c>
    </row>
  </sheetData>
  <mergeCells count="5">
    <mergeCell ref="K4:M4"/>
    <mergeCell ref="B4:D4"/>
    <mergeCell ref="H4:J4"/>
    <mergeCell ref="E4:G4"/>
    <mergeCell ref="N4:P4"/>
  </mergeCells>
  <conditionalFormatting sqref="Q6:Q18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7" customWidth="1" min="17" max="17"/>
  </cols>
  <sheetData>
    <row r="1">
      <c r="A1" s="29" t="inlineStr">
        <is>
          <t>TABLE VIII. PART A.-Concluded.</t>
        </is>
      </c>
    </row>
    <row r="2">
      <c r="A2" s="3" t="inlineStr">
        <is>
          <t>TABLE VIII. PART A.-Concluded.</t>
        </is>
      </c>
    </row>
    <row r="3">
      <c r="A3" s="4" t="inlineStr">
        <is>
          <t>Age</t>
        </is>
      </c>
      <c r="B3" s="5" t="inlineStr">
        <is>
          <t>45-49.</t>
        </is>
      </c>
      <c r="C3" s="6" t="n"/>
      <c r="D3" s="6" t="n"/>
      <c r="E3" s="7" t="inlineStr">
        <is>
          <t>50-54.</t>
        </is>
      </c>
      <c r="F3" s="8" t="n"/>
      <c r="G3" s="8" t="n"/>
      <c r="H3" s="9" t="inlineStr">
        <is>
          <t>55-59.</t>
        </is>
      </c>
      <c r="I3" s="10" t="n"/>
      <c r="J3" s="10" t="n"/>
      <c r="K3" s="11" t="inlineStr">
        <is>
          <t>60 and over.</t>
        </is>
      </c>
      <c r="L3" s="12" t="n"/>
      <c r="M3" s="12" t="n"/>
      <c r="N3" s="13" t="inlineStr">
        <is>
          <t>Age not stated.</t>
        </is>
      </c>
      <c r="O3" s="14" t="n"/>
      <c r="P3" s="14" t="n"/>
      <c r="Q3" s="15" t="inlineStr">
        <is>
          <t>Check</t>
        </is>
      </c>
    </row>
    <row r="4">
      <c r="A4" s="16" t="inlineStr"/>
      <c r="B4" s="17" t="inlineStr">
        <is>
          <t>Persons</t>
        </is>
      </c>
      <c r="C4" s="17" t="inlineStr">
        <is>
          <t>Males</t>
        </is>
      </c>
      <c r="D4" s="17" t="inlineStr">
        <is>
          <t>Females</t>
        </is>
      </c>
      <c r="E4" s="17" t="inlineStr">
        <is>
          <t>Persons</t>
        </is>
      </c>
      <c r="F4" s="17" t="inlineStr">
        <is>
          <t>Males</t>
        </is>
      </c>
      <c r="G4" s="17" t="inlineStr">
        <is>
          <t>Females</t>
        </is>
      </c>
      <c r="H4" s="17" t="inlineStr">
        <is>
          <t>Persons</t>
        </is>
      </c>
      <c r="I4" s="17" t="inlineStr">
        <is>
          <t>Males</t>
        </is>
      </c>
      <c r="J4" s="17" t="inlineStr">
        <is>
          <t>Females</t>
        </is>
      </c>
      <c r="K4" s="17" t="inlineStr">
        <is>
          <t>Persons</t>
        </is>
      </c>
      <c r="L4" s="17" t="inlineStr">
        <is>
          <t>Males</t>
        </is>
      </c>
      <c r="M4" s="17" t="inlineStr">
        <is>
          <t>Females</t>
        </is>
      </c>
      <c r="N4" s="17" t="inlineStr">
        <is>
          <t>Persons</t>
        </is>
      </c>
      <c r="O4" s="17" t="inlineStr">
        <is>
          <t>Males</t>
        </is>
      </c>
      <c r="P4" s="17" t="inlineStr">
        <is>
          <t>Females</t>
        </is>
      </c>
      <c r="Q4" s="17" t="inlineStr">
        <is>
          <t>M+F=P</t>
        </is>
      </c>
    </row>
    <row r="5">
      <c r="A5" s="18" t="inlineStr">
        <is>
          <t>Total</t>
        </is>
      </c>
      <c r="B5" s="19" t="n">
        <v>0</v>
      </c>
      <c r="C5" s="19" t="n">
        <v>0</v>
      </c>
      <c r="D5" s="19" t="n">
        <v>0</v>
      </c>
      <c r="E5" s="19" t="n">
        <v>284954</v>
      </c>
      <c r="F5" s="19" t="n">
        <v>51284</v>
      </c>
      <c r="G5" s="19" t="n">
        <v>233670</v>
      </c>
      <c r="H5" s="19" t="n">
        <v>0</v>
      </c>
      <c r="I5" s="19" t="n">
        <v>0</v>
      </c>
      <c r="J5" s="19" t="n">
        <v>0</v>
      </c>
      <c r="K5" s="19" t="n">
        <v>0</v>
      </c>
      <c r="L5" s="19" t="n">
        <v>0</v>
      </c>
      <c r="M5" s="19" t="n">
        <v>0</v>
      </c>
      <c r="N5" s="19" t="n">
        <v>0</v>
      </c>
      <c r="O5" s="19" t="n">
        <v>0</v>
      </c>
      <c r="P5" s="19" t="n">
        <v>0</v>
      </c>
      <c r="Q5" s="20">
        <f>IF(B5=C5+D5,"✓","✗")</f>
        <v/>
      </c>
    </row>
    <row r="6">
      <c r="A6" s="21" t="inlineStr">
        <is>
          <t>1 Bangalore</t>
        </is>
      </c>
      <c r="B6" s="22" t="n"/>
      <c r="C6" s="22" t="n"/>
      <c r="D6" s="22" t="n"/>
      <c r="E6" s="22" t="n">
        <v>13698</v>
      </c>
      <c r="F6" s="22" t="n">
        <v>2433</v>
      </c>
      <c r="G6" s="22" t="n">
        <v>11265</v>
      </c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  <c r="Q6" s="23">
        <f>IF(B6=C6+D6,"✓","✗")</f>
        <v/>
      </c>
    </row>
    <row r="7">
      <c r="A7" s="24" t="inlineStr">
        <is>
          <t>2 Kolar</t>
        </is>
      </c>
      <c r="B7" s="25" t="n"/>
      <c r="C7" s="25" t="n"/>
      <c r="D7" s="25" t="n"/>
      <c r="E7" s="25" t="n">
        <v>12496</v>
      </c>
      <c r="F7" s="25" t="n">
        <v>2516</v>
      </c>
      <c r="G7" s="25" t="n">
        <v>9980</v>
      </c>
      <c r="H7" s="25" t="n"/>
      <c r="I7" s="25" t="n"/>
      <c r="J7" s="25" t="n"/>
      <c r="K7" s="25" t="n"/>
      <c r="L7" s="25" t="n"/>
      <c r="M7" s="25" t="n"/>
      <c r="N7" s="25" t="n"/>
      <c r="O7" s="25" t="n"/>
      <c r="P7" s="25" t="n"/>
      <c r="Q7" s="26">
        <f>IF(B7=C7+D7,"✓","✗")</f>
        <v/>
      </c>
    </row>
    <row r="8">
      <c r="A8" s="21" t="inlineStr">
        <is>
          <t>3 Tumkur</t>
        </is>
      </c>
      <c r="B8" s="22" t="n"/>
      <c r="C8" s="22" t="n"/>
      <c r="D8" s="22" t="n"/>
      <c r="E8" s="22" t="n">
        <v>11686</v>
      </c>
      <c r="F8" s="22" t="n">
        <v>2214</v>
      </c>
      <c r="G8" s="22" t="n">
        <v>9472</v>
      </c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>
        <f>IF(B8=C8+D8,"✓","✗")</f>
        <v/>
      </c>
    </row>
    <row r="9">
      <c r="A9" s="24" t="inlineStr">
        <is>
          <t>4 Mysore</t>
        </is>
      </c>
      <c r="B9" s="25" t="n"/>
      <c r="C9" s="25" t="n"/>
      <c r="D9" s="25" t="n"/>
      <c r="E9" s="25" t="n">
        <v>22651</v>
      </c>
      <c r="F9" s="25" t="n">
        <v>2853</v>
      </c>
      <c r="G9" s="25" t="n">
        <v>19798</v>
      </c>
      <c r="H9" s="25" t="n"/>
      <c r="I9" s="25" t="n"/>
      <c r="J9" s="25" t="n"/>
      <c r="K9" s="25" t="n"/>
      <c r="L9" s="25" t="n"/>
      <c r="M9" s="25" t="n"/>
      <c r="N9" s="25" t="n"/>
      <c r="O9" s="25" t="n"/>
      <c r="P9" s="25" t="n"/>
      <c r="Q9" s="26">
        <f>IF(B9=C9+D9,"✓","✗")</f>
        <v/>
      </c>
    </row>
    <row r="10">
      <c r="A10" s="21" t="inlineStr">
        <is>
          <t>5 Hassan</t>
        </is>
      </c>
      <c r="B10" s="22" t="n"/>
      <c r="C10" s="22" t="n"/>
      <c r="D10" s="22" t="n"/>
      <c r="E10" s="22" t="n">
        <v>9765</v>
      </c>
      <c r="F10" s="22" t="n">
        <v>1490</v>
      </c>
      <c r="G10" s="22" t="n">
        <v>8275</v>
      </c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3">
        <f>IF(B10=C10+D10,"✓","✗")</f>
        <v/>
      </c>
    </row>
    <row r="11">
      <c r="A11" s="24" t="inlineStr">
        <is>
          <t>6 Shimoga</t>
        </is>
      </c>
      <c r="B11" s="25" t="n"/>
      <c r="C11" s="25" t="n"/>
      <c r="D11" s="25" t="n"/>
      <c r="E11" s="25" t="n">
        <v>10521</v>
      </c>
      <c r="F11" s="25" t="n">
        <v>2651</v>
      </c>
      <c r="G11" s="25" t="n">
        <v>7870</v>
      </c>
      <c r="H11" s="25" t="n"/>
      <c r="I11" s="25" t="n"/>
      <c r="J11" s="25" t="n"/>
      <c r="K11" s="25" t="n"/>
      <c r="L11" s="25" t="n"/>
      <c r="M11" s="25" t="n"/>
      <c r="N11" s="25" t="n"/>
      <c r="O11" s="25" t="n"/>
      <c r="P11" s="25" t="n"/>
      <c r="Q11" s="26">
        <f>IF(B11=C11+D11,"✓","✗")</f>
        <v/>
      </c>
    </row>
    <row r="12">
      <c r="A12" s="21" t="inlineStr">
        <is>
          <t>7 Kadur</t>
        </is>
      </c>
      <c r="B12" s="22" t="n"/>
      <c r="C12" s="22" t="n"/>
      <c r="D12" s="22" t="n"/>
      <c r="E12" s="22" t="n">
        <v>6074</v>
      </c>
      <c r="F12" s="22" t="n">
        <v>1279</v>
      </c>
      <c r="G12" s="22" t="n">
        <v>4795</v>
      </c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3">
        <f>IF(B12=C12+D12,"✓","✗")</f>
        <v/>
      </c>
    </row>
    <row r="13">
      <c r="A13" s="24" t="inlineStr">
        <is>
          <t>8 Chitaldurg</t>
        </is>
      </c>
      <c r="B13" s="25" t="n"/>
      <c r="C13" s="25" t="n"/>
      <c r="D13" s="25" t="n"/>
      <c r="E13" s="25" t="n">
        <v>6907</v>
      </c>
      <c r="F13" s="25" t="n">
        <v>1478</v>
      </c>
      <c r="G13" s="25" t="n">
        <v>5429</v>
      </c>
      <c r="H13" s="25" t="n"/>
      <c r="I13" s="25" t="n"/>
      <c r="J13" s="25" t="n"/>
      <c r="K13" s="25" t="n"/>
      <c r="L13" s="25" t="n"/>
      <c r="M13" s="25" t="n"/>
      <c r="N13" s="25" t="n"/>
      <c r="O13" s="25" t="n"/>
      <c r="P13" s="25" t="n"/>
      <c r="Q13" s="26">
        <f>IF(B13=C13+D13,"✓","✗")</f>
        <v/>
      </c>
    </row>
    <row r="14">
      <c r="A14" s="21" t="inlineStr">
        <is>
          <t>The Civil and Military Station, Bangalore...</t>
        </is>
      </c>
      <c r="B14" s="22" t="n"/>
      <c r="C14" s="22" t="n"/>
      <c r="D14" s="22" t="n"/>
      <c r="E14" s="22" t="n">
        <v>1780</v>
      </c>
      <c r="F14" s="22" t="n">
        <v>271</v>
      </c>
      <c r="G14" s="22" t="n">
        <v>1509</v>
      </c>
      <c r="H14" s="22" t="n"/>
      <c r="I14" s="22" t="n"/>
      <c r="J14" s="22" t="n"/>
      <c r="K14" s="22" t="n"/>
      <c r="L14" s="22" t="n"/>
      <c r="M14" s="22" t="n"/>
      <c r="N14" s="22" t="n"/>
      <c r="O14" s="22" t="n"/>
      <c r="P14" s="22" t="n"/>
      <c r="Q14" s="23">
        <f>IF(B14=C14+D14,"✓","✗")</f>
        <v/>
      </c>
    </row>
    <row r="15">
      <c r="A15" s="24" t="inlineStr">
        <is>
          <t>GRAND TOTAL..</t>
        </is>
      </c>
      <c r="B15" s="25" t="n"/>
      <c r="C15" s="25" t="n"/>
      <c r="D15" s="25" t="n"/>
      <c r="E15" s="25" t="n">
        <v>95578</v>
      </c>
      <c r="F15" s="25" t="n">
        <v>17185</v>
      </c>
      <c r="G15" s="25" t="n">
        <v>78393</v>
      </c>
      <c r="H15" s="25" t="n"/>
      <c r="I15" s="25" t="n"/>
      <c r="J15" s="25" t="n"/>
      <c r="K15" s="25" t="n"/>
      <c r="L15" s="25" t="n"/>
      <c r="M15" s="25" t="n"/>
      <c r="N15" s="25" t="n"/>
      <c r="O15" s="25" t="n"/>
      <c r="P15" s="25" t="n"/>
      <c r="Q15" s="26">
        <f>IF(B15=C15+D15,"✓","✗")</f>
        <v/>
      </c>
    </row>
    <row r="16">
      <c r="A16" s="21" t="inlineStr">
        <is>
          <t>Total</t>
        </is>
      </c>
      <c r="B16" s="22" t="n"/>
      <c r="C16" s="22" t="n"/>
      <c r="D16" s="22" t="n"/>
      <c r="E16" s="22" t="n">
        <v>93798</v>
      </c>
      <c r="F16" s="22" t="n">
        <v>16914</v>
      </c>
      <c r="G16" s="22" t="n">
        <v>76884</v>
      </c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3">
        <f>IF(B16=C16+D16,"✓","✗")</f>
        <v/>
      </c>
    </row>
    <row r="17">
      <c r="A17" s="27" t="inlineStr">
        <is>
          <t>Verify: Sum</t>
        </is>
      </c>
      <c r="B17" s="28">
        <f>IF(SUM(B6:B16)=B5,"✓",SUM(B6:B16)-B5)</f>
        <v/>
      </c>
      <c r="C17" s="28">
        <f>IF(SUM(C6:C16)=C5,"✓",SUM(C6:C16)-C5)</f>
        <v/>
      </c>
      <c r="D17" s="28">
        <f>IF(SUM(D6:D16)=D5,"✓",SUM(D6:D16)-D5)</f>
        <v/>
      </c>
      <c r="E17" s="28">
        <f>IF(SUM(E6:E16)=E5,"✓",SUM(E6:E16)-E5)</f>
        <v/>
      </c>
      <c r="F17" s="28">
        <f>IF(SUM(F6:F16)=F5,"✓",SUM(F6:F16)-F5)</f>
        <v/>
      </c>
      <c r="G17" s="28">
        <f>IF(SUM(G6:G16)=G5,"✓",SUM(G6:G16)-G5)</f>
        <v/>
      </c>
      <c r="H17" s="28">
        <f>IF(SUM(H6:H16)=H5,"✓",SUM(H6:H16)-H5)</f>
        <v/>
      </c>
      <c r="I17" s="28">
        <f>IF(SUM(I6:I16)=I5,"✓",SUM(I6:I16)-I5)</f>
        <v/>
      </c>
      <c r="J17" s="28">
        <f>IF(SUM(J6:J16)=J5,"✓",SUM(J6:J16)-J5)</f>
        <v/>
      </c>
      <c r="K17" s="28">
        <f>IF(SUM(K6:K16)=K5,"✓",SUM(K6:K16)-K5)</f>
        <v/>
      </c>
      <c r="L17" s="28">
        <f>IF(SUM(L6:L16)=L5,"✓",SUM(L6:L16)-L5)</f>
        <v/>
      </c>
      <c r="M17" s="28">
        <f>IF(SUM(M6:M16)=M5,"✓",SUM(M6:M16)-M5)</f>
        <v/>
      </c>
      <c r="N17" s="28">
        <f>IF(SUM(N6:N16)=N5,"✓",SUM(N6:N16)-N5)</f>
        <v/>
      </c>
      <c r="O17" s="28">
        <f>IF(SUM(O6:O16)=O5,"✓",SUM(O6:O16)-O5)</f>
        <v/>
      </c>
      <c r="P17" s="28">
        <f>IF(SUM(P6:P16)=P5,"✓",SUM(P6:P16)-P5)</f>
        <v/>
      </c>
    </row>
  </sheetData>
  <mergeCells count="5">
    <mergeCell ref="B3:D3"/>
    <mergeCell ref="E3:G3"/>
    <mergeCell ref="K3:M3"/>
    <mergeCell ref="H3:J3"/>
    <mergeCell ref="N3:P3"/>
  </mergeCells>
  <conditionalFormatting sqref="Q5:Q17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2026-03-03T05:21:26Z</dcterms:created>
  <dcterms:modified xmlns:dcterms="http://purl.org/dc/terms/" xmlns:xsi="http://www.w3.org/2001/XMLSchema-instance" xsi:type="dcterms:W3CDTF">2026-03-03T05:21:26Z</dcterms:modified>
</cp:coreProperties>
</file>