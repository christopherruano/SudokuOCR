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All Religions" sheetId="2" state="visible" r:id="rId2"/>
    <sheet xmlns:r="http://schemas.openxmlformats.org/officeDocument/2006/relationships" name="Hindu (Brahmanic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sz val="10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5" fillId="6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7" borderId="2" pivotButton="0" quotePrefix="0" xfId="0"/>
    <xf numFmtId="3" fontId="6" fillId="7" borderId="2" pivotButton="0" quotePrefix="0" xfId="0"/>
    <xf numFmtId="0" fontId="6" fillId="7" borderId="2" applyAlignment="1" pivotButton="0" quotePrefix="0" xfId="0">
      <alignment horizontal="center"/>
    </xf>
    <xf numFmtId="0" fontId="7" fillId="8" borderId="2" pivotButton="0" quotePrefix="0" xfId="0"/>
    <xf numFmtId="3" fontId="7" fillId="8" borderId="2" pivotButton="0" quotePrefix="0" xfId="0"/>
    <xf numFmtId="0" fontId="7" fillId="8" borderId="2" applyAlignment="1" pivotButton="0" quotePrefix="0" xfId="0">
      <alignment horizontal="center"/>
    </xf>
    <xf numFmtId="0" fontId="7" fillId="0" borderId="2" pivotButton="0" quotePrefix="0" xfId="0"/>
    <xf numFmtId="3" fontId="7" fillId="0" borderId="2" pivotButton="0" quotePrefix="0" xfId="0"/>
    <xf numFmtId="0" fontId="7" fillId="0" borderId="2" applyAlignment="1" pivotButton="0" quotePrefix="0" xfId="0">
      <alignment horizontal="center"/>
    </xf>
    <xf numFmtId="0" fontId="8" fillId="0" borderId="2" pivotButton="0" quotePrefix="0" xfId="0"/>
    <xf numFmtId="0" fontId="9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  <col width="7" customWidth="1" min="15" max="15"/>
  </cols>
  <sheetData>
    <row r="1">
      <c r="A1" s="1" t="inlineStr">
        <is>
          <t>Bir</t>
        </is>
      </c>
    </row>
    <row r="2">
      <c r="A2" s="2" t="inlineStr">
        <is>
          <t>Source: TABLE VII. Age, Sex and Civil Condition Part II. Districts.</t>
        </is>
      </c>
    </row>
    <row r="3">
      <c r="A3" s="3" t="inlineStr">
        <is>
          <t>All Religions</t>
        </is>
      </c>
    </row>
    <row r="4">
      <c r="A4" s="4" t="inlineStr">
        <is>
          <t>Age</t>
        </is>
      </c>
      <c r="B4" s="5" t="inlineStr">
        <is>
          <t>POPULATION</t>
        </is>
      </c>
      <c r="C4" s="6" t="n"/>
      <c r="D4" s="6" t="n"/>
      <c r="E4" s="7" t="inlineStr">
        <is>
          <t>UNMARRIED</t>
        </is>
      </c>
      <c r="F4" s="8" t="n"/>
      <c r="G4" s="8" t="n"/>
      <c r="H4" s="9" t="inlineStr">
        <is>
          <t>MARRIED</t>
        </is>
      </c>
      <c r="I4" s="10" t="n"/>
      <c r="J4" s="10" t="n"/>
      <c r="K4" s="11" t="inlineStr">
        <is>
          <t>WIDOWED</t>
        </is>
      </c>
      <c r="L4" s="12" t="n"/>
      <c r="M4" s="12" t="n"/>
      <c r="N4" s="13" t="inlineStr">
        <is>
          <t>Check</t>
        </is>
      </c>
      <c r="O4" s="13" t="inlineStr">
        <is>
          <t>Check</t>
        </is>
      </c>
    </row>
    <row r="5">
      <c r="A5" s="14" t="inlineStr"/>
      <c r="B5" s="15" t="inlineStr">
        <is>
          <t>Persons</t>
        </is>
      </c>
      <c r="C5" s="15" t="inlineStr">
        <is>
          <t>Males</t>
        </is>
      </c>
      <c r="D5" s="15" t="inlineStr">
        <is>
          <t>Females</t>
        </is>
      </c>
      <c r="E5" s="15" t="inlineStr">
        <is>
          <t>Persons</t>
        </is>
      </c>
      <c r="F5" s="15" t="inlineStr">
        <is>
          <t>Males</t>
        </is>
      </c>
      <c r="G5" s="15" t="inlineStr">
        <is>
          <t>Females</t>
        </is>
      </c>
      <c r="H5" s="15" t="inlineStr">
        <is>
          <t>Persons</t>
        </is>
      </c>
      <c r="I5" s="15" t="inlineStr">
        <is>
          <t>Males</t>
        </is>
      </c>
      <c r="J5" s="15" t="inlineStr">
        <is>
          <t>Females</t>
        </is>
      </c>
      <c r="K5" s="15" t="inlineStr">
        <is>
          <t>Persons</t>
        </is>
      </c>
      <c r="L5" s="15" t="inlineStr">
        <is>
          <t>Males</t>
        </is>
      </c>
      <c r="M5" s="15" t="inlineStr">
        <is>
          <t>Females</t>
        </is>
      </c>
      <c r="N5" s="15" t="inlineStr">
        <is>
          <t>P=Sum</t>
        </is>
      </c>
      <c r="O5" s="15" t="inlineStr">
        <is>
          <t>M+F=P</t>
        </is>
      </c>
    </row>
    <row r="6">
      <c r="A6" s="16" t="inlineStr">
        <is>
          <t>Total</t>
        </is>
      </c>
      <c r="B6" s="17" t="n">
        <v>1267380</v>
      </c>
      <c r="C6" s="17" t="n">
        <v>650792</v>
      </c>
      <c r="D6" s="17" t="n">
        <v>616588</v>
      </c>
      <c r="E6" s="17" t="n">
        <v>461112</v>
      </c>
      <c r="F6" s="17" t="n">
        <v>265924</v>
      </c>
      <c r="G6" s="17" t="n">
        <v>195188</v>
      </c>
      <c r="H6" s="17" t="n">
        <v>686990</v>
      </c>
      <c r="I6" s="17" t="n">
        <v>344882</v>
      </c>
      <c r="J6" s="17" t="n">
        <v>342108</v>
      </c>
      <c r="K6" s="17" t="n">
        <v>119278</v>
      </c>
      <c r="L6" s="17" t="n">
        <v>39986</v>
      </c>
      <c r="M6" s="17" t="n">
        <v>79292</v>
      </c>
      <c r="N6" s="18">
        <f>IF(B6=E6+H6+K6,"✓","✗")</f>
        <v/>
      </c>
      <c r="O6" s="18">
        <f>IF(B6=C6+D6,"✓","✗")</f>
        <v/>
      </c>
    </row>
    <row r="7">
      <c r="A7" s="19" t="inlineStr">
        <is>
          <t>Total</t>
        </is>
      </c>
      <c r="B7" s="20" t="n">
        <v>633690</v>
      </c>
      <c r="C7" s="20" t="n">
        <v>325396</v>
      </c>
      <c r="D7" s="20" t="n">
        <v>308294</v>
      </c>
      <c r="E7" s="20" t="n">
        <v>230556</v>
      </c>
      <c r="F7" s="20" t="n">
        <v>132962</v>
      </c>
      <c r="G7" s="20" t="n">
        <v>97594</v>
      </c>
      <c r="H7" s="20" t="n">
        <v>343495</v>
      </c>
      <c r="I7" s="20" t="n">
        <v>172441</v>
      </c>
      <c r="J7" s="20" t="n">
        <v>171054</v>
      </c>
      <c r="K7" s="20" t="n">
        <v>59639</v>
      </c>
      <c r="L7" s="20" t="n">
        <v>19993</v>
      </c>
      <c r="M7" s="20" t="n">
        <v>39646</v>
      </c>
      <c r="N7" s="21">
        <f>IF(B7=E7+H7+K7,"✓",B7-(E7+H7+K7))</f>
        <v/>
      </c>
      <c r="O7" s="21">
        <f>IF(B7=C7+D7,"✓","✗")</f>
        <v/>
      </c>
    </row>
    <row r="8">
      <c r="A8" s="22" t="inlineStr">
        <is>
          <t>0-1</t>
        </is>
      </c>
      <c r="B8" s="23" t="n">
        <v>19016</v>
      </c>
      <c r="C8" s="23" t="n">
        <v>8723</v>
      </c>
      <c r="D8" s="23" t="n">
        <v>10293</v>
      </c>
      <c r="E8" s="23" t="n">
        <v>18600</v>
      </c>
      <c r="F8" s="23" t="n">
        <v>8637</v>
      </c>
      <c r="G8" s="23" t="n">
        <v>9963</v>
      </c>
      <c r="H8" s="23" t="n">
        <v>408</v>
      </c>
      <c r="I8" s="23" t="n">
        <v>82</v>
      </c>
      <c r="J8" s="23" t="n">
        <v>326</v>
      </c>
      <c r="K8" s="23" t="n">
        <v>8</v>
      </c>
      <c r="L8" s="23" t="n">
        <v>4</v>
      </c>
      <c r="M8" s="23" t="n">
        <v>4</v>
      </c>
      <c r="N8" s="24">
        <f>IF(B8=E8+H8+K8,"✓",B8-(E8+H8+K8))</f>
        <v/>
      </c>
      <c r="O8" s="24">
        <f>IF(B8=C8+D8,"✓","✗")</f>
        <v/>
      </c>
    </row>
    <row r="9">
      <c r="A9" s="19" t="inlineStr">
        <is>
          <t>1-5</t>
        </is>
      </c>
      <c r="B9" s="20" t="n">
        <v>87687</v>
      </c>
      <c r="C9" s="20" t="n">
        <v>41090</v>
      </c>
      <c r="D9" s="20" t="n">
        <v>46597</v>
      </c>
      <c r="E9" s="20" t="n">
        <v>80040</v>
      </c>
      <c r="F9" s="20" t="n">
        <v>39226</v>
      </c>
      <c r="G9" s="20" t="n">
        <v>40814</v>
      </c>
      <c r="H9" s="20" t="n">
        <v>7226</v>
      </c>
      <c r="I9" s="20" t="n">
        <v>1600</v>
      </c>
      <c r="J9" s="20" t="n">
        <v>5626</v>
      </c>
      <c r="K9" s="20" t="n">
        <v>421</v>
      </c>
      <c r="L9" s="20" t="n">
        <v>264</v>
      </c>
      <c r="M9" s="20" t="n">
        <v>157</v>
      </c>
      <c r="N9" s="21">
        <f>IF(B9=E9+H9+K9,"✓",B9-(E9+H9+K9))</f>
        <v/>
      </c>
      <c r="O9" s="21">
        <f>IF(B9=C9+D9,"✓","✗")</f>
        <v/>
      </c>
    </row>
    <row r="10">
      <c r="A10" s="22" t="inlineStr">
        <is>
          <t>5-10</t>
        </is>
      </c>
      <c r="B10" s="23" t="n">
        <v>72752</v>
      </c>
      <c r="C10" s="23" t="n">
        <v>38584</v>
      </c>
      <c r="D10" s="23" t="n">
        <v>34168</v>
      </c>
      <c r="E10" s="23" t="n">
        <v>54890</v>
      </c>
      <c r="F10" s="23" t="n">
        <v>33508</v>
      </c>
      <c r="G10" s="23" t="n">
        <v>21382</v>
      </c>
      <c r="H10" s="23" t="n">
        <v>17257</v>
      </c>
      <c r="I10" s="23" t="n">
        <v>4770</v>
      </c>
      <c r="J10" s="23" t="n">
        <v>12487</v>
      </c>
      <c r="K10" s="23" t="n">
        <v>605</v>
      </c>
      <c r="L10" s="23" t="n">
        <v>306</v>
      </c>
      <c r="M10" s="23" t="n">
        <v>299</v>
      </c>
      <c r="N10" s="24">
        <f>IF(B10=E10+H10+K10,"✓",B10-(E10+H10+K10))</f>
        <v/>
      </c>
      <c r="O10" s="24">
        <f>IF(B10=C10+D10,"✓","✗")</f>
        <v/>
      </c>
    </row>
    <row r="11">
      <c r="A11" s="19" t="inlineStr">
        <is>
          <t>10-15</t>
        </is>
      </c>
      <c r="B11" s="20" t="n">
        <v>69249</v>
      </c>
      <c r="C11" s="20" t="n">
        <v>37106</v>
      </c>
      <c r="D11" s="20" t="n">
        <v>32143</v>
      </c>
      <c r="E11" s="20" t="n">
        <v>39523</v>
      </c>
      <c r="F11" s="20" t="n">
        <v>27043</v>
      </c>
      <c r="G11" s="20" t="n">
        <v>12480</v>
      </c>
      <c r="H11" s="20" t="n">
        <v>28695</v>
      </c>
      <c r="I11" s="20" t="n">
        <v>9782</v>
      </c>
      <c r="J11" s="20" t="n">
        <v>18913</v>
      </c>
      <c r="K11" s="20" t="n">
        <v>1031</v>
      </c>
      <c r="L11" s="20" t="n">
        <v>281</v>
      </c>
      <c r="M11" s="20" t="n">
        <v>750</v>
      </c>
      <c r="N11" s="21">
        <f>IF(B11=E11+H11+K11,"✓",B11-(E11+H11+K11))</f>
        <v/>
      </c>
      <c r="O11" s="21">
        <f>IF(B11=C11+D11,"✓","✗")</f>
        <v/>
      </c>
    </row>
    <row r="12">
      <c r="A12" s="22" t="inlineStr">
        <is>
          <t>15-20</t>
        </is>
      </c>
      <c r="B12" s="23" t="n">
        <v>55340</v>
      </c>
      <c r="C12" s="23" t="n">
        <v>26342</v>
      </c>
      <c r="D12" s="23" t="n">
        <v>28998</v>
      </c>
      <c r="E12" s="23" t="n">
        <v>13845</v>
      </c>
      <c r="F12" s="23" t="n">
        <v>10152</v>
      </c>
      <c r="G12" s="23" t="n">
        <v>3693</v>
      </c>
      <c r="H12" s="23" t="n">
        <v>39830</v>
      </c>
      <c r="I12" s="23" t="n">
        <v>15742</v>
      </c>
      <c r="J12" s="23" t="n">
        <v>24088</v>
      </c>
      <c r="K12" s="23" t="n">
        <v>1665</v>
      </c>
      <c r="L12" s="23" t="n">
        <v>448</v>
      </c>
      <c r="M12" s="23" t="n">
        <v>1217</v>
      </c>
      <c r="N12" s="24">
        <f>IF(B12=E12+H12+K12,"✓",B12-(E12+H12+K12))</f>
        <v/>
      </c>
      <c r="O12" s="24">
        <f>IF(B12=C12+D12,"✓","✗")</f>
        <v/>
      </c>
    </row>
    <row r="13">
      <c r="A13" s="19" t="inlineStr">
        <is>
          <t>20-30</t>
        </is>
      </c>
      <c r="B13" s="20" t="n">
        <v>112818</v>
      </c>
      <c r="C13" s="20" t="n">
        <v>56037</v>
      </c>
      <c r="D13" s="20" t="n">
        <v>56781</v>
      </c>
      <c r="E13" s="20" t="n">
        <v>13882</v>
      </c>
      <c r="F13" s="20" t="n">
        <v>9440</v>
      </c>
      <c r="G13" s="20" t="n">
        <v>4442</v>
      </c>
      <c r="H13" s="20" t="n">
        <v>92021</v>
      </c>
      <c r="I13" s="20" t="n">
        <v>44214</v>
      </c>
      <c r="J13" s="20" t="n">
        <v>47807</v>
      </c>
      <c r="K13" s="20" t="n">
        <v>6915</v>
      </c>
      <c r="L13" s="20" t="n">
        <v>2383</v>
      </c>
      <c r="M13" s="20" t="n">
        <v>4532</v>
      </c>
      <c r="N13" s="21">
        <f>IF(B13=E13+H13+K13,"✓",B13-(E13+H13+K13))</f>
        <v/>
      </c>
      <c r="O13" s="21">
        <f>IF(B13=C13+D13,"✓","✗")</f>
        <v/>
      </c>
    </row>
    <row r="14">
      <c r="A14" s="22" t="inlineStr">
        <is>
          <t>30-40</t>
        </is>
      </c>
      <c r="B14" s="23" t="n">
        <v>88834</v>
      </c>
      <c r="C14" s="23" t="n">
        <v>46245</v>
      </c>
      <c r="D14" s="23" t="n">
        <v>42589</v>
      </c>
      <c r="E14" s="23" t="n">
        <v>6183</v>
      </c>
      <c r="F14" s="23" t="n">
        <v>3439</v>
      </c>
      <c r="G14" s="23" t="n">
        <v>2744</v>
      </c>
      <c r="H14" s="23" t="n">
        <v>71279</v>
      </c>
      <c r="I14" s="23" t="n">
        <v>39029</v>
      </c>
      <c r="J14" s="23" t="n">
        <v>32250</v>
      </c>
      <c r="K14" s="23" t="n">
        <v>11372</v>
      </c>
      <c r="L14" s="23" t="n">
        <v>3777</v>
      </c>
      <c r="M14" s="23" t="n">
        <v>7595</v>
      </c>
      <c r="N14" s="24">
        <f>IF(B14=E14+H14+K14,"✓",B14-(E14+H14+K14))</f>
        <v/>
      </c>
      <c r="O14" s="24">
        <f>IF(B14=C14+D14,"✓","✗")</f>
        <v/>
      </c>
    </row>
    <row r="15">
      <c r="A15" s="19" t="inlineStr">
        <is>
          <t>40-50</t>
        </is>
      </c>
      <c r="B15" s="20" t="n">
        <v>61812</v>
      </c>
      <c r="C15" s="20" t="n">
        <v>34050</v>
      </c>
      <c r="D15" s="20" t="n">
        <v>27762</v>
      </c>
      <c r="E15" s="20" t="n">
        <v>2336</v>
      </c>
      <c r="F15" s="20" t="n">
        <v>871</v>
      </c>
      <c r="G15" s="20" t="n">
        <v>1465</v>
      </c>
      <c r="H15" s="20" t="n">
        <v>46494</v>
      </c>
      <c r="I15" s="20" t="n">
        <v>29050</v>
      </c>
      <c r="J15" s="20" t="n">
        <v>17444</v>
      </c>
      <c r="K15" s="20" t="n">
        <v>12982</v>
      </c>
      <c r="L15" s="20" t="n">
        <v>4129</v>
      </c>
      <c r="M15" s="20" t="n">
        <v>8853</v>
      </c>
      <c r="N15" s="21">
        <f>IF(B15=E15+H15+K15,"✓",B15-(E15+H15+K15))</f>
        <v/>
      </c>
      <c r="O15" s="21">
        <f>IF(B15=C15+D15,"✓","✗")</f>
        <v/>
      </c>
    </row>
    <row r="16">
      <c r="A16" s="22" t="inlineStr">
        <is>
          <t>50-60</t>
        </is>
      </c>
      <c r="B16" s="23" t="n">
        <v>38885</v>
      </c>
      <c r="C16" s="23" t="n">
        <v>22541</v>
      </c>
      <c r="D16" s="23" t="n">
        <v>16344</v>
      </c>
      <c r="E16" s="23" t="n">
        <v>891</v>
      </c>
      <c r="F16" s="23" t="n">
        <v>410</v>
      </c>
      <c r="G16" s="23" t="n">
        <v>481</v>
      </c>
      <c r="H16" s="23" t="n">
        <v>25307</v>
      </c>
      <c r="I16" s="23" t="n">
        <v>17984</v>
      </c>
      <c r="J16" s="23" t="n">
        <v>7323</v>
      </c>
      <c r="K16" s="23" t="n">
        <v>12687</v>
      </c>
      <c r="L16" s="23" t="n">
        <v>4147</v>
      </c>
      <c r="M16" s="23" t="n">
        <v>8540</v>
      </c>
      <c r="N16" s="24">
        <f>IF(B16=E16+H16+K16,"✓",B16-(E16+H16+K16))</f>
        <v/>
      </c>
      <c r="O16" s="24">
        <f>IF(B16=C16+D16,"✓","✗")</f>
        <v/>
      </c>
    </row>
    <row r="17">
      <c r="A17" s="19" t="inlineStr">
        <is>
          <t>60 and over</t>
        </is>
      </c>
      <c r="B17" s="20" t="n">
        <v>27297</v>
      </c>
      <c r="C17" s="20" t="n">
        <v>14678</v>
      </c>
      <c r="D17" s="20" t="n">
        <v>12619</v>
      </c>
      <c r="E17" s="20" t="n">
        <v>366</v>
      </c>
      <c r="F17" s="20" t="n">
        <v>236</v>
      </c>
      <c r="G17" s="20" t="n">
        <v>130</v>
      </c>
      <c r="H17" s="20" t="n">
        <v>14978</v>
      </c>
      <c r="I17" s="20" t="n">
        <v>10188</v>
      </c>
      <c r="J17" s="20" t="n">
        <v>4790</v>
      </c>
      <c r="K17" s="20" t="n">
        <v>11953</v>
      </c>
      <c r="L17" s="20" t="n">
        <v>4254</v>
      </c>
      <c r="M17" s="20" t="n">
        <v>7699</v>
      </c>
      <c r="N17" s="21">
        <f>IF(B17=E17+H17+K17,"✓",B17-(E17+H17+K17))</f>
        <v/>
      </c>
      <c r="O17" s="21">
        <f>IF(B17=C17+D17,"✓","✗")</f>
        <v/>
      </c>
    </row>
    <row r="18">
      <c r="A18" s="25" t="inlineStr">
        <is>
          <t>Verify: Sum</t>
        </is>
      </c>
      <c r="B18" s="26">
        <f>IF(SUM(B7:B17)=B6,"✓",SUM(B7:B17)-B6)</f>
        <v/>
      </c>
      <c r="C18" s="26">
        <f>IF(SUM(C7:C17)=C6,"✓",SUM(C7:C17)-C6)</f>
        <v/>
      </c>
      <c r="D18" s="26">
        <f>IF(SUM(D7:D17)=D6,"✓",SUM(D7:D17)-D6)</f>
        <v/>
      </c>
      <c r="E18" s="26">
        <f>IF(SUM(E7:E17)=E6,"✓",SUM(E7:E17)-E6)</f>
        <v/>
      </c>
      <c r="F18" s="26">
        <f>IF(SUM(F7:F17)=F6,"✓",SUM(F7:F17)-F6)</f>
        <v/>
      </c>
      <c r="G18" s="26">
        <f>IF(SUM(G7:G17)=G6,"✓",SUM(G7:G17)-G6)</f>
        <v/>
      </c>
      <c r="H18" s="26">
        <f>IF(SUM(H7:H17)=H6,"✓",SUM(H7:H17)-H6)</f>
        <v/>
      </c>
      <c r="I18" s="26">
        <f>IF(SUM(I7:I17)=I6,"✓",SUM(I7:I17)-I6)</f>
        <v/>
      </c>
      <c r="J18" s="26">
        <f>IF(SUM(J7:J17)=J6,"✓",SUM(J7:J17)-J6)</f>
        <v/>
      </c>
      <c r="K18" s="26">
        <f>IF(SUM(K7:K17)=K6,"✓",SUM(K7:K17)-K6)</f>
        <v/>
      </c>
      <c r="L18" s="26">
        <f>IF(SUM(L7:L17)=L6,"✓",SUM(L7:L17)-L6)</f>
        <v/>
      </c>
      <c r="M18" s="26">
        <f>IF(SUM(M7:M17)=M6,"✓",SUM(M7:M17)-M6)</f>
        <v/>
      </c>
    </row>
    <row r="20">
      <c r="A20" s="3" t="inlineStr">
        <is>
          <t>Hindu (Brahmanic)</t>
        </is>
      </c>
    </row>
    <row r="21">
      <c r="A21" s="4" t="inlineStr">
        <is>
          <t>Age</t>
        </is>
      </c>
      <c r="B21" s="5" t="inlineStr">
        <is>
          <t>POPULATION</t>
        </is>
      </c>
      <c r="C21" s="6" t="n"/>
      <c r="D21" s="6" t="n"/>
      <c r="E21" s="7" t="inlineStr">
        <is>
          <t>UNMARRIED</t>
        </is>
      </c>
      <c r="F21" s="8" t="n"/>
      <c r="G21" s="8" t="n"/>
      <c r="H21" s="9" t="inlineStr">
        <is>
          <t>MARRIED</t>
        </is>
      </c>
      <c r="I21" s="10" t="n"/>
      <c r="J21" s="10" t="n"/>
      <c r="K21" s="11" t="inlineStr">
        <is>
          <t>WIDOWED</t>
        </is>
      </c>
      <c r="L21" s="12" t="n"/>
      <c r="M21" s="12" t="n"/>
      <c r="N21" s="13" t="inlineStr">
        <is>
          <t>Check</t>
        </is>
      </c>
      <c r="O21" s="13" t="inlineStr">
        <is>
          <t>Check</t>
        </is>
      </c>
    </row>
    <row r="22">
      <c r="A22" s="14" t="inlineStr"/>
      <c r="B22" s="15" t="inlineStr">
        <is>
          <t>Persons</t>
        </is>
      </c>
      <c r="C22" s="15" t="inlineStr">
        <is>
          <t>Males</t>
        </is>
      </c>
      <c r="D22" s="15" t="inlineStr">
        <is>
          <t>Females</t>
        </is>
      </c>
      <c r="E22" s="15" t="inlineStr">
        <is>
          <t>Persons</t>
        </is>
      </c>
      <c r="F22" s="15" t="inlineStr">
        <is>
          <t>Males</t>
        </is>
      </c>
      <c r="G22" s="15" t="inlineStr">
        <is>
          <t>Females</t>
        </is>
      </c>
      <c r="H22" s="15" t="inlineStr">
        <is>
          <t>Persons</t>
        </is>
      </c>
      <c r="I22" s="15" t="inlineStr">
        <is>
          <t>Males</t>
        </is>
      </c>
      <c r="J22" s="15" t="inlineStr">
        <is>
          <t>Females</t>
        </is>
      </c>
      <c r="K22" s="15" t="inlineStr">
        <is>
          <t>Persons</t>
        </is>
      </c>
      <c r="L22" s="15" t="inlineStr">
        <is>
          <t>Males</t>
        </is>
      </c>
      <c r="M22" s="15" t="inlineStr">
        <is>
          <t>Females</t>
        </is>
      </c>
      <c r="N22" s="15" t="inlineStr">
        <is>
          <t>P=Sum</t>
        </is>
      </c>
      <c r="O22" s="15" t="inlineStr">
        <is>
          <t>M+F=P</t>
        </is>
      </c>
    </row>
    <row r="23">
      <c r="A23" s="16" t="inlineStr">
        <is>
          <t>Total</t>
        </is>
      </c>
      <c r="B23" s="17" t="n">
        <v>946890</v>
      </c>
      <c r="C23" s="17" t="n">
        <v>487688</v>
      </c>
      <c r="D23" s="17" t="n">
        <v>459202</v>
      </c>
      <c r="E23" s="17" t="n">
        <v>337564</v>
      </c>
      <c r="F23" s="17" t="n">
        <v>195300</v>
      </c>
      <c r="G23" s="17" t="n">
        <v>142264</v>
      </c>
      <c r="H23" s="17" t="n">
        <v>516396</v>
      </c>
      <c r="I23" s="17" t="n">
        <v>258868</v>
      </c>
      <c r="J23" s="17" t="n">
        <v>257528</v>
      </c>
      <c r="K23" s="17" t="n">
        <v>92930</v>
      </c>
      <c r="L23" s="17" t="n">
        <v>33520</v>
      </c>
      <c r="M23" s="17" t="n">
        <v>59410</v>
      </c>
      <c r="N23" s="18">
        <f>IF(B23=E23+H23+K23,"✓","✗")</f>
        <v/>
      </c>
      <c r="O23" s="18">
        <f>IF(B23=C23+D23,"✓","✗")</f>
        <v/>
      </c>
    </row>
    <row r="24">
      <c r="A24" s="19" t="inlineStr">
        <is>
          <t>Total</t>
        </is>
      </c>
      <c r="B24" s="20" t="n">
        <v>473445</v>
      </c>
      <c r="C24" s="20" t="n">
        <v>243844</v>
      </c>
      <c r="D24" s="20" t="n">
        <v>229601</v>
      </c>
      <c r="E24" s="20" t="n">
        <v>168782</v>
      </c>
      <c r="F24" s="20" t="n">
        <v>97650</v>
      </c>
      <c r="G24" s="20" t="n">
        <v>71132</v>
      </c>
      <c r="H24" s="20" t="n">
        <v>258198</v>
      </c>
      <c r="I24" s="20" t="n">
        <v>129434</v>
      </c>
      <c r="J24" s="20" t="n">
        <v>128764</v>
      </c>
      <c r="K24" s="20" t="n">
        <v>46465</v>
      </c>
      <c r="L24" s="20" t="n">
        <v>16760</v>
      </c>
      <c r="M24" s="20" t="n">
        <v>29705</v>
      </c>
      <c r="N24" s="21">
        <f>IF(B24=E24+H24+K24,"✓",B24-(E24+H24+K24))</f>
        <v/>
      </c>
      <c r="O24" s="21">
        <f>IF(B24=C24+D24,"✓","✗")</f>
        <v/>
      </c>
    </row>
    <row r="25">
      <c r="A25" s="22" t="inlineStr">
        <is>
          <t>0-1</t>
        </is>
      </c>
      <c r="B25" s="23" t="n">
        <v>13960</v>
      </c>
      <c r="C25" s="23" t="n">
        <v>6174</v>
      </c>
      <c r="D25" s="23" t="n">
        <v>7786</v>
      </c>
      <c r="E25" s="23" t="n">
        <v>13707</v>
      </c>
      <c r="F25" s="23" t="n">
        <v>6105</v>
      </c>
      <c r="G25" s="23" t="n">
        <v>7602</v>
      </c>
      <c r="H25" s="23" t="n">
        <v>251</v>
      </c>
      <c r="I25" s="23" t="n">
        <v>67</v>
      </c>
      <c r="J25" s="23" t="n">
        <v>184</v>
      </c>
      <c r="K25" s="23" t="n">
        <v>2</v>
      </c>
      <c r="L25" s="23" t="n">
        <v>2</v>
      </c>
      <c r="M25" s="23" t="n">
        <v>0</v>
      </c>
      <c r="N25" s="24">
        <f>IF(B25=E25+H25+K25,"✓",B25-(E25+H25+K25))</f>
        <v/>
      </c>
      <c r="O25" s="24">
        <f>IF(B25=C25+D25,"✓","✗")</f>
        <v/>
      </c>
    </row>
    <row r="26">
      <c r="A26" s="19" t="inlineStr">
        <is>
          <t>1-5</t>
        </is>
      </c>
      <c r="B26" s="20" t="n">
        <v>63382</v>
      </c>
      <c r="C26" s="20" t="n">
        <v>29215</v>
      </c>
      <c r="D26" s="20" t="n">
        <v>34167</v>
      </c>
      <c r="E26" s="20" t="n">
        <v>57062</v>
      </c>
      <c r="F26" s="20" t="n">
        <v>27706</v>
      </c>
      <c r="G26" s="20" t="n">
        <v>29356</v>
      </c>
      <c r="H26" s="20" t="n">
        <v>6003</v>
      </c>
      <c r="I26" s="20" t="n">
        <v>1252</v>
      </c>
      <c r="J26" s="20" t="n">
        <v>4751</v>
      </c>
      <c r="K26" s="20" t="n">
        <v>317</v>
      </c>
      <c r="L26" s="20" t="n">
        <v>257</v>
      </c>
      <c r="M26" s="20" t="n">
        <v>60</v>
      </c>
      <c r="N26" s="21">
        <f>IF(B26=E26+H26+K26,"✓",B26-(E26+H26+K26))</f>
        <v/>
      </c>
      <c r="O26" s="21">
        <f>IF(B26=C26+D26,"✓","✗")</f>
        <v/>
      </c>
    </row>
    <row r="27">
      <c r="A27" s="22" t="inlineStr">
        <is>
          <t>5-10</t>
        </is>
      </c>
      <c r="B27" s="23" t="n">
        <v>53522</v>
      </c>
      <c r="C27" s="23" t="n">
        <v>28491</v>
      </c>
      <c r="D27" s="23" t="n">
        <v>25031</v>
      </c>
      <c r="E27" s="23" t="n">
        <v>40160</v>
      </c>
      <c r="F27" s="23" t="n">
        <v>24905</v>
      </c>
      <c r="G27" s="23" t="n">
        <v>15255</v>
      </c>
      <c r="H27" s="23" t="n">
        <v>12895</v>
      </c>
      <c r="I27" s="23" t="n">
        <v>3300</v>
      </c>
      <c r="J27" s="23" t="n">
        <v>9595</v>
      </c>
      <c r="K27" s="23" t="n">
        <v>467</v>
      </c>
      <c r="L27" s="23" t="n">
        <v>286</v>
      </c>
      <c r="M27" s="23" t="n">
        <v>181</v>
      </c>
      <c r="N27" s="24">
        <f>IF(B27=E27+H27+K27,"✓",B27-(E27+H27+K27))</f>
        <v/>
      </c>
      <c r="O27" s="24">
        <f>IF(B27=C27+D27,"✓","✗")</f>
        <v/>
      </c>
    </row>
    <row r="28">
      <c r="A28" s="19" t="inlineStr">
        <is>
          <t>10-15</t>
        </is>
      </c>
      <c r="B28" s="20" t="n">
        <v>50548</v>
      </c>
      <c r="C28" s="20" t="n">
        <v>26711</v>
      </c>
      <c r="D28" s="20" t="n">
        <v>23837</v>
      </c>
      <c r="E28" s="20" t="n">
        <v>28140</v>
      </c>
      <c r="F28" s="20" t="n">
        <v>19218</v>
      </c>
      <c r="G28" s="20" t="n">
        <v>8922</v>
      </c>
      <c r="H28" s="20" t="n">
        <v>21544</v>
      </c>
      <c r="I28" s="20" t="n">
        <v>7238</v>
      </c>
      <c r="J28" s="20" t="n">
        <v>14306</v>
      </c>
      <c r="K28" s="20" t="n">
        <v>864</v>
      </c>
      <c r="L28" s="20" t="n">
        <v>255</v>
      </c>
      <c r="M28" s="20" t="n">
        <v>609</v>
      </c>
      <c r="N28" s="21">
        <f>IF(B28=E28+H28+K28,"✓",B28-(E28+H28+K28))</f>
        <v/>
      </c>
      <c r="O28" s="21">
        <f>IF(B28=C28+D28,"✓","✗")</f>
        <v/>
      </c>
    </row>
    <row r="29">
      <c r="A29" s="22" t="inlineStr">
        <is>
          <t>15-20</t>
        </is>
      </c>
      <c r="B29" s="23" t="n">
        <v>42075</v>
      </c>
      <c r="C29" s="23" t="n">
        <v>20170</v>
      </c>
      <c r="D29" s="23" t="n">
        <v>21905</v>
      </c>
      <c r="E29" s="23" t="n">
        <v>10279</v>
      </c>
      <c r="F29" s="23" t="n">
        <v>7708</v>
      </c>
      <c r="G29" s="23" t="n">
        <v>2571</v>
      </c>
      <c r="H29" s="23" t="n">
        <v>30394</v>
      </c>
      <c r="I29" s="23" t="n">
        <v>12067</v>
      </c>
      <c r="J29" s="23" t="n">
        <v>18327</v>
      </c>
      <c r="K29" s="23" t="n">
        <v>1402</v>
      </c>
      <c r="L29" s="23" t="n">
        <v>395</v>
      </c>
      <c r="M29" s="23" t="n">
        <v>1007</v>
      </c>
      <c r="N29" s="24">
        <f>IF(B29=E29+H29+K29,"✓",B29-(E29+H29+K29))</f>
        <v/>
      </c>
      <c r="O29" s="24">
        <f>IF(B29=C29+D29,"✓","✗")</f>
        <v/>
      </c>
    </row>
    <row r="30">
      <c r="A30" s="19" t="inlineStr">
        <is>
          <t>20-30</t>
        </is>
      </c>
      <c r="B30" s="20" t="n">
        <v>86521</v>
      </c>
      <c r="C30" s="20" t="n">
        <v>43323</v>
      </c>
      <c r="D30" s="20" t="n">
        <v>43198</v>
      </c>
      <c r="E30" s="20" t="n">
        <v>11250</v>
      </c>
      <c r="F30" s="20" t="n">
        <v>7630</v>
      </c>
      <c r="G30" s="20" t="n">
        <v>3620</v>
      </c>
      <c r="H30" s="20" t="n">
        <v>69548</v>
      </c>
      <c r="I30" s="20" t="n">
        <v>33592</v>
      </c>
      <c r="J30" s="20" t="n">
        <v>35956</v>
      </c>
      <c r="K30" s="20" t="n">
        <v>5723</v>
      </c>
      <c r="L30" s="20" t="n">
        <v>2101</v>
      </c>
      <c r="M30" s="20" t="n">
        <v>3622</v>
      </c>
      <c r="N30" s="21">
        <f>IF(B30=E30+H30+K30,"✓",B30-(E30+H30+K30))</f>
        <v/>
      </c>
      <c r="O30" s="21">
        <f>IF(B30=C30+D30,"✓","✗")</f>
        <v/>
      </c>
    </row>
    <row r="31">
      <c r="A31" s="22" t="inlineStr">
        <is>
          <t>30-40</t>
        </is>
      </c>
      <c r="B31" s="23" t="n">
        <v>67939</v>
      </c>
      <c r="C31" s="23" t="n">
        <v>35978</v>
      </c>
      <c r="D31" s="23" t="n">
        <v>31961</v>
      </c>
      <c r="E31" s="23" t="n">
        <v>5343</v>
      </c>
      <c r="F31" s="23" t="n">
        <v>3098</v>
      </c>
      <c r="G31" s="23" t="n">
        <v>2245</v>
      </c>
      <c r="H31" s="23" t="n">
        <v>53426</v>
      </c>
      <c r="I31" s="23" t="n">
        <v>29593</v>
      </c>
      <c r="J31" s="23" t="n">
        <v>23833</v>
      </c>
      <c r="K31" s="23" t="n">
        <v>9170</v>
      </c>
      <c r="L31" s="23" t="n">
        <v>3287</v>
      </c>
      <c r="M31" s="23" t="n">
        <v>5883</v>
      </c>
      <c r="N31" s="24">
        <f>IF(B31=E31+H31+K31,"✓",B31-(E31+H31+K31))</f>
        <v/>
      </c>
      <c r="O31" s="24">
        <f>IF(B31=C31+D31,"✓","✗")</f>
        <v/>
      </c>
    </row>
    <row r="32">
      <c r="A32" s="19" t="inlineStr">
        <is>
          <t>40-50</t>
        </is>
      </c>
      <c r="B32" s="20" t="n">
        <v>46775</v>
      </c>
      <c r="C32" s="20" t="n">
        <v>26196</v>
      </c>
      <c r="D32" s="20" t="n">
        <v>20579</v>
      </c>
      <c r="E32" s="20" t="n">
        <v>1833</v>
      </c>
      <c r="F32" s="20" t="n">
        <v>742</v>
      </c>
      <c r="G32" s="20" t="n">
        <v>1091</v>
      </c>
      <c r="H32" s="20" t="n">
        <v>34905</v>
      </c>
      <c r="I32" s="20" t="n">
        <v>21999</v>
      </c>
      <c r="J32" s="20" t="n">
        <v>12906</v>
      </c>
      <c r="K32" s="20" t="n">
        <v>10037</v>
      </c>
      <c r="L32" s="20" t="n">
        <v>3455</v>
      </c>
      <c r="M32" s="20" t="n">
        <v>6582</v>
      </c>
      <c r="N32" s="21">
        <f>IF(B32=E32+H32+K32,"✓",B32-(E32+H32+K32))</f>
        <v/>
      </c>
      <c r="O32" s="21">
        <f>IF(B32=C32+D32,"✓","✗")</f>
        <v/>
      </c>
    </row>
    <row r="33">
      <c r="A33" s="22" t="inlineStr">
        <is>
          <t>50-60</t>
        </is>
      </c>
      <c r="B33" s="23" t="n">
        <v>28172</v>
      </c>
      <c r="C33" s="23" t="n">
        <v>16439</v>
      </c>
      <c r="D33" s="23" t="n">
        <v>11733</v>
      </c>
      <c r="E33" s="23" t="n">
        <v>731</v>
      </c>
      <c r="F33" s="23" t="n">
        <v>340</v>
      </c>
      <c r="G33" s="23" t="n">
        <v>391</v>
      </c>
      <c r="H33" s="23" t="n">
        <v>17860</v>
      </c>
      <c r="I33" s="23" t="n">
        <v>12738</v>
      </c>
      <c r="J33" s="23" t="n">
        <v>5122</v>
      </c>
      <c r="K33" s="23" t="n">
        <v>9581</v>
      </c>
      <c r="L33" s="23" t="n">
        <v>3361</v>
      </c>
      <c r="M33" s="23" t="n">
        <v>6220</v>
      </c>
      <c r="N33" s="24">
        <f>IF(B33=E33+H33+K33,"✓",B33-(E33+H33+K33))</f>
        <v/>
      </c>
      <c r="O33" s="24">
        <f>IF(B33=C33+D33,"✓","✗")</f>
        <v/>
      </c>
    </row>
    <row r="34">
      <c r="A34" s="19" t="inlineStr">
        <is>
          <t>60 and over</t>
        </is>
      </c>
      <c r="B34" s="20" t="n">
        <v>20551</v>
      </c>
      <c r="C34" s="20" t="n">
        <v>11147</v>
      </c>
      <c r="D34" s="20" t="n">
        <v>9404</v>
      </c>
      <c r="E34" s="20" t="n">
        <v>277</v>
      </c>
      <c r="F34" s="20" t="n">
        <v>198</v>
      </c>
      <c r="G34" s="20" t="n">
        <v>79</v>
      </c>
      <c r="H34" s="20" t="n">
        <v>11372</v>
      </c>
      <c r="I34" s="20" t="n">
        <v>7588</v>
      </c>
      <c r="J34" s="20" t="n">
        <v>3784</v>
      </c>
      <c r="K34" s="20" t="n">
        <v>8902</v>
      </c>
      <c r="L34" s="20" t="n">
        <v>3361</v>
      </c>
      <c r="M34" s="20" t="n">
        <v>5541</v>
      </c>
      <c r="N34" s="21">
        <f>IF(B34=E34+H34+K34,"✓",B34-(E34+H34+K34))</f>
        <v/>
      </c>
      <c r="O34" s="21">
        <f>IF(B34=C34+D34,"✓","✗")</f>
        <v/>
      </c>
    </row>
    <row r="35">
      <c r="A35" s="25" t="inlineStr">
        <is>
          <t>Verify: Sum</t>
        </is>
      </c>
      <c r="B35" s="26">
        <f>IF(SUM(B24:B34)=B23,"✓",SUM(B24:B34)-B23)</f>
        <v/>
      </c>
      <c r="C35" s="26">
        <f>IF(SUM(C24:C34)=C23,"✓",SUM(C24:C34)-C23)</f>
        <v/>
      </c>
      <c r="D35" s="26">
        <f>IF(SUM(D24:D34)=D23,"✓",SUM(D24:D34)-D23)</f>
        <v/>
      </c>
      <c r="E35" s="26">
        <f>IF(SUM(E24:E34)=E23,"✓",SUM(E24:E34)-E23)</f>
        <v/>
      </c>
      <c r="F35" s="26">
        <f>IF(SUM(F24:F34)=F23,"✓",SUM(F24:F34)-F23)</f>
        <v/>
      </c>
      <c r="G35" s="26">
        <f>IF(SUM(G24:G34)=G23,"✓",SUM(G24:G34)-G23)</f>
        <v/>
      </c>
      <c r="H35" s="26">
        <f>IF(SUM(H24:H34)=H23,"✓",SUM(H24:H34)-H23)</f>
        <v/>
      </c>
      <c r="I35" s="26">
        <f>IF(SUM(I24:I34)=I23,"✓",SUM(I24:I34)-I23)</f>
        <v/>
      </c>
      <c r="J35" s="26">
        <f>IF(SUM(J24:J34)=J23,"✓",SUM(J24:J34)-J23)</f>
        <v/>
      </c>
      <c r="K35" s="26">
        <f>IF(SUM(K24:K34)=K23,"✓",SUM(K24:K34)-K23)</f>
        <v/>
      </c>
      <c r="L35" s="26">
        <f>IF(SUM(L24:L34)=L23,"✓",SUM(L24:L34)-L23)</f>
        <v/>
      </c>
      <c r="M35" s="26">
        <f>IF(SUM(M24:M34)=M23,"✓",SUM(M24:M34)-M23)</f>
        <v/>
      </c>
    </row>
  </sheetData>
  <mergeCells count="8">
    <mergeCell ref="K4:M4"/>
    <mergeCell ref="B4:D4"/>
    <mergeCell ref="H4:J4"/>
    <mergeCell ref="K21:M21"/>
    <mergeCell ref="E4:G4"/>
    <mergeCell ref="B21:D21"/>
    <mergeCell ref="E21:G21"/>
    <mergeCell ref="H21:J21"/>
  </mergeCells>
  <conditionalFormatting sqref="N6:N18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O6:O18">
    <cfRule type="cellIs" priority="3" operator="equal" dxfId="0">
      <formula>"✓"</formula>
    </cfRule>
    <cfRule type="cellIs" priority="4" operator="notEqual" dxfId="1">
      <formula>"✓"</formula>
    </cfRule>
  </conditionalFormatting>
  <conditionalFormatting sqref="N23:N35">
    <cfRule type="cellIs" priority="5" operator="equal" dxfId="0">
      <formula>"✓"</formula>
    </cfRule>
    <cfRule type="cellIs" priority="6" operator="notEqual" dxfId="1">
      <formula>"✓"</formula>
    </cfRule>
  </conditionalFormatting>
  <conditionalFormatting sqref="O23:O35">
    <cfRule type="cellIs" priority="7" operator="equal" dxfId="0">
      <formula>"✓"</formula>
    </cfRule>
    <cfRule type="cellIs" priority="8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  <col width="7" customWidth="1" min="15" max="15"/>
  </cols>
  <sheetData>
    <row r="1">
      <c r="A1" s="27" t="inlineStr">
        <is>
          <t>Bir</t>
        </is>
      </c>
    </row>
    <row r="2">
      <c r="A2" s="3" t="inlineStr">
        <is>
          <t>All Religions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Check</t>
        </is>
      </c>
      <c r="O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P=Sum</t>
        </is>
      </c>
      <c r="O4" s="15" t="inlineStr">
        <is>
          <t>M+F=P</t>
        </is>
      </c>
    </row>
    <row r="5">
      <c r="A5" s="16" t="inlineStr">
        <is>
          <t>Total</t>
        </is>
      </c>
      <c r="B5" s="17" t="n">
        <v>1267380</v>
      </c>
      <c r="C5" s="17" t="n">
        <v>650792</v>
      </c>
      <c r="D5" s="17" t="n">
        <v>616588</v>
      </c>
      <c r="E5" s="17" t="n">
        <v>461112</v>
      </c>
      <c r="F5" s="17" t="n">
        <v>265924</v>
      </c>
      <c r="G5" s="17" t="n">
        <v>195188</v>
      </c>
      <c r="H5" s="17" t="n">
        <v>686990</v>
      </c>
      <c r="I5" s="17" t="n">
        <v>344882</v>
      </c>
      <c r="J5" s="17" t="n">
        <v>342108</v>
      </c>
      <c r="K5" s="17" t="n">
        <v>119278</v>
      </c>
      <c r="L5" s="17" t="n">
        <v>39986</v>
      </c>
      <c r="M5" s="17" t="n">
        <v>79292</v>
      </c>
      <c r="N5" s="18">
        <f>IF(B5=E5+H5+K5,"✓","✗")</f>
        <v/>
      </c>
      <c r="O5" s="18">
        <f>IF(B5=C5+D5,"✓","✗")</f>
        <v/>
      </c>
    </row>
    <row r="6">
      <c r="A6" s="19" t="inlineStr">
        <is>
          <t>Total</t>
        </is>
      </c>
      <c r="B6" s="20" t="n">
        <v>633690</v>
      </c>
      <c r="C6" s="20" t="n">
        <v>325396</v>
      </c>
      <c r="D6" s="20" t="n">
        <v>308294</v>
      </c>
      <c r="E6" s="20" t="n">
        <v>230556</v>
      </c>
      <c r="F6" s="20" t="n">
        <v>132962</v>
      </c>
      <c r="G6" s="20" t="n">
        <v>97594</v>
      </c>
      <c r="H6" s="20" t="n">
        <v>343495</v>
      </c>
      <c r="I6" s="20" t="n">
        <v>172441</v>
      </c>
      <c r="J6" s="20" t="n">
        <v>171054</v>
      </c>
      <c r="K6" s="20" t="n">
        <v>59639</v>
      </c>
      <c r="L6" s="20" t="n">
        <v>19993</v>
      </c>
      <c r="M6" s="20" t="n">
        <v>39646</v>
      </c>
      <c r="N6" s="21">
        <f>IF(B6=E6+H6+K6,"✓",B6-(E6+H6+K6))</f>
        <v/>
      </c>
      <c r="O6" s="21">
        <f>IF(B6=C6+D6,"✓","✗")</f>
        <v/>
      </c>
    </row>
    <row r="7">
      <c r="A7" s="22" t="inlineStr">
        <is>
          <t>0-1</t>
        </is>
      </c>
      <c r="B7" s="23" t="n">
        <v>19016</v>
      </c>
      <c r="C7" s="23" t="n">
        <v>8723</v>
      </c>
      <c r="D7" s="23" t="n">
        <v>10293</v>
      </c>
      <c r="E7" s="23" t="n">
        <v>18600</v>
      </c>
      <c r="F7" s="23" t="n">
        <v>8637</v>
      </c>
      <c r="G7" s="23" t="n">
        <v>9963</v>
      </c>
      <c r="H7" s="23" t="n">
        <v>408</v>
      </c>
      <c r="I7" s="23" t="n">
        <v>82</v>
      </c>
      <c r="J7" s="23" t="n">
        <v>326</v>
      </c>
      <c r="K7" s="23" t="n">
        <v>8</v>
      </c>
      <c r="L7" s="23" t="n">
        <v>4</v>
      </c>
      <c r="M7" s="23" t="n">
        <v>4</v>
      </c>
      <c r="N7" s="24">
        <f>IF(B7=E7+H7+K7,"✓",B7-(E7+H7+K7))</f>
        <v/>
      </c>
      <c r="O7" s="24">
        <f>IF(B7=C7+D7,"✓","✗")</f>
        <v/>
      </c>
    </row>
    <row r="8">
      <c r="A8" s="19" t="inlineStr">
        <is>
          <t>1-5</t>
        </is>
      </c>
      <c r="B8" s="20" t="n">
        <v>87687</v>
      </c>
      <c r="C8" s="20" t="n">
        <v>41090</v>
      </c>
      <c r="D8" s="20" t="n">
        <v>46597</v>
      </c>
      <c r="E8" s="20" t="n">
        <v>80040</v>
      </c>
      <c r="F8" s="20" t="n">
        <v>39226</v>
      </c>
      <c r="G8" s="20" t="n">
        <v>40814</v>
      </c>
      <c r="H8" s="20" t="n">
        <v>7226</v>
      </c>
      <c r="I8" s="20" t="n">
        <v>1600</v>
      </c>
      <c r="J8" s="20" t="n">
        <v>5626</v>
      </c>
      <c r="K8" s="20" t="n">
        <v>421</v>
      </c>
      <c r="L8" s="20" t="n">
        <v>264</v>
      </c>
      <c r="M8" s="20" t="n">
        <v>157</v>
      </c>
      <c r="N8" s="21">
        <f>IF(B8=E8+H8+K8,"✓",B8-(E8+H8+K8))</f>
        <v/>
      </c>
      <c r="O8" s="21">
        <f>IF(B8=C8+D8,"✓","✗")</f>
        <v/>
      </c>
    </row>
    <row r="9">
      <c r="A9" s="22" t="inlineStr">
        <is>
          <t>5-10</t>
        </is>
      </c>
      <c r="B9" s="23" t="n">
        <v>72752</v>
      </c>
      <c r="C9" s="23" t="n">
        <v>38584</v>
      </c>
      <c r="D9" s="23" t="n">
        <v>34168</v>
      </c>
      <c r="E9" s="23" t="n">
        <v>54890</v>
      </c>
      <c r="F9" s="23" t="n">
        <v>33508</v>
      </c>
      <c r="G9" s="23" t="n">
        <v>21382</v>
      </c>
      <c r="H9" s="23" t="n">
        <v>17257</v>
      </c>
      <c r="I9" s="23" t="n">
        <v>4770</v>
      </c>
      <c r="J9" s="23" t="n">
        <v>12487</v>
      </c>
      <c r="K9" s="23" t="n">
        <v>605</v>
      </c>
      <c r="L9" s="23" t="n">
        <v>306</v>
      </c>
      <c r="M9" s="23" t="n">
        <v>299</v>
      </c>
      <c r="N9" s="24">
        <f>IF(B9=E9+H9+K9,"✓",B9-(E9+H9+K9))</f>
        <v/>
      </c>
      <c r="O9" s="24">
        <f>IF(B9=C9+D9,"✓","✗")</f>
        <v/>
      </c>
    </row>
    <row r="10">
      <c r="A10" s="19" t="inlineStr">
        <is>
          <t>10-15</t>
        </is>
      </c>
      <c r="B10" s="20" t="n">
        <v>69249</v>
      </c>
      <c r="C10" s="20" t="n">
        <v>37106</v>
      </c>
      <c r="D10" s="20" t="n">
        <v>32143</v>
      </c>
      <c r="E10" s="20" t="n">
        <v>39523</v>
      </c>
      <c r="F10" s="20" t="n">
        <v>27043</v>
      </c>
      <c r="G10" s="20" t="n">
        <v>12480</v>
      </c>
      <c r="H10" s="20" t="n">
        <v>28695</v>
      </c>
      <c r="I10" s="20" t="n">
        <v>9782</v>
      </c>
      <c r="J10" s="20" t="n">
        <v>18913</v>
      </c>
      <c r="K10" s="20" t="n">
        <v>1031</v>
      </c>
      <c r="L10" s="20" t="n">
        <v>281</v>
      </c>
      <c r="M10" s="20" t="n">
        <v>750</v>
      </c>
      <c r="N10" s="21">
        <f>IF(B10=E10+H10+K10,"✓",B10-(E10+H10+K10))</f>
        <v/>
      </c>
      <c r="O10" s="21">
        <f>IF(B10=C10+D10,"✓","✗")</f>
        <v/>
      </c>
    </row>
    <row r="11">
      <c r="A11" s="22" t="inlineStr">
        <is>
          <t>15-20</t>
        </is>
      </c>
      <c r="B11" s="23" t="n">
        <v>55340</v>
      </c>
      <c r="C11" s="23" t="n">
        <v>26342</v>
      </c>
      <c r="D11" s="23" t="n">
        <v>28998</v>
      </c>
      <c r="E11" s="23" t="n">
        <v>13845</v>
      </c>
      <c r="F11" s="23" t="n">
        <v>10152</v>
      </c>
      <c r="G11" s="23" t="n">
        <v>3693</v>
      </c>
      <c r="H11" s="23" t="n">
        <v>39830</v>
      </c>
      <c r="I11" s="23" t="n">
        <v>15742</v>
      </c>
      <c r="J11" s="23" t="n">
        <v>24088</v>
      </c>
      <c r="K11" s="23" t="n">
        <v>1665</v>
      </c>
      <c r="L11" s="23" t="n">
        <v>448</v>
      </c>
      <c r="M11" s="23" t="n">
        <v>1217</v>
      </c>
      <c r="N11" s="24">
        <f>IF(B11=E11+H11+K11,"✓",B11-(E11+H11+K11))</f>
        <v/>
      </c>
      <c r="O11" s="24">
        <f>IF(B11=C11+D11,"✓","✗")</f>
        <v/>
      </c>
    </row>
    <row r="12">
      <c r="A12" s="19" t="inlineStr">
        <is>
          <t>20-30</t>
        </is>
      </c>
      <c r="B12" s="20" t="n">
        <v>112818</v>
      </c>
      <c r="C12" s="20" t="n">
        <v>56037</v>
      </c>
      <c r="D12" s="20" t="n">
        <v>56781</v>
      </c>
      <c r="E12" s="20" t="n">
        <v>13882</v>
      </c>
      <c r="F12" s="20" t="n">
        <v>9440</v>
      </c>
      <c r="G12" s="20" t="n">
        <v>4442</v>
      </c>
      <c r="H12" s="20" t="n">
        <v>92021</v>
      </c>
      <c r="I12" s="20" t="n">
        <v>44214</v>
      </c>
      <c r="J12" s="20" t="n">
        <v>47807</v>
      </c>
      <c r="K12" s="20" t="n">
        <v>6915</v>
      </c>
      <c r="L12" s="20" t="n">
        <v>2383</v>
      </c>
      <c r="M12" s="20" t="n">
        <v>4532</v>
      </c>
      <c r="N12" s="21">
        <f>IF(B12=E12+H12+K12,"✓",B12-(E12+H12+K12))</f>
        <v/>
      </c>
      <c r="O12" s="21">
        <f>IF(B12=C12+D12,"✓","✗")</f>
        <v/>
      </c>
    </row>
    <row r="13">
      <c r="A13" s="22" t="inlineStr">
        <is>
          <t>30-40</t>
        </is>
      </c>
      <c r="B13" s="23" t="n">
        <v>88834</v>
      </c>
      <c r="C13" s="23" t="n">
        <v>46245</v>
      </c>
      <c r="D13" s="23" t="n">
        <v>42589</v>
      </c>
      <c r="E13" s="23" t="n">
        <v>6183</v>
      </c>
      <c r="F13" s="23" t="n">
        <v>3439</v>
      </c>
      <c r="G13" s="23" t="n">
        <v>2744</v>
      </c>
      <c r="H13" s="23" t="n">
        <v>71279</v>
      </c>
      <c r="I13" s="23" t="n">
        <v>39029</v>
      </c>
      <c r="J13" s="23" t="n">
        <v>32250</v>
      </c>
      <c r="K13" s="23" t="n">
        <v>11372</v>
      </c>
      <c r="L13" s="23" t="n">
        <v>3777</v>
      </c>
      <c r="M13" s="23" t="n">
        <v>7595</v>
      </c>
      <c r="N13" s="24">
        <f>IF(B13=E13+H13+K13,"✓",B13-(E13+H13+K13))</f>
        <v/>
      </c>
      <c r="O13" s="24">
        <f>IF(B13=C13+D13,"✓","✗")</f>
        <v/>
      </c>
    </row>
    <row r="14">
      <c r="A14" s="19" t="inlineStr">
        <is>
          <t>40-50</t>
        </is>
      </c>
      <c r="B14" s="20" t="n">
        <v>61812</v>
      </c>
      <c r="C14" s="20" t="n">
        <v>34050</v>
      </c>
      <c r="D14" s="20" t="n">
        <v>27762</v>
      </c>
      <c r="E14" s="20" t="n">
        <v>2336</v>
      </c>
      <c r="F14" s="20" t="n">
        <v>871</v>
      </c>
      <c r="G14" s="20" t="n">
        <v>1465</v>
      </c>
      <c r="H14" s="20" t="n">
        <v>46494</v>
      </c>
      <c r="I14" s="20" t="n">
        <v>29050</v>
      </c>
      <c r="J14" s="20" t="n">
        <v>17444</v>
      </c>
      <c r="K14" s="20" t="n">
        <v>12982</v>
      </c>
      <c r="L14" s="20" t="n">
        <v>4129</v>
      </c>
      <c r="M14" s="20" t="n">
        <v>8853</v>
      </c>
      <c r="N14" s="21">
        <f>IF(B14=E14+H14+K14,"✓",B14-(E14+H14+K14))</f>
        <v/>
      </c>
      <c r="O14" s="21">
        <f>IF(B14=C14+D14,"✓","✗")</f>
        <v/>
      </c>
    </row>
    <row r="15">
      <c r="A15" s="22" t="inlineStr">
        <is>
          <t>50-60</t>
        </is>
      </c>
      <c r="B15" s="23" t="n">
        <v>38885</v>
      </c>
      <c r="C15" s="23" t="n">
        <v>22541</v>
      </c>
      <c r="D15" s="23" t="n">
        <v>16344</v>
      </c>
      <c r="E15" s="23" t="n">
        <v>891</v>
      </c>
      <c r="F15" s="23" t="n">
        <v>410</v>
      </c>
      <c r="G15" s="23" t="n">
        <v>481</v>
      </c>
      <c r="H15" s="23" t="n">
        <v>25307</v>
      </c>
      <c r="I15" s="23" t="n">
        <v>17984</v>
      </c>
      <c r="J15" s="23" t="n">
        <v>7323</v>
      </c>
      <c r="K15" s="23" t="n">
        <v>12687</v>
      </c>
      <c r="L15" s="23" t="n">
        <v>4147</v>
      </c>
      <c r="M15" s="23" t="n">
        <v>8540</v>
      </c>
      <c r="N15" s="24">
        <f>IF(B15=E15+H15+K15,"✓",B15-(E15+H15+K15))</f>
        <v/>
      </c>
      <c r="O15" s="24">
        <f>IF(B15=C15+D15,"✓","✗")</f>
        <v/>
      </c>
    </row>
    <row r="16">
      <c r="A16" s="19" t="inlineStr">
        <is>
          <t>60 and over</t>
        </is>
      </c>
      <c r="B16" s="20" t="n">
        <v>27297</v>
      </c>
      <c r="C16" s="20" t="n">
        <v>14678</v>
      </c>
      <c r="D16" s="20" t="n">
        <v>12619</v>
      </c>
      <c r="E16" s="20" t="n">
        <v>366</v>
      </c>
      <c r="F16" s="20" t="n">
        <v>236</v>
      </c>
      <c r="G16" s="20" t="n">
        <v>130</v>
      </c>
      <c r="H16" s="20" t="n">
        <v>14978</v>
      </c>
      <c r="I16" s="20" t="n">
        <v>10188</v>
      </c>
      <c r="J16" s="20" t="n">
        <v>4790</v>
      </c>
      <c r="K16" s="20" t="n">
        <v>11953</v>
      </c>
      <c r="L16" s="20" t="n">
        <v>4254</v>
      </c>
      <c r="M16" s="20" t="n">
        <v>7699</v>
      </c>
      <c r="N16" s="21">
        <f>IF(B16=E16+H16+K16,"✓",B16-(E16+H16+K16))</f>
        <v/>
      </c>
      <c r="O16" s="21">
        <f>IF(B16=C16+D16,"✓","✗")</f>
        <v/>
      </c>
    </row>
    <row r="17">
      <c r="A17" s="25" t="inlineStr">
        <is>
          <t>Verify: Sum</t>
        </is>
      </c>
      <c r="B17" s="26">
        <f>IF(SUM(B6:B16)=B5,"✓",SUM(B6:B16)-B5)</f>
        <v/>
      </c>
      <c r="C17" s="26">
        <f>IF(SUM(C6:C16)=C5,"✓",SUM(C6:C16)-C5)</f>
        <v/>
      </c>
      <c r="D17" s="26">
        <f>IF(SUM(D6:D16)=D5,"✓",SUM(D6:D16)-D5)</f>
        <v/>
      </c>
      <c r="E17" s="26">
        <f>IF(SUM(E6:E16)=E5,"✓",SUM(E6:E16)-E5)</f>
        <v/>
      </c>
      <c r="F17" s="26">
        <f>IF(SUM(F6:F16)=F5,"✓",SUM(F6:F16)-F5)</f>
        <v/>
      </c>
      <c r="G17" s="26">
        <f>IF(SUM(G6:G16)=G5,"✓",SUM(G6:G16)-G5)</f>
        <v/>
      </c>
      <c r="H17" s="26">
        <f>IF(SUM(H6:H16)=H5,"✓",SUM(H6:H16)-H5)</f>
        <v/>
      </c>
      <c r="I17" s="26">
        <f>IF(SUM(I6:I16)=I5,"✓",SUM(I6:I16)-I5)</f>
        <v/>
      </c>
      <c r="J17" s="26">
        <f>IF(SUM(J6:J16)=J5,"✓",SUM(J6:J16)-J5)</f>
        <v/>
      </c>
      <c r="K17" s="26">
        <f>IF(SUM(K6:K16)=K5,"✓",SUM(K6:K16)-K5)</f>
        <v/>
      </c>
      <c r="L17" s="26">
        <f>IF(SUM(L6:L16)=L5,"✓",SUM(L6:L16)-L5)</f>
        <v/>
      </c>
      <c r="M17" s="26">
        <f>IF(SUM(M6:M16)=M5,"✓",SUM(M6:M16)-M5)</f>
        <v/>
      </c>
    </row>
  </sheetData>
  <mergeCells count="4">
    <mergeCell ref="H3:J3"/>
    <mergeCell ref="B3:D3"/>
    <mergeCell ref="E3:G3"/>
    <mergeCell ref="K3:M3"/>
  </mergeCells>
  <conditionalFormatting sqref="N5:N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O5:O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  <col width="7" customWidth="1" min="15" max="15"/>
  </cols>
  <sheetData>
    <row r="1">
      <c r="A1" s="27" t="inlineStr">
        <is>
          <t>Bir</t>
        </is>
      </c>
    </row>
    <row r="2">
      <c r="A2" s="3" t="inlineStr">
        <is>
          <t>Hindu (Brahmanic)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Check</t>
        </is>
      </c>
      <c r="O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P=Sum</t>
        </is>
      </c>
      <c r="O4" s="15" t="inlineStr">
        <is>
          <t>M+F=P</t>
        </is>
      </c>
    </row>
    <row r="5">
      <c r="A5" s="16" t="inlineStr">
        <is>
          <t>Total</t>
        </is>
      </c>
      <c r="B5" s="17" t="n">
        <v>946890</v>
      </c>
      <c r="C5" s="17" t="n">
        <v>487688</v>
      </c>
      <c r="D5" s="17" t="n">
        <v>459202</v>
      </c>
      <c r="E5" s="17" t="n">
        <v>337564</v>
      </c>
      <c r="F5" s="17" t="n">
        <v>195300</v>
      </c>
      <c r="G5" s="17" t="n">
        <v>142264</v>
      </c>
      <c r="H5" s="17" t="n">
        <v>516396</v>
      </c>
      <c r="I5" s="17" t="n">
        <v>258868</v>
      </c>
      <c r="J5" s="17" t="n">
        <v>257528</v>
      </c>
      <c r="K5" s="17" t="n">
        <v>92930</v>
      </c>
      <c r="L5" s="17" t="n">
        <v>33520</v>
      </c>
      <c r="M5" s="17" t="n">
        <v>59410</v>
      </c>
      <c r="N5" s="18">
        <f>IF(B5=E5+H5+K5,"✓","✗")</f>
        <v/>
      </c>
      <c r="O5" s="18">
        <f>IF(B5=C5+D5,"✓","✗")</f>
        <v/>
      </c>
    </row>
    <row r="6">
      <c r="A6" s="19" t="inlineStr">
        <is>
          <t>Total</t>
        </is>
      </c>
      <c r="B6" s="20" t="n">
        <v>473445</v>
      </c>
      <c r="C6" s="20" t="n">
        <v>243844</v>
      </c>
      <c r="D6" s="20" t="n">
        <v>229601</v>
      </c>
      <c r="E6" s="20" t="n">
        <v>168782</v>
      </c>
      <c r="F6" s="20" t="n">
        <v>97650</v>
      </c>
      <c r="G6" s="20" t="n">
        <v>71132</v>
      </c>
      <c r="H6" s="20" t="n">
        <v>258198</v>
      </c>
      <c r="I6" s="20" t="n">
        <v>129434</v>
      </c>
      <c r="J6" s="20" t="n">
        <v>128764</v>
      </c>
      <c r="K6" s="20" t="n">
        <v>46465</v>
      </c>
      <c r="L6" s="20" t="n">
        <v>16760</v>
      </c>
      <c r="M6" s="20" t="n">
        <v>29705</v>
      </c>
      <c r="N6" s="21">
        <f>IF(B6=E6+H6+K6,"✓",B6-(E6+H6+K6))</f>
        <v/>
      </c>
      <c r="O6" s="21">
        <f>IF(B6=C6+D6,"✓","✗")</f>
        <v/>
      </c>
    </row>
    <row r="7">
      <c r="A7" s="22" t="inlineStr">
        <is>
          <t>0-1</t>
        </is>
      </c>
      <c r="B7" s="23" t="n">
        <v>13960</v>
      </c>
      <c r="C7" s="23" t="n">
        <v>6174</v>
      </c>
      <c r="D7" s="23" t="n">
        <v>7786</v>
      </c>
      <c r="E7" s="23" t="n">
        <v>13707</v>
      </c>
      <c r="F7" s="23" t="n">
        <v>6105</v>
      </c>
      <c r="G7" s="23" t="n">
        <v>7602</v>
      </c>
      <c r="H7" s="23" t="n">
        <v>251</v>
      </c>
      <c r="I7" s="23" t="n">
        <v>67</v>
      </c>
      <c r="J7" s="23" t="n">
        <v>184</v>
      </c>
      <c r="K7" s="23" t="n">
        <v>2</v>
      </c>
      <c r="L7" s="23" t="n">
        <v>2</v>
      </c>
      <c r="M7" s="23" t="n">
        <v>0</v>
      </c>
      <c r="N7" s="24">
        <f>IF(B7=E7+H7+K7,"✓",B7-(E7+H7+K7))</f>
        <v/>
      </c>
      <c r="O7" s="24">
        <f>IF(B7=C7+D7,"✓","✗")</f>
        <v/>
      </c>
    </row>
    <row r="8">
      <c r="A8" s="19" t="inlineStr">
        <is>
          <t>1-5</t>
        </is>
      </c>
      <c r="B8" s="20" t="n">
        <v>63382</v>
      </c>
      <c r="C8" s="20" t="n">
        <v>29215</v>
      </c>
      <c r="D8" s="20" t="n">
        <v>34167</v>
      </c>
      <c r="E8" s="20" t="n">
        <v>57062</v>
      </c>
      <c r="F8" s="20" t="n">
        <v>27706</v>
      </c>
      <c r="G8" s="20" t="n">
        <v>29356</v>
      </c>
      <c r="H8" s="20" t="n">
        <v>6003</v>
      </c>
      <c r="I8" s="20" t="n">
        <v>1252</v>
      </c>
      <c r="J8" s="20" t="n">
        <v>4751</v>
      </c>
      <c r="K8" s="20" t="n">
        <v>317</v>
      </c>
      <c r="L8" s="20" t="n">
        <v>257</v>
      </c>
      <c r="M8" s="20" t="n">
        <v>60</v>
      </c>
      <c r="N8" s="21">
        <f>IF(B8=E8+H8+K8,"✓",B8-(E8+H8+K8))</f>
        <v/>
      </c>
      <c r="O8" s="21">
        <f>IF(B8=C8+D8,"✓","✗")</f>
        <v/>
      </c>
    </row>
    <row r="9">
      <c r="A9" s="22" t="inlineStr">
        <is>
          <t>5-10</t>
        </is>
      </c>
      <c r="B9" s="23" t="n">
        <v>53522</v>
      </c>
      <c r="C9" s="23" t="n">
        <v>28491</v>
      </c>
      <c r="D9" s="23" t="n">
        <v>25031</v>
      </c>
      <c r="E9" s="23" t="n">
        <v>40160</v>
      </c>
      <c r="F9" s="23" t="n">
        <v>24905</v>
      </c>
      <c r="G9" s="23" t="n">
        <v>15255</v>
      </c>
      <c r="H9" s="23" t="n">
        <v>12895</v>
      </c>
      <c r="I9" s="23" t="n">
        <v>3300</v>
      </c>
      <c r="J9" s="23" t="n">
        <v>9595</v>
      </c>
      <c r="K9" s="23" t="n">
        <v>467</v>
      </c>
      <c r="L9" s="23" t="n">
        <v>286</v>
      </c>
      <c r="M9" s="23" t="n">
        <v>181</v>
      </c>
      <c r="N9" s="24">
        <f>IF(B9=E9+H9+K9,"✓",B9-(E9+H9+K9))</f>
        <v/>
      </c>
      <c r="O9" s="24">
        <f>IF(B9=C9+D9,"✓","✗")</f>
        <v/>
      </c>
    </row>
    <row r="10">
      <c r="A10" s="19" t="inlineStr">
        <is>
          <t>10-15</t>
        </is>
      </c>
      <c r="B10" s="20" t="n">
        <v>50548</v>
      </c>
      <c r="C10" s="20" t="n">
        <v>26711</v>
      </c>
      <c r="D10" s="20" t="n">
        <v>23837</v>
      </c>
      <c r="E10" s="20" t="n">
        <v>28140</v>
      </c>
      <c r="F10" s="20" t="n">
        <v>19218</v>
      </c>
      <c r="G10" s="20" t="n">
        <v>8922</v>
      </c>
      <c r="H10" s="20" t="n">
        <v>21544</v>
      </c>
      <c r="I10" s="20" t="n">
        <v>7238</v>
      </c>
      <c r="J10" s="20" t="n">
        <v>14306</v>
      </c>
      <c r="K10" s="20" t="n">
        <v>864</v>
      </c>
      <c r="L10" s="20" t="n">
        <v>255</v>
      </c>
      <c r="M10" s="20" t="n">
        <v>609</v>
      </c>
      <c r="N10" s="21">
        <f>IF(B10=E10+H10+K10,"✓",B10-(E10+H10+K10))</f>
        <v/>
      </c>
      <c r="O10" s="21">
        <f>IF(B10=C10+D10,"✓","✗")</f>
        <v/>
      </c>
    </row>
    <row r="11">
      <c r="A11" s="22" t="inlineStr">
        <is>
          <t>15-20</t>
        </is>
      </c>
      <c r="B11" s="23" t="n">
        <v>42075</v>
      </c>
      <c r="C11" s="23" t="n">
        <v>20170</v>
      </c>
      <c r="D11" s="23" t="n">
        <v>21905</v>
      </c>
      <c r="E11" s="23" t="n">
        <v>10279</v>
      </c>
      <c r="F11" s="23" t="n">
        <v>7708</v>
      </c>
      <c r="G11" s="23" t="n">
        <v>2571</v>
      </c>
      <c r="H11" s="23" t="n">
        <v>30394</v>
      </c>
      <c r="I11" s="23" t="n">
        <v>12067</v>
      </c>
      <c r="J11" s="23" t="n">
        <v>18327</v>
      </c>
      <c r="K11" s="23" t="n">
        <v>1402</v>
      </c>
      <c r="L11" s="23" t="n">
        <v>395</v>
      </c>
      <c r="M11" s="23" t="n">
        <v>1007</v>
      </c>
      <c r="N11" s="24">
        <f>IF(B11=E11+H11+K11,"✓",B11-(E11+H11+K11))</f>
        <v/>
      </c>
      <c r="O11" s="24">
        <f>IF(B11=C11+D11,"✓","✗")</f>
        <v/>
      </c>
    </row>
    <row r="12">
      <c r="A12" s="19" t="inlineStr">
        <is>
          <t>20-30</t>
        </is>
      </c>
      <c r="B12" s="20" t="n">
        <v>86521</v>
      </c>
      <c r="C12" s="20" t="n">
        <v>43323</v>
      </c>
      <c r="D12" s="20" t="n">
        <v>43198</v>
      </c>
      <c r="E12" s="20" t="n">
        <v>11250</v>
      </c>
      <c r="F12" s="20" t="n">
        <v>7630</v>
      </c>
      <c r="G12" s="20" t="n">
        <v>3620</v>
      </c>
      <c r="H12" s="20" t="n">
        <v>69548</v>
      </c>
      <c r="I12" s="20" t="n">
        <v>33592</v>
      </c>
      <c r="J12" s="20" t="n">
        <v>35956</v>
      </c>
      <c r="K12" s="20" t="n">
        <v>5723</v>
      </c>
      <c r="L12" s="20" t="n">
        <v>2101</v>
      </c>
      <c r="M12" s="20" t="n">
        <v>3622</v>
      </c>
      <c r="N12" s="21">
        <f>IF(B12=E12+H12+K12,"✓",B12-(E12+H12+K12))</f>
        <v/>
      </c>
      <c r="O12" s="21">
        <f>IF(B12=C12+D12,"✓","✗")</f>
        <v/>
      </c>
    </row>
    <row r="13">
      <c r="A13" s="22" t="inlineStr">
        <is>
          <t>30-40</t>
        </is>
      </c>
      <c r="B13" s="23" t="n">
        <v>67939</v>
      </c>
      <c r="C13" s="23" t="n">
        <v>35978</v>
      </c>
      <c r="D13" s="23" t="n">
        <v>31961</v>
      </c>
      <c r="E13" s="23" t="n">
        <v>5343</v>
      </c>
      <c r="F13" s="23" t="n">
        <v>3098</v>
      </c>
      <c r="G13" s="23" t="n">
        <v>2245</v>
      </c>
      <c r="H13" s="23" t="n">
        <v>53426</v>
      </c>
      <c r="I13" s="23" t="n">
        <v>29593</v>
      </c>
      <c r="J13" s="23" t="n">
        <v>23833</v>
      </c>
      <c r="K13" s="23" t="n">
        <v>9170</v>
      </c>
      <c r="L13" s="23" t="n">
        <v>3287</v>
      </c>
      <c r="M13" s="23" t="n">
        <v>5883</v>
      </c>
      <c r="N13" s="24">
        <f>IF(B13=E13+H13+K13,"✓",B13-(E13+H13+K13))</f>
        <v/>
      </c>
      <c r="O13" s="24">
        <f>IF(B13=C13+D13,"✓","✗")</f>
        <v/>
      </c>
    </row>
    <row r="14">
      <c r="A14" s="19" t="inlineStr">
        <is>
          <t>40-50</t>
        </is>
      </c>
      <c r="B14" s="20" t="n">
        <v>46775</v>
      </c>
      <c r="C14" s="20" t="n">
        <v>26196</v>
      </c>
      <c r="D14" s="20" t="n">
        <v>20579</v>
      </c>
      <c r="E14" s="20" t="n">
        <v>1833</v>
      </c>
      <c r="F14" s="20" t="n">
        <v>742</v>
      </c>
      <c r="G14" s="20" t="n">
        <v>1091</v>
      </c>
      <c r="H14" s="20" t="n">
        <v>34905</v>
      </c>
      <c r="I14" s="20" t="n">
        <v>21999</v>
      </c>
      <c r="J14" s="20" t="n">
        <v>12906</v>
      </c>
      <c r="K14" s="20" t="n">
        <v>10037</v>
      </c>
      <c r="L14" s="20" t="n">
        <v>3455</v>
      </c>
      <c r="M14" s="20" t="n">
        <v>6582</v>
      </c>
      <c r="N14" s="21">
        <f>IF(B14=E14+H14+K14,"✓",B14-(E14+H14+K14))</f>
        <v/>
      </c>
      <c r="O14" s="21">
        <f>IF(B14=C14+D14,"✓","✗")</f>
        <v/>
      </c>
    </row>
    <row r="15">
      <c r="A15" s="22" t="inlineStr">
        <is>
          <t>50-60</t>
        </is>
      </c>
      <c r="B15" s="23" t="n">
        <v>28172</v>
      </c>
      <c r="C15" s="23" t="n">
        <v>16439</v>
      </c>
      <c r="D15" s="23" t="n">
        <v>11733</v>
      </c>
      <c r="E15" s="23" t="n">
        <v>731</v>
      </c>
      <c r="F15" s="23" t="n">
        <v>340</v>
      </c>
      <c r="G15" s="23" t="n">
        <v>391</v>
      </c>
      <c r="H15" s="23" t="n">
        <v>17860</v>
      </c>
      <c r="I15" s="23" t="n">
        <v>12738</v>
      </c>
      <c r="J15" s="23" t="n">
        <v>5122</v>
      </c>
      <c r="K15" s="23" t="n">
        <v>9581</v>
      </c>
      <c r="L15" s="23" t="n">
        <v>3361</v>
      </c>
      <c r="M15" s="23" t="n">
        <v>6220</v>
      </c>
      <c r="N15" s="24">
        <f>IF(B15=E15+H15+K15,"✓",B15-(E15+H15+K15))</f>
        <v/>
      </c>
      <c r="O15" s="24">
        <f>IF(B15=C15+D15,"✓","✗")</f>
        <v/>
      </c>
    </row>
    <row r="16">
      <c r="A16" s="19" t="inlineStr">
        <is>
          <t>60 and over</t>
        </is>
      </c>
      <c r="B16" s="20" t="n">
        <v>20551</v>
      </c>
      <c r="C16" s="20" t="n">
        <v>11147</v>
      </c>
      <c r="D16" s="20" t="n">
        <v>9404</v>
      </c>
      <c r="E16" s="20" t="n">
        <v>277</v>
      </c>
      <c r="F16" s="20" t="n">
        <v>198</v>
      </c>
      <c r="G16" s="20" t="n">
        <v>79</v>
      </c>
      <c r="H16" s="20" t="n">
        <v>11372</v>
      </c>
      <c r="I16" s="20" t="n">
        <v>7588</v>
      </c>
      <c r="J16" s="20" t="n">
        <v>3784</v>
      </c>
      <c r="K16" s="20" t="n">
        <v>8902</v>
      </c>
      <c r="L16" s="20" t="n">
        <v>3361</v>
      </c>
      <c r="M16" s="20" t="n">
        <v>5541</v>
      </c>
      <c r="N16" s="21">
        <f>IF(B16=E16+H16+K16,"✓",B16-(E16+H16+K16))</f>
        <v/>
      </c>
      <c r="O16" s="21">
        <f>IF(B16=C16+D16,"✓","✗")</f>
        <v/>
      </c>
    </row>
    <row r="17">
      <c r="A17" s="25" t="inlineStr">
        <is>
          <t>Verify: Sum</t>
        </is>
      </c>
      <c r="B17" s="26">
        <f>IF(SUM(B6:B16)=B5,"✓",SUM(B6:B16)-B5)</f>
        <v/>
      </c>
      <c r="C17" s="26">
        <f>IF(SUM(C6:C16)=C5,"✓",SUM(C6:C16)-C5)</f>
        <v/>
      </c>
      <c r="D17" s="26">
        <f>IF(SUM(D6:D16)=D5,"✓",SUM(D6:D16)-D5)</f>
        <v/>
      </c>
      <c r="E17" s="26">
        <f>IF(SUM(E6:E16)=E5,"✓",SUM(E6:E16)-E5)</f>
        <v/>
      </c>
      <c r="F17" s="26">
        <f>IF(SUM(F6:F16)=F5,"✓",SUM(F6:F16)-F5)</f>
        <v/>
      </c>
      <c r="G17" s="26">
        <f>IF(SUM(G6:G16)=G5,"✓",SUM(G6:G16)-G5)</f>
        <v/>
      </c>
      <c r="H17" s="26">
        <f>IF(SUM(H6:H16)=H5,"✓",SUM(H6:H16)-H5)</f>
        <v/>
      </c>
      <c r="I17" s="26">
        <f>IF(SUM(I6:I16)=I5,"✓",SUM(I6:I16)-I5)</f>
        <v/>
      </c>
      <c r="J17" s="26">
        <f>IF(SUM(J6:J16)=J5,"✓",SUM(J6:J16)-J5)</f>
        <v/>
      </c>
      <c r="K17" s="26">
        <f>IF(SUM(K6:K16)=K5,"✓",SUM(K6:K16)-K5)</f>
        <v/>
      </c>
      <c r="L17" s="26">
        <f>IF(SUM(L6:L16)=L5,"✓",SUM(L6:L16)-L5)</f>
        <v/>
      </c>
      <c r="M17" s="26">
        <f>IF(SUM(M6:M16)=M5,"✓",SUM(M6:M16)-M5)</f>
        <v/>
      </c>
    </row>
  </sheetData>
  <mergeCells count="4">
    <mergeCell ref="H3:J3"/>
    <mergeCell ref="B3:D3"/>
    <mergeCell ref="E3:G3"/>
    <mergeCell ref="K3:M3"/>
  </mergeCells>
  <conditionalFormatting sqref="N5:N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O5:O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2026-02-26T04:31:43Z</dcterms:created>
  <dcterms:modified xmlns:dcterms="http://purl.org/dc/terms/" xmlns:xsi="http://www.w3.org/2001/XMLSchema-instance" xsi:type="dcterms:W3CDTF">2026-02-26T04:31:43Z</dcterms:modified>
</cp:coreProperties>
</file>