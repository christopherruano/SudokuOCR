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Imperial Table No. VII. Age, 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7" customWidth="1" min="29" max="29"/>
  </cols>
  <sheetData>
    <row r="1">
      <c r="A1" s="1" t="inlineStr">
        <is>
          <t>Imperial Table No. VII. Age, Sex and Civil Condition. All Religions.</t>
        </is>
      </c>
    </row>
    <row r="2">
      <c r="A2" s="2" t="inlineStr">
        <is>
          <t>Source: Imperial Table No. VII. Age, Sex and Civil Condition. All Religions.</t>
        </is>
      </c>
    </row>
    <row r="3">
      <c r="A3" s="3" t="inlineStr">
        <is>
          <t>Imperial Table No. VII. Age, Sex and Civil Condition. All Religions.</t>
        </is>
      </c>
    </row>
    <row r="4">
      <c r="A4" s="4" t="inlineStr">
        <is>
          <t>Districts.</t>
        </is>
      </c>
      <c r="B4" s="5" t="inlineStr">
        <is>
          <t>TOTAL MARRIED.</t>
        </is>
      </c>
      <c r="C4" s="6" t="n"/>
      <c r="D4" s="6" t="n"/>
      <c r="E4" s="7" t="inlineStr">
        <is>
          <t>0-1.</t>
        </is>
      </c>
      <c r="F4" s="8" t="n"/>
      <c r="G4" s="8" t="n"/>
      <c r="H4" s="9" t="inlineStr">
        <is>
          <t>1-2.</t>
        </is>
      </c>
      <c r="I4" s="10" t="n"/>
      <c r="J4" s="10" t="n"/>
      <c r="K4" s="11" t="inlineStr">
        <is>
          <t>2-3.</t>
        </is>
      </c>
      <c r="L4" s="12" t="n"/>
      <c r="M4" s="12" t="n"/>
      <c r="N4" s="13" t="inlineStr">
        <is>
          <t>3-4.</t>
        </is>
      </c>
      <c r="O4" s="14" t="n"/>
      <c r="P4" s="14" t="n"/>
      <c r="Q4" s="5" t="inlineStr">
        <is>
          <t>4-5.</t>
        </is>
      </c>
      <c r="R4" s="6" t="n"/>
      <c r="S4" s="6" t="n"/>
      <c r="T4" s="7" t="inlineStr">
        <is>
          <t>Total 0-5.</t>
        </is>
      </c>
      <c r="U4" s="8" t="n"/>
      <c r="V4" s="8" t="n"/>
      <c r="W4" s="9" t="inlineStr">
        <is>
          <t>5-10.</t>
        </is>
      </c>
      <c r="X4" s="10" t="n"/>
      <c r="Y4" s="10" t="n"/>
      <c r="Z4" s="11" t="inlineStr">
        <is>
          <t>10-15.</t>
        </is>
      </c>
      <c r="AA4" s="12" t="n"/>
      <c r="AB4" s="12" t="n"/>
      <c r="AC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Persons</t>
        </is>
      </c>
      <c r="AA5" s="17" t="inlineStr">
        <is>
          <t>Males</t>
        </is>
      </c>
      <c r="AB5" s="17" t="inlineStr">
        <is>
          <t>Females</t>
        </is>
      </c>
      <c r="AC5" s="17" t="inlineStr">
        <is>
          <t>M+F=P</t>
        </is>
      </c>
    </row>
    <row r="6">
      <c r="A6" s="18" t="inlineStr">
        <is>
          <t>Total</t>
        </is>
      </c>
      <c r="B6" s="19" t="n">
        <v>1369640</v>
      </c>
      <c r="C6" s="19" t="n">
        <v>692895</v>
      </c>
      <c r="D6" s="19" t="n">
        <v>676745</v>
      </c>
      <c r="E6" s="19" t="n">
        <v>133</v>
      </c>
      <c r="F6" s="19" t="n">
        <v>22</v>
      </c>
      <c r="G6" s="19" t="n">
        <v>111</v>
      </c>
      <c r="H6" s="19" t="n">
        <v>560</v>
      </c>
      <c r="I6" s="19" t="n">
        <v>15</v>
      </c>
      <c r="J6" s="19" t="n">
        <v>545</v>
      </c>
      <c r="K6" s="19" t="n">
        <v>518</v>
      </c>
      <c r="L6" s="19" t="n">
        <v>38</v>
      </c>
      <c r="M6" s="19" t="n">
        <v>480</v>
      </c>
      <c r="N6" s="19" t="n">
        <v>465</v>
      </c>
      <c r="O6" s="19" t="n">
        <v>74</v>
      </c>
      <c r="P6" s="19" t="n">
        <v>391</v>
      </c>
      <c r="Q6" s="19" t="n">
        <v>1140</v>
      </c>
      <c r="R6" s="19" t="n">
        <v>112</v>
      </c>
      <c r="S6" s="19" t="n">
        <v>1028</v>
      </c>
      <c r="T6" s="19" t="n">
        <v>2816</v>
      </c>
      <c r="U6" s="19" t="n">
        <v>261</v>
      </c>
      <c r="V6" s="19" t="n">
        <v>2555</v>
      </c>
      <c r="W6" s="19" t="n">
        <v>9220</v>
      </c>
      <c r="X6" s="19" t="n">
        <v>3036</v>
      </c>
      <c r="Y6" s="19" t="n">
        <v>6184</v>
      </c>
      <c r="Z6" s="19" t="n">
        <v>30270</v>
      </c>
      <c r="AA6" s="19" t="n">
        <v>8556</v>
      </c>
      <c r="AB6" s="19" t="n">
        <v>21714</v>
      </c>
      <c r="AC6" s="20">
        <f>IF(B6=C6+D6,"✓","✗")</f>
        <v/>
      </c>
    </row>
    <row r="7">
      <c r="A7" s="21" t="inlineStr">
        <is>
          <t>Gwalior Prant-Gwalior</t>
        </is>
      </c>
      <c r="B7" s="22" t="n">
        <v>143207</v>
      </c>
      <c r="C7" s="22" t="n">
        <v>74959</v>
      </c>
      <c r="D7" s="22" t="n">
        <v>68248</v>
      </c>
      <c r="E7" s="22" t="n">
        <v>17</v>
      </c>
      <c r="F7" s="22" t="n">
        <v>6</v>
      </c>
      <c r="G7" s="22" t="n">
        <v>11</v>
      </c>
      <c r="H7" s="22" t="n">
        <v>16</v>
      </c>
      <c r="I7" s="22" t="n">
        <v>7</v>
      </c>
      <c r="J7" s="22" t="n">
        <v>9</v>
      </c>
      <c r="K7" s="22" t="n">
        <v>47</v>
      </c>
      <c r="L7" s="22" t="n">
        <v>13</v>
      </c>
      <c r="M7" s="22" t="n">
        <v>34</v>
      </c>
      <c r="N7" s="22" t="n">
        <v>70</v>
      </c>
      <c r="O7" s="22" t="n">
        <v>43</v>
      </c>
      <c r="P7" s="22" t="n">
        <v>27</v>
      </c>
      <c r="Q7" s="22" t="n">
        <v>94</v>
      </c>
      <c r="R7" s="22" t="n">
        <v>54</v>
      </c>
      <c r="S7" s="22" t="n">
        <v>40</v>
      </c>
      <c r="T7" s="22" t="n">
        <v>244</v>
      </c>
      <c r="U7" s="22" t="n">
        <v>123</v>
      </c>
      <c r="V7" s="22" t="n">
        <v>121</v>
      </c>
      <c r="W7" s="22" t="n">
        <v>2028</v>
      </c>
      <c r="X7" s="22" t="n">
        <v>442</v>
      </c>
      <c r="Y7" s="22" t="n">
        <v>1586</v>
      </c>
      <c r="Z7" s="22" t="n">
        <v>10667</v>
      </c>
      <c r="AA7" s="22" t="n">
        <v>2618</v>
      </c>
      <c r="AB7" s="22" t="n">
        <v>8049</v>
      </c>
      <c r="AC7" s="23">
        <f>IF(B7=C7+D7,"✓","✗")</f>
        <v/>
      </c>
    </row>
    <row r="8">
      <c r="A8" s="24" t="inlineStr">
        <is>
          <t>Susera</t>
        </is>
      </c>
      <c r="B8" s="25" t="n">
        <v>2027</v>
      </c>
      <c r="C8" s="25" t="n">
        <v>1050</v>
      </c>
      <c r="D8" s="25" t="n">
        <v>977</v>
      </c>
      <c r="E8" s="25" t="n">
        <v>1</v>
      </c>
      <c r="F8" s="25" t="n">
        <v>0</v>
      </c>
      <c r="G8" s="25" t="n">
        <v>1</v>
      </c>
      <c r="H8" s="25" t="n">
        <v>1</v>
      </c>
      <c r="I8" s="25" t="n">
        <v>0</v>
      </c>
      <c r="J8" s="25" t="n">
        <v>1</v>
      </c>
      <c r="K8" s="25" t="n">
        <v>5</v>
      </c>
      <c r="L8" s="25" t="n">
        <v>2</v>
      </c>
      <c r="M8" s="25" t="n">
        <v>3</v>
      </c>
      <c r="N8" s="25" t="n">
        <v>2</v>
      </c>
      <c r="O8" s="25" t="n">
        <v>1</v>
      </c>
      <c r="P8" s="25" t="n">
        <v>1</v>
      </c>
      <c r="Q8" s="25" t="n">
        <v>2</v>
      </c>
      <c r="R8" s="25" t="n">
        <v>2</v>
      </c>
      <c r="S8" s="25" t="n">
        <v>0</v>
      </c>
      <c r="T8" s="25" t="n">
        <v>11</v>
      </c>
      <c r="U8" s="25" t="n">
        <v>5</v>
      </c>
      <c r="V8" s="25" t="n">
        <v>6</v>
      </c>
      <c r="W8" s="25" t="n">
        <v>47</v>
      </c>
      <c r="X8" s="25" t="n">
        <v>11</v>
      </c>
      <c r="Y8" s="25" t="n">
        <v>36</v>
      </c>
      <c r="Z8" s="25" t="n">
        <v>145</v>
      </c>
      <c r="AA8" s="25" t="n">
        <v>39</v>
      </c>
      <c r="AB8" s="25" t="n">
        <v>106</v>
      </c>
      <c r="AC8" s="26">
        <f>IF(B8=C8+D8,"✓","✗")</f>
        <v/>
      </c>
    </row>
    <row r="9">
      <c r="A9" s="21" t="inlineStr">
        <is>
          <t>Sikarwari</t>
        </is>
      </c>
      <c r="B9" s="22" t="n">
        <v>91138</v>
      </c>
      <c r="C9" s="22" t="n">
        <v>43824</v>
      </c>
      <c r="D9" s="22" t="n">
        <v>47314</v>
      </c>
      <c r="E9" s="22" t="n">
        <v>25</v>
      </c>
      <c r="F9" s="22" t="n">
        <v>5</v>
      </c>
      <c r="G9" s="22" t="n">
        <v>20</v>
      </c>
      <c r="H9" s="22" t="n">
        <v>22</v>
      </c>
      <c r="I9" s="22" t="n">
        <v>6</v>
      </c>
      <c r="J9" s="22" t="n">
        <v>16</v>
      </c>
      <c r="K9" s="22" t="n">
        <v>49</v>
      </c>
      <c r="L9" s="22" t="n">
        <v>16</v>
      </c>
      <c r="M9" s="22" t="n">
        <v>33</v>
      </c>
      <c r="N9" s="22" t="n">
        <v>40</v>
      </c>
      <c r="O9" s="22" t="n">
        <v>10</v>
      </c>
      <c r="P9" s="22" t="n">
        <v>30</v>
      </c>
      <c r="Q9" s="22" t="n">
        <v>85</v>
      </c>
      <c r="R9" s="22" t="n">
        <v>47</v>
      </c>
      <c r="S9" s="22" t="n">
        <v>38</v>
      </c>
      <c r="T9" s="22" t="n">
        <v>221</v>
      </c>
      <c r="U9" s="22" t="n">
        <v>84</v>
      </c>
      <c r="V9" s="22" t="n">
        <v>137</v>
      </c>
      <c r="W9" s="22" t="n">
        <v>1429</v>
      </c>
      <c r="X9" s="22" t="n">
        <v>415</v>
      </c>
      <c r="Y9" s="22" t="n">
        <v>1014</v>
      </c>
      <c r="Z9" s="22" t="n">
        <v>7081</v>
      </c>
      <c r="AA9" s="22" t="n">
        <v>2249</v>
      </c>
      <c r="AB9" s="22" t="n">
        <v>4832</v>
      </c>
      <c r="AC9" s="23">
        <f>IF(B9=C9+D9,"✓","✗")</f>
        <v/>
      </c>
    </row>
    <row r="10">
      <c r="A10" s="24" t="inlineStr">
        <is>
          <t>Sabalgarh</t>
        </is>
      </c>
      <c r="B10" s="25" t="n">
        <v>54707</v>
      </c>
      <c r="C10" s="25" t="n">
        <v>27432</v>
      </c>
      <c r="D10" s="25" t="n">
        <v>27275</v>
      </c>
      <c r="E10" s="25" t="n">
        <v>8</v>
      </c>
      <c r="F10" s="25" t="n">
        <v>0</v>
      </c>
      <c r="G10" s="25" t="n">
        <v>8</v>
      </c>
      <c r="H10" s="25" t="n">
        <v>6</v>
      </c>
      <c r="I10" s="25" t="n">
        <v>0</v>
      </c>
      <c r="J10" s="25" t="n">
        <v>6</v>
      </c>
      <c r="K10" s="25" t="n">
        <v>43</v>
      </c>
      <c r="L10" s="25" t="n">
        <v>15</v>
      </c>
      <c r="M10" s="25" t="n">
        <v>28</v>
      </c>
      <c r="N10" s="25" t="n">
        <v>37</v>
      </c>
      <c r="O10" s="25" t="n">
        <v>1</v>
      </c>
      <c r="P10" s="25" t="n">
        <v>36</v>
      </c>
      <c r="Q10" s="25" t="n">
        <v>43</v>
      </c>
      <c r="R10" s="25" t="n">
        <v>13</v>
      </c>
      <c r="S10" s="25" t="n">
        <v>30</v>
      </c>
      <c r="T10" s="25" t="n">
        <v>137</v>
      </c>
      <c r="U10" s="25" t="n">
        <v>29</v>
      </c>
      <c r="V10" s="25" t="n">
        <v>108</v>
      </c>
      <c r="W10" s="25" t="n">
        <v>872</v>
      </c>
      <c r="X10" s="25" t="n">
        <v>254</v>
      </c>
      <c r="Y10" s="25" t="n">
        <v>618</v>
      </c>
      <c r="Z10" s="25" t="n">
        <v>4075</v>
      </c>
      <c r="AA10" s="25" t="n">
        <v>1346</v>
      </c>
      <c r="AB10" s="25" t="n">
        <v>2729</v>
      </c>
      <c r="AC10" s="26">
        <f>IF(B10=C10+D10,"✓","✗")</f>
        <v/>
      </c>
    </row>
    <row r="11">
      <c r="A11" s="21" t="inlineStr">
        <is>
          <t>Tawarghar</t>
        </is>
      </c>
      <c r="B11" s="22" t="n">
        <v>87648</v>
      </c>
      <c r="C11" s="22" t="n">
        <v>44036</v>
      </c>
      <c r="D11" s="22" t="n">
        <v>43612</v>
      </c>
      <c r="E11" s="22" t="n">
        <v>19</v>
      </c>
      <c r="F11" s="22" t="n">
        <v>5</v>
      </c>
      <c r="G11" s="22" t="n">
        <v>14</v>
      </c>
      <c r="H11" s="22" t="n">
        <v>39</v>
      </c>
      <c r="I11" s="22" t="n">
        <v>17</v>
      </c>
      <c r="J11" s="22" t="n">
        <v>22</v>
      </c>
      <c r="K11" s="22" t="n">
        <v>74</v>
      </c>
      <c r="L11" s="22" t="n">
        <v>26</v>
      </c>
      <c r="M11" s="22" t="n">
        <v>48</v>
      </c>
      <c r="N11" s="22" t="n">
        <v>60</v>
      </c>
      <c r="O11" s="22" t="n">
        <v>25</v>
      </c>
      <c r="P11" s="22" t="n">
        <v>35</v>
      </c>
      <c r="Q11" s="22" t="n">
        <v>88</v>
      </c>
      <c r="R11" s="22" t="n">
        <v>44</v>
      </c>
      <c r="S11" s="22" t="n">
        <v>44</v>
      </c>
      <c r="T11" s="22" t="n">
        <v>280</v>
      </c>
      <c r="U11" s="22" t="n">
        <v>117</v>
      </c>
      <c r="V11" s="22" t="n">
        <v>163</v>
      </c>
      <c r="W11" s="22" t="n">
        <v>1843</v>
      </c>
      <c r="X11" s="22" t="n">
        <v>560</v>
      </c>
      <c r="Y11" s="22" t="n">
        <v>1283</v>
      </c>
      <c r="Z11" s="22" t="n">
        <v>6648</v>
      </c>
      <c r="AA11" s="22" t="n">
        <v>2220</v>
      </c>
      <c r="AB11" s="22" t="n">
        <v>4428</v>
      </c>
      <c r="AC11" s="23">
        <f>IF(B11=C11+D11,"✓","✗")</f>
        <v/>
      </c>
    </row>
    <row r="12">
      <c r="A12" s="24" t="inlineStr">
        <is>
          <t>Bhind</t>
        </is>
      </c>
      <c r="B12" s="25" t="n">
        <v>109284</v>
      </c>
      <c r="C12" s="25" t="n">
        <v>54138</v>
      </c>
      <c r="D12" s="25" t="n">
        <v>55146</v>
      </c>
      <c r="E12" s="25" t="n">
        <v>27</v>
      </c>
      <c r="F12" s="25" t="n">
        <v>22</v>
      </c>
      <c r="G12" s="25" t="n">
        <v>5</v>
      </c>
      <c r="H12" s="25" t="n">
        <v>19</v>
      </c>
      <c r="I12" s="25" t="n">
        <v>10</v>
      </c>
      <c r="J12" s="25" t="n">
        <v>9</v>
      </c>
      <c r="K12" s="25" t="n">
        <v>30</v>
      </c>
      <c r="L12" s="25" t="n">
        <v>18</v>
      </c>
      <c r="M12" s="25" t="n">
        <v>12</v>
      </c>
      <c r="N12" s="25" t="n">
        <v>34</v>
      </c>
      <c r="O12" s="25" t="n">
        <v>18</v>
      </c>
      <c r="P12" s="25" t="n">
        <v>16</v>
      </c>
      <c r="Q12" s="25" t="n">
        <v>90</v>
      </c>
      <c r="R12" s="25" t="n">
        <v>51</v>
      </c>
      <c r="S12" s="25" t="n">
        <v>39</v>
      </c>
      <c r="T12" s="25" t="n">
        <v>200</v>
      </c>
      <c r="U12" s="25" t="n">
        <v>119</v>
      </c>
      <c r="V12" s="25" t="n">
        <v>81</v>
      </c>
      <c r="W12" s="25" t="n">
        <v>3279</v>
      </c>
      <c r="X12" s="25" t="n">
        <v>1252</v>
      </c>
      <c r="Y12" s="25" t="n">
        <v>2027</v>
      </c>
      <c r="Z12" s="25" t="n">
        <v>10824</v>
      </c>
      <c r="AA12" s="25" t="n">
        <v>3647</v>
      </c>
      <c r="AB12" s="25" t="n">
        <v>7177</v>
      </c>
      <c r="AC12" s="26">
        <f>IF(B12=C12+D12,"✓","✗")</f>
        <v/>
      </c>
    </row>
    <row r="13">
      <c r="A13" s="21" t="inlineStr">
        <is>
          <t>Bhander</t>
        </is>
      </c>
      <c r="B13" s="22" t="n">
        <v>80610</v>
      </c>
      <c r="C13" s="22" t="n">
        <v>40170</v>
      </c>
      <c r="D13" s="22" t="n">
        <v>40440</v>
      </c>
      <c r="E13" s="22" t="n">
        <v>10</v>
      </c>
      <c r="F13" s="22" t="n">
        <v>2</v>
      </c>
      <c r="G13" s="22" t="n">
        <v>8</v>
      </c>
      <c r="H13" s="22" t="n">
        <v>16</v>
      </c>
      <c r="I13" s="22" t="n">
        <v>7</v>
      </c>
      <c r="J13" s="22" t="n">
        <v>9</v>
      </c>
      <c r="K13" s="22" t="n">
        <v>33</v>
      </c>
      <c r="L13" s="22" t="n">
        <v>12</v>
      </c>
      <c r="M13" s="22" t="n">
        <v>21</v>
      </c>
      <c r="N13" s="22" t="n">
        <v>24</v>
      </c>
      <c r="O13" s="22" t="n">
        <v>17</v>
      </c>
      <c r="P13" s="22" t="n">
        <v>7</v>
      </c>
      <c r="Q13" s="22" t="n">
        <v>68</v>
      </c>
      <c r="R13" s="22" t="n">
        <v>40</v>
      </c>
      <c r="S13" s="22" t="n">
        <v>28</v>
      </c>
      <c r="T13" s="22" t="n">
        <v>151</v>
      </c>
      <c r="U13" s="22" t="n">
        <v>78</v>
      </c>
      <c r="V13" s="22" t="n">
        <v>73</v>
      </c>
      <c r="W13" s="22" t="n">
        <v>1888</v>
      </c>
      <c r="X13" s="22" t="n">
        <v>556</v>
      </c>
      <c r="Y13" s="22" t="n">
        <v>1332</v>
      </c>
      <c r="Z13" s="22" t="n">
        <v>7831</v>
      </c>
      <c r="AA13" s="22" t="n">
        <v>2548</v>
      </c>
      <c r="AB13" s="22" t="n">
        <v>5283</v>
      </c>
      <c r="AC13" s="23">
        <f>IF(B13=C13+D13,"✓","✗")</f>
        <v/>
      </c>
    </row>
    <row r="14">
      <c r="A14" s="24" t="inlineStr">
        <is>
          <t>Isagarh Prant-Isagarh</t>
        </is>
      </c>
      <c r="B14" s="25" t="n">
        <v>63746</v>
      </c>
      <c r="C14" s="25" t="n">
        <v>35271</v>
      </c>
      <c r="D14" s="25" t="n">
        <v>28475</v>
      </c>
      <c r="E14" s="25" t="n">
        <v>12</v>
      </c>
      <c r="F14" s="25" t="n">
        <v>8</v>
      </c>
      <c r="G14" s="25" t="n">
        <v>4</v>
      </c>
      <c r="H14" s="25" t="n">
        <v>9</v>
      </c>
      <c r="I14" s="25" t="n">
        <v>5</v>
      </c>
      <c r="J14" s="25" t="n">
        <v>4</v>
      </c>
      <c r="K14" s="25" t="n">
        <v>50</v>
      </c>
      <c r="L14" s="25" t="n">
        <v>42</v>
      </c>
      <c r="M14" s="25" t="n">
        <v>8</v>
      </c>
      <c r="N14" s="25" t="n">
        <v>46</v>
      </c>
      <c r="O14" s="25" t="n">
        <v>40</v>
      </c>
      <c r="P14" s="25" t="n">
        <v>6</v>
      </c>
      <c r="Q14" s="25" t="n">
        <v>61</v>
      </c>
      <c r="R14" s="25" t="n">
        <v>45</v>
      </c>
      <c r="S14" s="25" t="n">
        <v>16</v>
      </c>
      <c r="T14" s="25" t="n">
        <v>184</v>
      </c>
      <c r="U14" s="25" t="n">
        <v>146</v>
      </c>
      <c r="V14" s="25" t="n">
        <v>38</v>
      </c>
      <c r="W14" s="25" t="n">
        <v>2731</v>
      </c>
      <c r="X14" s="25" t="n">
        <v>2661</v>
      </c>
      <c r="Y14" s="25" t="n">
        <v>70</v>
      </c>
      <c r="Z14" s="25" t="n">
        <v>6432</v>
      </c>
      <c r="AA14" s="25" t="n">
        <v>5995</v>
      </c>
      <c r="AB14" s="25" t="n">
        <v>437</v>
      </c>
      <c r="AC14" s="26">
        <f>IF(B14=C14+D14,"✓","✗")</f>
        <v/>
      </c>
    </row>
    <row r="15">
      <c r="A15" s="21" t="inlineStr">
        <is>
          <t>Pichhor</t>
        </is>
      </c>
      <c r="B15" s="22" t="n">
        <v>112623</v>
      </c>
      <c r="C15" s="22" t="n">
        <v>57533</v>
      </c>
      <c r="D15" s="22" t="n">
        <v>55090</v>
      </c>
      <c r="E15" s="22" t="n">
        <v>2</v>
      </c>
      <c r="F15" s="22" t="n">
        <v>1</v>
      </c>
      <c r="G15" s="22" t="n">
        <v>1</v>
      </c>
      <c r="H15" s="22" t="n">
        <v>9</v>
      </c>
      <c r="I15" s="22" t="n">
        <v>9</v>
      </c>
      <c r="J15" s="22" t="n">
        <v>0</v>
      </c>
      <c r="K15" s="22" t="n">
        <v>36</v>
      </c>
      <c r="L15" s="22" t="n">
        <v>31</v>
      </c>
      <c r="M15" s="22" t="n">
        <v>5</v>
      </c>
      <c r="N15" s="22" t="n">
        <v>44</v>
      </c>
      <c r="O15" s="22" t="n">
        <v>42</v>
      </c>
      <c r="P15" s="22" t="n">
        <v>2</v>
      </c>
      <c r="Q15" s="22" t="n">
        <v>70</v>
      </c>
      <c r="R15" s="22" t="n">
        <v>60</v>
      </c>
      <c r="S15" s="22" t="n">
        <v>10</v>
      </c>
      <c r="T15" s="22" t="n">
        <v>161</v>
      </c>
      <c r="U15" s="22" t="n">
        <v>143</v>
      </c>
      <c r="V15" s="22" t="n">
        <v>18</v>
      </c>
      <c r="W15" s="22" t="n">
        <v>1212</v>
      </c>
      <c r="X15" s="22" t="n">
        <v>1026</v>
      </c>
      <c r="Y15" s="22" t="n">
        <v>186</v>
      </c>
      <c r="Z15" s="22" t="n">
        <v>10501</v>
      </c>
      <c r="AA15" s="22" t="n">
        <v>9899</v>
      </c>
      <c r="AB15" s="22" t="n">
        <v>602</v>
      </c>
      <c r="AC15" s="23">
        <f>IF(B15=C15+D15,"✓","✗")</f>
        <v/>
      </c>
    </row>
    <row r="16">
      <c r="A16" s="24" t="inlineStr">
        <is>
          <t>Bajrangarh</t>
        </is>
      </c>
      <c r="B16" s="25" t="n">
        <v>52340</v>
      </c>
      <c r="C16" s="25" t="n">
        <v>26016</v>
      </c>
      <c r="D16" s="25" t="n">
        <v>26324</v>
      </c>
      <c r="E16" s="25" t="n">
        <v>13</v>
      </c>
      <c r="F16" s="25" t="n">
        <v>9</v>
      </c>
      <c r="G16" s="25" t="n">
        <v>4</v>
      </c>
      <c r="H16" s="25" t="n">
        <v>7</v>
      </c>
      <c r="I16" s="25" t="n">
        <v>3</v>
      </c>
      <c r="J16" s="25" t="n">
        <v>4</v>
      </c>
      <c r="K16" s="25" t="n">
        <v>30</v>
      </c>
      <c r="L16" s="25" t="n">
        <v>23</v>
      </c>
      <c r="M16" s="25" t="n">
        <v>7</v>
      </c>
      <c r="N16" s="25" t="n">
        <v>29</v>
      </c>
      <c r="O16" s="25" t="n">
        <v>23</v>
      </c>
      <c r="P16" s="25" t="n">
        <v>6</v>
      </c>
      <c r="Q16" s="25" t="n">
        <v>50</v>
      </c>
      <c r="R16" s="25" t="n">
        <v>42</v>
      </c>
      <c r="S16" s="25" t="n">
        <v>8</v>
      </c>
      <c r="T16" s="25" t="n">
        <v>134</v>
      </c>
      <c r="U16" s="25" t="n">
        <v>105</v>
      </c>
      <c r="V16" s="25" t="n">
        <v>29</v>
      </c>
      <c r="W16" s="25" t="n">
        <v>453</v>
      </c>
      <c r="X16" s="25" t="n">
        <v>274</v>
      </c>
      <c r="Y16" s="25" t="n">
        <v>179</v>
      </c>
      <c r="Z16" s="25" t="n">
        <v>1473</v>
      </c>
      <c r="AA16" s="25" t="n">
        <v>962</v>
      </c>
      <c r="AB16" s="25" t="n">
        <v>511</v>
      </c>
      <c r="AC16" s="26">
        <f>IF(B16=C16+D16,"✓","✗")</f>
        <v/>
      </c>
    </row>
    <row r="17">
      <c r="A17" s="21" t="inlineStr">
        <is>
          <t>Bhilsa</t>
        </is>
      </c>
      <c r="B17" s="22" t="n">
        <v>51726</v>
      </c>
      <c r="C17" s="22" t="n">
        <v>25136</v>
      </c>
      <c r="D17" s="22" t="n">
        <v>26590</v>
      </c>
      <c r="E17" s="22" t="n">
        <v>19</v>
      </c>
      <c r="F17" s="22" t="n">
        <v>2</v>
      </c>
      <c r="G17" s="22" t="n">
        <v>17</v>
      </c>
      <c r="H17" s="22" t="n">
        <v>22</v>
      </c>
      <c r="I17" s="22" t="n">
        <v>8</v>
      </c>
      <c r="J17" s="22" t="n">
        <v>14</v>
      </c>
      <c r="K17" s="22" t="n">
        <v>102</v>
      </c>
      <c r="L17" s="22" t="n">
        <v>18</v>
      </c>
      <c r="M17" s="22" t="n">
        <v>84</v>
      </c>
      <c r="N17" s="22" t="n">
        <v>128</v>
      </c>
      <c r="O17" s="22" t="n">
        <v>17</v>
      </c>
      <c r="P17" s="22" t="n">
        <v>111</v>
      </c>
      <c r="Q17" s="22" t="n">
        <v>130</v>
      </c>
      <c r="R17" s="22" t="n">
        <v>29</v>
      </c>
      <c r="S17" s="22" t="n">
        <v>101</v>
      </c>
      <c r="T17" s="22" t="n">
        <v>401</v>
      </c>
      <c r="U17" s="22" t="n">
        <v>74</v>
      </c>
      <c r="V17" s="22" t="n">
        <v>327</v>
      </c>
      <c r="W17" s="22" t="n">
        <v>1103</v>
      </c>
      <c r="X17" s="22" t="n">
        <v>236</v>
      </c>
      <c r="Y17" s="22" t="n">
        <v>867</v>
      </c>
      <c r="Z17" s="22" t="n">
        <v>3803</v>
      </c>
      <c r="AA17" s="22" t="n">
        <v>1017</v>
      </c>
      <c r="AB17" s="22" t="n">
        <v>2786</v>
      </c>
      <c r="AC17" s="23">
        <f>IF(B17=C17+D17,"✓","✗")</f>
        <v/>
      </c>
    </row>
    <row r="18">
      <c r="A18" s="24" t="inlineStr">
        <is>
          <t>Narwar</t>
        </is>
      </c>
      <c r="B18" s="25" t="n">
        <v>71346</v>
      </c>
      <c r="C18" s="25" t="n">
        <v>40159</v>
      </c>
      <c r="D18" s="25" t="n">
        <v>31187</v>
      </c>
      <c r="E18" s="25" t="n">
        <v>41</v>
      </c>
      <c r="F18" s="25" t="n">
        <v>37</v>
      </c>
      <c r="G18" s="25" t="n">
        <v>4</v>
      </c>
      <c r="H18" s="25" t="n">
        <v>80</v>
      </c>
      <c r="I18" s="25" t="n">
        <v>66</v>
      </c>
      <c r="J18" s="25" t="n">
        <v>14</v>
      </c>
      <c r="K18" s="25" t="n">
        <v>64</v>
      </c>
      <c r="L18" s="25" t="n">
        <v>39</v>
      </c>
      <c r="M18" s="25" t="n">
        <v>25</v>
      </c>
      <c r="N18" s="25" t="n">
        <v>45</v>
      </c>
      <c r="O18" s="25" t="n">
        <v>35</v>
      </c>
      <c r="P18" s="25" t="n">
        <v>10</v>
      </c>
      <c r="Q18" s="25" t="n">
        <v>142</v>
      </c>
      <c r="R18" s="25" t="n">
        <v>106</v>
      </c>
      <c r="S18" s="25" t="n">
        <v>36</v>
      </c>
      <c r="T18" s="25" t="n">
        <v>372</v>
      </c>
      <c r="U18" s="25" t="n">
        <v>283</v>
      </c>
      <c r="V18" s="25" t="n">
        <v>89</v>
      </c>
      <c r="W18" s="25" t="n">
        <v>1802</v>
      </c>
      <c r="X18" s="25" t="n">
        <v>774</v>
      </c>
      <c r="Y18" s="25" t="n">
        <v>1028</v>
      </c>
      <c r="Z18" s="25" t="n">
        <v>5998</v>
      </c>
      <c r="AA18" s="25" t="n">
        <v>2018</v>
      </c>
      <c r="AB18" s="25" t="n">
        <v>3980</v>
      </c>
      <c r="AC18" s="26">
        <f>IF(B18=C18+D18,"✓","✗")</f>
        <v/>
      </c>
    </row>
    <row r="19">
      <c r="A19" s="21" t="inlineStr">
        <is>
          <t>Sheopur</t>
        </is>
      </c>
      <c r="B19" s="22" t="n">
        <v>46474</v>
      </c>
      <c r="C19" s="22" t="n">
        <v>20552</v>
      </c>
      <c r="D19" s="22" t="n">
        <v>25922</v>
      </c>
      <c r="E19" s="22" t="n">
        <v>9</v>
      </c>
      <c r="F19" s="22" t="n">
        <v>4</v>
      </c>
      <c r="G19" s="22" t="n">
        <v>5</v>
      </c>
      <c r="H19" s="22" t="n">
        <v>18</v>
      </c>
      <c r="I19" s="22" t="n">
        <v>6</v>
      </c>
      <c r="J19" s="22" t="n">
        <v>12</v>
      </c>
      <c r="K19" s="22" t="n">
        <v>30</v>
      </c>
      <c r="L19" s="22" t="n">
        <v>8</v>
      </c>
      <c r="M19" s="22" t="n">
        <v>22</v>
      </c>
      <c r="N19" s="22" t="n">
        <v>131</v>
      </c>
      <c r="O19" s="22" t="n">
        <v>13</v>
      </c>
      <c r="P19" s="22" t="n">
        <v>118</v>
      </c>
      <c r="Q19" s="22" t="n">
        <v>176</v>
      </c>
      <c r="R19" s="22" t="n">
        <v>34</v>
      </c>
      <c r="S19" s="22" t="n">
        <v>142</v>
      </c>
      <c r="T19" s="22" t="n">
        <v>364</v>
      </c>
      <c r="U19" s="22" t="n">
        <v>65</v>
      </c>
      <c r="V19" s="22" t="n">
        <v>299</v>
      </c>
      <c r="W19" s="22" t="n">
        <v>849</v>
      </c>
      <c r="X19" s="22" t="n">
        <v>157</v>
      </c>
      <c r="Y19" s="22" t="n">
        <v>692</v>
      </c>
      <c r="Z19" s="22" t="n">
        <v>2089</v>
      </c>
      <c r="AA19" s="22" t="n">
        <v>596</v>
      </c>
      <c r="AB19" s="22" t="n">
        <v>1493</v>
      </c>
      <c r="AC19" s="23">
        <f>IF(B19=C19+D19,"✓","✗")</f>
        <v/>
      </c>
    </row>
    <row r="20">
      <c r="A20" s="24" t="inlineStr">
        <is>
          <t>Malwa Prant-Nimach</t>
        </is>
      </c>
      <c r="B20" s="25" t="n">
        <v>44075</v>
      </c>
      <c r="C20" s="25" t="n">
        <v>21738</v>
      </c>
      <c r="D20" s="25" t="n">
        <v>22337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9</v>
      </c>
      <c r="L20" s="25" t="n">
        <v>7</v>
      </c>
      <c r="M20" s="25" t="n">
        <v>2</v>
      </c>
      <c r="N20" s="25" t="n">
        <v>68</v>
      </c>
      <c r="O20" s="25" t="n">
        <v>10</v>
      </c>
      <c r="P20" s="25" t="n">
        <v>58</v>
      </c>
      <c r="Q20" s="25" t="n">
        <v>128</v>
      </c>
      <c r="R20" s="25" t="n">
        <v>25</v>
      </c>
      <c r="S20" s="25" t="n">
        <v>103</v>
      </c>
      <c r="T20" s="25" t="n">
        <v>205</v>
      </c>
      <c r="U20" s="25" t="n">
        <v>42</v>
      </c>
      <c r="V20" s="25" t="n">
        <v>163</v>
      </c>
      <c r="W20" s="25" t="n">
        <v>778</v>
      </c>
      <c r="X20" s="25" t="n">
        <v>293</v>
      </c>
      <c r="Y20" s="25" t="n">
        <v>485</v>
      </c>
      <c r="Z20" s="25" t="n">
        <v>3122</v>
      </c>
      <c r="AA20" s="25" t="n">
        <v>1114</v>
      </c>
      <c r="AB20" s="25" t="n">
        <v>2008</v>
      </c>
      <c r="AC20" s="26">
        <f>IF(B20=C20+D20,"✓","✗")</f>
        <v/>
      </c>
    </row>
    <row r="21">
      <c r="A21" s="21" t="inlineStr">
        <is>
          <t>Ujjain</t>
        </is>
      </c>
      <c r="B21" s="22" t="n">
        <v>103624</v>
      </c>
      <c r="C21" s="22" t="n">
        <v>51484</v>
      </c>
      <c r="D21" s="22" t="n">
        <v>52140</v>
      </c>
      <c r="E21" s="22" t="n">
        <v>17</v>
      </c>
      <c r="F21" s="22" t="n">
        <v>3</v>
      </c>
      <c r="G21" s="22" t="n">
        <v>14</v>
      </c>
      <c r="H21" s="22" t="n">
        <v>42</v>
      </c>
      <c r="I21" s="22" t="n">
        <v>9</v>
      </c>
      <c r="J21" s="22" t="n">
        <v>33</v>
      </c>
      <c r="K21" s="22" t="n">
        <v>124</v>
      </c>
      <c r="L21" s="22" t="n">
        <v>21</v>
      </c>
      <c r="M21" s="22" t="n">
        <v>103</v>
      </c>
      <c r="N21" s="22" t="n">
        <v>94</v>
      </c>
      <c r="O21" s="22" t="n">
        <v>35</v>
      </c>
      <c r="P21" s="22" t="n">
        <v>59</v>
      </c>
      <c r="Q21" s="22" t="n">
        <v>206</v>
      </c>
      <c r="R21" s="22" t="n">
        <v>48</v>
      </c>
      <c r="S21" s="22" t="n">
        <v>158</v>
      </c>
      <c r="T21" s="22" t="n">
        <v>483</v>
      </c>
      <c r="U21" s="22" t="n">
        <v>116</v>
      </c>
      <c r="V21" s="22" t="n">
        <v>367</v>
      </c>
      <c r="W21" s="22" t="n">
        <v>2039</v>
      </c>
      <c r="X21" s="22" t="n">
        <v>437</v>
      </c>
      <c r="Y21" s="22" t="n">
        <v>1602</v>
      </c>
      <c r="Z21" s="22" t="n">
        <v>7772</v>
      </c>
      <c r="AA21" s="22" t="n">
        <v>1881</v>
      </c>
      <c r="AB21" s="22" t="n">
        <v>5891</v>
      </c>
      <c r="AC21" s="23">
        <f>IF(B21=C21+D21,"✓","✗")</f>
        <v/>
      </c>
    </row>
    <row r="22">
      <c r="A22" s="24" t="inlineStr">
        <is>
          <t>Mandsaur</t>
        </is>
      </c>
      <c r="B22" s="25" t="n">
        <v>36380</v>
      </c>
      <c r="C22" s="25" t="n">
        <v>23170</v>
      </c>
      <c r="D22" s="25" t="n">
        <v>13210</v>
      </c>
      <c r="E22" s="25" t="n">
        <v>14</v>
      </c>
      <c r="F22" s="25" t="n">
        <v>4</v>
      </c>
      <c r="G22" s="25" t="n">
        <v>10</v>
      </c>
      <c r="H22" s="25" t="n">
        <v>21</v>
      </c>
      <c r="I22" s="25" t="n">
        <v>1</v>
      </c>
      <c r="J22" s="25" t="n">
        <v>20</v>
      </c>
      <c r="K22" s="25" t="n">
        <v>8</v>
      </c>
      <c r="L22" s="25" t="n">
        <v>1</v>
      </c>
      <c r="M22" s="25" t="n">
        <v>7</v>
      </c>
      <c r="N22" s="25" t="n">
        <v>41</v>
      </c>
      <c r="O22" s="25" t="n">
        <v>0</v>
      </c>
      <c r="P22" s="25" t="n">
        <v>41</v>
      </c>
      <c r="Q22" s="25" t="n">
        <v>59</v>
      </c>
      <c r="R22" s="25" t="n">
        <v>5</v>
      </c>
      <c r="S22" s="25" t="n">
        <v>54</v>
      </c>
      <c r="T22" s="25" t="n">
        <v>143</v>
      </c>
      <c r="U22" s="25" t="n">
        <v>11</v>
      </c>
      <c r="V22" s="25" t="n">
        <v>132</v>
      </c>
      <c r="W22" s="25" t="n">
        <v>823</v>
      </c>
      <c r="X22" s="25" t="n">
        <v>145</v>
      </c>
      <c r="Y22" s="25" t="n">
        <v>678</v>
      </c>
      <c r="Z22" s="25" t="n">
        <v>1465</v>
      </c>
      <c r="AA22" s="25" t="n">
        <v>1029</v>
      </c>
      <c r="AB22" s="25" t="n">
        <v>436</v>
      </c>
      <c r="AC22" s="26">
        <f>IF(B22=C22+D22,"✓","✗")</f>
        <v/>
      </c>
    </row>
    <row r="23">
      <c r="A23" s="21" t="inlineStr">
        <is>
          <t>Agar</t>
        </is>
      </c>
      <c r="B23" s="22" t="n">
        <v>61681</v>
      </c>
      <c r="C23" s="22" t="n">
        <v>30549</v>
      </c>
      <c r="D23" s="22" t="n">
        <v>31132</v>
      </c>
      <c r="E23" s="22" t="n">
        <v>5</v>
      </c>
      <c r="F23" s="22" t="n">
        <v>0</v>
      </c>
      <c r="G23" s="22" t="n">
        <v>5</v>
      </c>
      <c r="H23" s="22" t="n">
        <v>14</v>
      </c>
      <c r="I23" s="22" t="n">
        <v>0</v>
      </c>
      <c r="J23" s="22" t="n">
        <v>14</v>
      </c>
      <c r="K23" s="22" t="n">
        <v>51</v>
      </c>
      <c r="L23" s="22" t="n">
        <v>1</v>
      </c>
      <c r="M23" s="22" t="n">
        <v>50</v>
      </c>
      <c r="N23" s="22" t="n">
        <v>59</v>
      </c>
      <c r="O23" s="22" t="n">
        <v>1</v>
      </c>
      <c r="P23" s="22" t="n">
        <v>58</v>
      </c>
      <c r="Q23" s="22" t="n">
        <v>21</v>
      </c>
      <c r="R23" s="22" t="n">
        <v>1</v>
      </c>
      <c r="S23" s="22" t="n">
        <v>20</v>
      </c>
      <c r="T23" s="22" t="n">
        <v>150</v>
      </c>
      <c r="U23" s="22" t="n">
        <v>3</v>
      </c>
      <c r="V23" s="22" t="n">
        <v>147</v>
      </c>
      <c r="W23" s="22" t="n">
        <v>1705</v>
      </c>
      <c r="X23" s="22" t="n">
        <v>372</v>
      </c>
      <c r="Y23" s="22" t="n">
        <v>1333</v>
      </c>
      <c r="Z23" s="22" t="n">
        <v>5985</v>
      </c>
      <c r="AA23" s="22" t="n">
        <v>1135</v>
      </c>
      <c r="AB23" s="22" t="n">
        <v>4850</v>
      </c>
      <c r="AC23" s="23">
        <f>IF(B23=C23+D23,"✓","✗")</f>
        <v/>
      </c>
    </row>
    <row r="24">
      <c r="A24" s="24" t="inlineStr">
        <is>
          <t>Shajapur</t>
        </is>
      </c>
      <c r="B24" s="25" t="n">
        <v>109740</v>
      </c>
      <c r="C24" s="25" t="n">
        <v>51814</v>
      </c>
      <c r="D24" s="25" t="n">
        <v>57926</v>
      </c>
      <c r="E24" s="25" t="n">
        <v>33</v>
      </c>
      <c r="F24" s="25" t="n">
        <v>15</v>
      </c>
      <c r="G24" s="25" t="n">
        <v>18</v>
      </c>
      <c r="H24" s="25" t="n">
        <v>44</v>
      </c>
      <c r="I24" s="25" t="n">
        <v>5</v>
      </c>
      <c r="J24" s="25" t="n">
        <v>39</v>
      </c>
      <c r="K24" s="25" t="n">
        <v>75</v>
      </c>
      <c r="L24" s="25" t="n">
        <v>8</v>
      </c>
      <c r="M24" s="25" t="n">
        <v>67</v>
      </c>
      <c r="N24" s="25" t="n">
        <v>85</v>
      </c>
      <c r="O24" s="25" t="n">
        <v>12</v>
      </c>
      <c r="P24" s="25" t="n">
        <v>73</v>
      </c>
      <c r="Q24" s="25" t="n">
        <v>72</v>
      </c>
      <c r="R24" s="25" t="n">
        <v>15</v>
      </c>
      <c r="S24" s="25" t="n">
        <v>57</v>
      </c>
      <c r="T24" s="25" t="n">
        <v>306</v>
      </c>
      <c r="U24" s="25" t="n">
        <v>55</v>
      </c>
      <c r="V24" s="25" t="n">
        <v>251</v>
      </c>
      <c r="W24" s="25" t="n">
        <v>2075</v>
      </c>
      <c r="X24" s="25" t="n">
        <v>524</v>
      </c>
      <c r="Y24" s="25" t="n">
        <v>1551</v>
      </c>
      <c r="Z24" s="25" t="n">
        <v>7575</v>
      </c>
      <c r="AA24" s="25" t="n">
        <v>1952</v>
      </c>
      <c r="AB24" s="25" t="n">
        <v>5623</v>
      </c>
      <c r="AC24" s="26">
        <f>IF(B24=C24+D24,"✓","✗")</f>
        <v/>
      </c>
    </row>
    <row r="25">
      <c r="A25" s="21" t="inlineStr">
        <is>
          <t>Amjhera</t>
        </is>
      </c>
      <c r="B25" s="22" t="n">
        <v>47264</v>
      </c>
      <c r="C25" s="22" t="n">
        <v>23864</v>
      </c>
      <c r="D25" s="22" t="n">
        <v>23400</v>
      </c>
      <c r="E25" s="22" t="n">
        <v>64</v>
      </c>
      <c r="F25" s="22" t="n">
        <v>0</v>
      </c>
      <c r="G25" s="22" t="n">
        <v>64</v>
      </c>
      <c r="H25" s="22" t="n">
        <v>439</v>
      </c>
      <c r="I25" s="22" t="n">
        <v>0</v>
      </c>
      <c r="J25" s="22" t="n">
        <v>439</v>
      </c>
      <c r="K25" s="22" t="n">
        <v>251</v>
      </c>
      <c r="L25" s="22" t="n">
        <v>0</v>
      </c>
      <c r="M25" s="22" t="n">
        <v>251</v>
      </c>
      <c r="N25" s="22" t="n">
        <v>118</v>
      </c>
      <c r="O25" s="22" t="n">
        <v>16</v>
      </c>
      <c r="P25" s="22" t="n">
        <v>102</v>
      </c>
      <c r="Q25" s="22" t="n">
        <v>654</v>
      </c>
      <c r="R25" s="22" t="n">
        <v>18</v>
      </c>
      <c r="S25" s="22" t="n">
        <v>636</v>
      </c>
      <c r="T25" s="22" t="n">
        <v>1523</v>
      </c>
      <c r="U25" s="22" t="n">
        <v>31</v>
      </c>
      <c r="V25" s="22" t="n">
        <v>1492</v>
      </c>
      <c r="W25" s="22" t="n">
        <v>1800</v>
      </c>
      <c r="X25" s="22" t="n">
        <v>1265</v>
      </c>
      <c r="Y25" s="22" t="n">
        <v>535</v>
      </c>
      <c r="Z25" s="22" t="n">
        <v>4351</v>
      </c>
      <c r="AA25" s="22" t="n">
        <v>1445</v>
      </c>
      <c r="AB25" s="22" t="n">
        <v>2906</v>
      </c>
      <c r="AC25" s="23">
        <f>IF(B25=C25+D25,"✓","✗")</f>
        <v/>
      </c>
    </row>
    <row r="26">
      <c r="A26" s="24" t="inlineStr">
        <is>
          <t>Total</t>
        </is>
      </c>
      <c r="B26" s="25" t="n">
        <v>1369640</v>
      </c>
      <c r="C26" s="25" t="n">
        <v>692895</v>
      </c>
      <c r="D26" s="25" t="n">
        <v>676745</v>
      </c>
      <c r="E26" s="25" t="n">
        <v>133</v>
      </c>
      <c r="F26" s="25" t="n">
        <v>22</v>
      </c>
      <c r="G26" s="25" t="n">
        <v>111</v>
      </c>
      <c r="H26" s="25" t="n">
        <v>560</v>
      </c>
      <c r="I26" s="25" t="n">
        <v>15</v>
      </c>
      <c r="J26" s="25" t="n">
        <v>545</v>
      </c>
      <c r="K26" s="25" t="n">
        <v>518</v>
      </c>
      <c r="L26" s="25" t="n">
        <v>38</v>
      </c>
      <c r="M26" s="25" t="n">
        <v>480</v>
      </c>
      <c r="N26" s="25" t="n">
        <v>465</v>
      </c>
      <c r="O26" s="25" t="n">
        <v>74</v>
      </c>
      <c r="P26" s="25" t="n">
        <v>391</v>
      </c>
      <c r="Q26" s="25" t="n">
        <v>1140</v>
      </c>
      <c r="R26" s="25" t="n">
        <v>112</v>
      </c>
      <c r="S26" s="25" t="n">
        <v>1028</v>
      </c>
      <c r="T26" s="25" t="n">
        <v>2816</v>
      </c>
      <c r="U26" s="25" t="n">
        <v>261</v>
      </c>
      <c r="V26" s="25" t="n">
        <v>2555</v>
      </c>
      <c r="W26" s="25" t="n">
        <v>9220</v>
      </c>
      <c r="X26" s="25" t="n">
        <v>3036</v>
      </c>
      <c r="Y26" s="25" t="n">
        <v>6184</v>
      </c>
      <c r="Z26" s="25" t="n">
        <v>30270</v>
      </c>
      <c r="AA26" s="25" t="n">
        <v>8556</v>
      </c>
      <c r="AB26" s="25" t="n">
        <v>21714</v>
      </c>
      <c r="AC26" s="26">
        <f>IF(B26=C26+D26,"✓","✗")</f>
        <v/>
      </c>
    </row>
    <row r="27">
      <c r="A27" s="21" t="inlineStr">
        <is>
          <t>Grand Total</t>
        </is>
      </c>
      <c r="B27" s="22" t="n">
        <v>1369640</v>
      </c>
      <c r="C27" s="22" t="n">
        <v>692895</v>
      </c>
      <c r="D27" s="22" t="n">
        <v>676745</v>
      </c>
      <c r="E27" s="22" t="n">
        <v>336</v>
      </c>
      <c r="F27" s="22" t="n">
        <v>123</v>
      </c>
      <c r="G27" s="22" t="n">
        <v>213</v>
      </c>
      <c r="H27" s="22" t="n">
        <v>824</v>
      </c>
      <c r="I27" s="22" t="n">
        <v>159</v>
      </c>
      <c r="J27" s="22" t="n">
        <v>665</v>
      </c>
      <c r="K27" s="22" t="n">
        <v>1111</v>
      </c>
      <c r="L27" s="22" t="n">
        <v>301</v>
      </c>
      <c r="M27" s="22" t="n">
        <v>810</v>
      </c>
      <c r="N27" s="22" t="n">
        <v>1160</v>
      </c>
      <c r="O27" s="22" t="n">
        <v>364</v>
      </c>
      <c r="P27" s="22" t="n">
        <v>796</v>
      </c>
      <c r="Q27" s="22" t="n">
        <v>2239</v>
      </c>
      <c r="R27" s="22" t="n">
        <v>679</v>
      </c>
      <c r="S27" s="22" t="n">
        <v>1560</v>
      </c>
      <c r="T27" s="22" t="n">
        <v>5670</v>
      </c>
      <c r="U27" s="22" t="n">
        <v>1626</v>
      </c>
      <c r="V27" s="22" t="n">
        <v>4044</v>
      </c>
      <c r="W27" s="22" t="n">
        <v>28756</v>
      </c>
      <c r="X27" s="22" t="n">
        <v>11654</v>
      </c>
      <c r="Y27" s="22" t="n">
        <v>17102</v>
      </c>
      <c r="Z27" s="22" t="n">
        <v>107837</v>
      </c>
      <c r="AA27" s="22" t="n">
        <v>43710</v>
      </c>
      <c r="AB27" s="22" t="n">
        <v>64127</v>
      </c>
      <c r="AC27" s="23">
        <f>IF(B27=C27+D27,"✓","✗")</f>
        <v/>
      </c>
    </row>
    <row r="28">
      <c r="A28" s="27" t="inlineStr">
        <is>
          <t>Verify: Sum</t>
        </is>
      </c>
      <c r="B28" s="28">
        <f>IF(SUM(B7:B27)=B6,"✓",SUM(B7:B27)-B6)</f>
        <v/>
      </c>
      <c r="C28" s="28">
        <f>IF(SUM(C7:C27)=C6,"✓",SUM(C7:C27)-C6)</f>
        <v/>
      </c>
      <c r="D28" s="28">
        <f>IF(SUM(D7:D27)=D6,"✓",SUM(D7:D27)-D6)</f>
        <v/>
      </c>
      <c r="E28" s="28">
        <f>IF(SUM(E7:E27)=E6,"✓",SUM(E7:E27)-E6)</f>
        <v/>
      </c>
      <c r="F28" s="28">
        <f>IF(SUM(F7:F27)=F6,"✓",SUM(F7:F27)-F6)</f>
        <v/>
      </c>
      <c r="G28" s="28">
        <f>IF(SUM(G7:G27)=G6,"✓",SUM(G7:G27)-G6)</f>
        <v/>
      </c>
      <c r="H28" s="28">
        <f>IF(SUM(H7:H27)=H6,"✓",SUM(H7:H27)-H6)</f>
        <v/>
      </c>
      <c r="I28" s="28">
        <f>IF(SUM(I7:I27)=I6,"✓",SUM(I7:I27)-I6)</f>
        <v/>
      </c>
      <c r="J28" s="28">
        <f>IF(SUM(J7:J27)=J6,"✓",SUM(J7:J27)-J6)</f>
        <v/>
      </c>
      <c r="K28" s="28">
        <f>IF(SUM(K7:K27)=K6,"✓",SUM(K7:K27)-K6)</f>
        <v/>
      </c>
      <c r="L28" s="28">
        <f>IF(SUM(L7:L27)=L6,"✓",SUM(L7:L27)-L6)</f>
        <v/>
      </c>
      <c r="M28" s="28">
        <f>IF(SUM(M7:M27)=M6,"✓",SUM(M7:M27)-M6)</f>
        <v/>
      </c>
      <c r="N28" s="28">
        <f>IF(SUM(N7:N27)=N6,"✓",SUM(N7:N27)-N6)</f>
        <v/>
      </c>
      <c r="O28" s="28">
        <f>IF(SUM(O7:O27)=O6,"✓",SUM(O7:O27)-O6)</f>
        <v/>
      </c>
      <c r="P28" s="28">
        <f>IF(SUM(P7:P27)=P6,"✓",SUM(P7:P27)-P6)</f>
        <v/>
      </c>
      <c r="Q28" s="28">
        <f>IF(SUM(Q7:Q27)=Q6,"✓",SUM(Q7:Q27)-Q6)</f>
        <v/>
      </c>
      <c r="R28" s="28">
        <f>IF(SUM(R7:R27)=R6,"✓",SUM(R7:R27)-R6)</f>
        <v/>
      </c>
      <c r="S28" s="28">
        <f>IF(SUM(S7:S27)=S6,"✓",SUM(S7:S27)-S6)</f>
        <v/>
      </c>
      <c r="T28" s="28">
        <f>IF(SUM(T7:T27)=T6,"✓",SUM(T7:T27)-T6)</f>
        <v/>
      </c>
      <c r="U28" s="28">
        <f>IF(SUM(U7:U27)=U6,"✓",SUM(U7:U27)-U6)</f>
        <v/>
      </c>
      <c r="V28" s="28">
        <f>IF(SUM(V7:V27)=V6,"✓",SUM(V7:V27)-V6)</f>
        <v/>
      </c>
      <c r="W28" s="28">
        <f>IF(SUM(W7:W27)=W6,"✓",SUM(W7:W27)-W6)</f>
        <v/>
      </c>
      <c r="X28" s="28">
        <f>IF(SUM(X7:X27)=X6,"✓",SUM(X7:X27)-X6)</f>
        <v/>
      </c>
      <c r="Y28" s="28">
        <f>IF(SUM(Y7:Y27)=Y6,"✓",SUM(Y7:Y27)-Y6)</f>
        <v/>
      </c>
      <c r="Z28" s="28">
        <f>IF(SUM(Z7:Z27)=Z6,"✓",SUM(Z7:Z27)-Z6)</f>
        <v/>
      </c>
      <c r="AA28" s="28">
        <f>IF(SUM(AA7:AA27)=AA6,"✓",SUM(AA7:AA27)-AA6)</f>
        <v/>
      </c>
      <c r="AB28" s="28">
        <f>IF(SUM(AB7:AB27)=AB6,"✓",SUM(AB7:AB27)-AB6)</f>
        <v/>
      </c>
    </row>
  </sheetData>
  <mergeCells count="9">
    <mergeCell ref="K4:M4"/>
    <mergeCell ref="B4:D4"/>
    <mergeCell ref="H4:J4"/>
    <mergeCell ref="Q4:S4"/>
    <mergeCell ref="T4:V4"/>
    <mergeCell ref="W4:Y4"/>
    <mergeCell ref="E4:G4"/>
    <mergeCell ref="Z4:AB4"/>
    <mergeCell ref="N4:P4"/>
  </mergeCells>
  <conditionalFormatting sqref="AC6:AC2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7" customWidth="1" min="29" max="29"/>
  </cols>
  <sheetData>
    <row r="1">
      <c r="A1" s="29" t="inlineStr">
        <is>
          <t>Imperial Table No. VII. Age, Sex and Civil Condition. All Religions.</t>
        </is>
      </c>
    </row>
    <row r="2">
      <c r="A2" s="3" t="inlineStr">
        <is>
          <t>Imperial Table No. VII. Age, Sex and Civil Condition. All Religions.</t>
        </is>
      </c>
    </row>
    <row r="3">
      <c r="A3" s="4" t="inlineStr">
        <is>
          <t>Districts.</t>
        </is>
      </c>
      <c r="B3" s="5" t="inlineStr">
        <is>
          <t>TOTAL MARRIED.</t>
        </is>
      </c>
      <c r="C3" s="6" t="n"/>
      <c r="D3" s="6" t="n"/>
      <c r="E3" s="7" t="inlineStr">
        <is>
          <t>0-1.</t>
        </is>
      </c>
      <c r="F3" s="8" t="n"/>
      <c r="G3" s="8" t="n"/>
      <c r="H3" s="9" t="inlineStr">
        <is>
          <t>1-2.</t>
        </is>
      </c>
      <c r="I3" s="10" t="n"/>
      <c r="J3" s="10" t="n"/>
      <c r="K3" s="11" t="inlineStr">
        <is>
          <t>2-3.</t>
        </is>
      </c>
      <c r="L3" s="12" t="n"/>
      <c r="M3" s="12" t="n"/>
      <c r="N3" s="13" t="inlineStr">
        <is>
          <t>3-4.</t>
        </is>
      </c>
      <c r="O3" s="14" t="n"/>
      <c r="P3" s="14" t="n"/>
      <c r="Q3" s="5" t="inlineStr">
        <is>
          <t>4-5.</t>
        </is>
      </c>
      <c r="R3" s="6" t="n"/>
      <c r="S3" s="6" t="n"/>
      <c r="T3" s="7" t="inlineStr">
        <is>
          <t>Total 0-5.</t>
        </is>
      </c>
      <c r="U3" s="8" t="n"/>
      <c r="V3" s="8" t="n"/>
      <c r="W3" s="9" t="inlineStr">
        <is>
          <t>5-10.</t>
        </is>
      </c>
      <c r="X3" s="10" t="n"/>
      <c r="Y3" s="10" t="n"/>
      <c r="Z3" s="11" t="inlineStr">
        <is>
          <t>10-15.</t>
        </is>
      </c>
      <c r="AA3" s="12" t="n"/>
      <c r="AB3" s="12" t="n"/>
      <c r="AC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Persons</t>
        </is>
      </c>
      <c r="AA4" s="17" t="inlineStr">
        <is>
          <t>Males</t>
        </is>
      </c>
      <c r="AB4" s="17" t="inlineStr">
        <is>
          <t>Females</t>
        </is>
      </c>
      <c r="AC4" s="17" t="inlineStr">
        <is>
          <t>M+F=P</t>
        </is>
      </c>
    </row>
    <row r="5">
      <c r="A5" s="18" t="inlineStr">
        <is>
          <t>Total</t>
        </is>
      </c>
      <c r="B5" s="19" t="n">
        <v>1369640</v>
      </c>
      <c r="C5" s="19" t="n">
        <v>692895</v>
      </c>
      <c r="D5" s="19" t="n">
        <v>676745</v>
      </c>
      <c r="E5" s="19" t="n">
        <v>133</v>
      </c>
      <c r="F5" s="19" t="n">
        <v>22</v>
      </c>
      <c r="G5" s="19" t="n">
        <v>111</v>
      </c>
      <c r="H5" s="19" t="n">
        <v>560</v>
      </c>
      <c r="I5" s="19" t="n">
        <v>15</v>
      </c>
      <c r="J5" s="19" t="n">
        <v>545</v>
      </c>
      <c r="K5" s="19" t="n">
        <v>518</v>
      </c>
      <c r="L5" s="19" t="n">
        <v>38</v>
      </c>
      <c r="M5" s="19" t="n">
        <v>480</v>
      </c>
      <c r="N5" s="19" t="n">
        <v>465</v>
      </c>
      <c r="O5" s="19" t="n">
        <v>74</v>
      </c>
      <c r="P5" s="19" t="n">
        <v>391</v>
      </c>
      <c r="Q5" s="19" t="n">
        <v>1140</v>
      </c>
      <c r="R5" s="19" t="n">
        <v>112</v>
      </c>
      <c r="S5" s="19" t="n">
        <v>1028</v>
      </c>
      <c r="T5" s="19" t="n">
        <v>2816</v>
      </c>
      <c r="U5" s="19" t="n">
        <v>261</v>
      </c>
      <c r="V5" s="19" t="n">
        <v>2555</v>
      </c>
      <c r="W5" s="19" t="n">
        <v>9220</v>
      </c>
      <c r="X5" s="19" t="n">
        <v>3036</v>
      </c>
      <c r="Y5" s="19" t="n">
        <v>6184</v>
      </c>
      <c r="Z5" s="19" t="n">
        <v>30270</v>
      </c>
      <c r="AA5" s="19" t="n">
        <v>8556</v>
      </c>
      <c r="AB5" s="19" t="n">
        <v>21714</v>
      </c>
      <c r="AC5" s="20">
        <f>IF(B5=C5+D5,"✓","✗")</f>
        <v/>
      </c>
    </row>
    <row r="6">
      <c r="A6" s="21" t="inlineStr">
        <is>
          <t>Gwalior Prant-Gwalior</t>
        </is>
      </c>
      <c r="B6" s="22" t="n">
        <v>143207</v>
      </c>
      <c r="C6" s="22" t="n">
        <v>74959</v>
      </c>
      <c r="D6" s="22" t="n">
        <v>68248</v>
      </c>
      <c r="E6" s="22" t="n">
        <v>17</v>
      </c>
      <c r="F6" s="22" t="n">
        <v>6</v>
      </c>
      <c r="G6" s="22" t="n">
        <v>11</v>
      </c>
      <c r="H6" s="22" t="n">
        <v>16</v>
      </c>
      <c r="I6" s="22" t="n">
        <v>7</v>
      </c>
      <c r="J6" s="22" t="n">
        <v>9</v>
      </c>
      <c r="K6" s="22" t="n">
        <v>47</v>
      </c>
      <c r="L6" s="22" t="n">
        <v>13</v>
      </c>
      <c r="M6" s="22" t="n">
        <v>34</v>
      </c>
      <c r="N6" s="22" t="n">
        <v>70</v>
      </c>
      <c r="O6" s="22" t="n">
        <v>43</v>
      </c>
      <c r="P6" s="22" t="n">
        <v>27</v>
      </c>
      <c r="Q6" s="22" t="n">
        <v>94</v>
      </c>
      <c r="R6" s="22" t="n">
        <v>54</v>
      </c>
      <c r="S6" s="22" t="n">
        <v>40</v>
      </c>
      <c r="T6" s="22" t="n">
        <v>244</v>
      </c>
      <c r="U6" s="22" t="n">
        <v>123</v>
      </c>
      <c r="V6" s="22" t="n">
        <v>121</v>
      </c>
      <c r="W6" s="22" t="n">
        <v>2028</v>
      </c>
      <c r="X6" s="22" t="n">
        <v>442</v>
      </c>
      <c r="Y6" s="22" t="n">
        <v>1586</v>
      </c>
      <c r="Z6" s="22" t="n">
        <v>10667</v>
      </c>
      <c r="AA6" s="22" t="n">
        <v>2618</v>
      </c>
      <c r="AB6" s="22" t="n">
        <v>8049</v>
      </c>
      <c r="AC6" s="23">
        <f>IF(B6=C6+D6,"✓","✗")</f>
        <v/>
      </c>
    </row>
    <row r="7">
      <c r="A7" s="24" t="inlineStr">
        <is>
          <t>Susera</t>
        </is>
      </c>
      <c r="B7" s="25" t="n">
        <v>2027</v>
      </c>
      <c r="C7" s="25" t="n">
        <v>1050</v>
      </c>
      <c r="D7" s="25" t="n">
        <v>977</v>
      </c>
      <c r="E7" s="25" t="n">
        <v>1</v>
      </c>
      <c r="F7" s="25" t="n">
        <v>0</v>
      </c>
      <c r="G7" s="25" t="n">
        <v>1</v>
      </c>
      <c r="H7" s="25" t="n">
        <v>1</v>
      </c>
      <c r="I7" s="25" t="n">
        <v>0</v>
      </c>
      <c r="J7" s="25" t="n">
        <v>1</v>
      </c>
      <c r="K7" s="25" t="n">
        <v>5</v>
      </c>
      <c r="L7" s="25" t="n">
        <v>2</v>
      </c>
      <c r="M7" s="25" t="n">
        <v>3</v>
      </c>
      <c r="N7" s="25" t="n">
        <v>2</v>
      </c>
      <c r="O7" s="25" t="n">
        <v>1</v>
      </c>
      <c r="P7" s="25" t="n">
        <v>1</v>
      </c>
      <c r="Q7" s="25" t="n">
        <v>2</v>
      </c>
      <c r="R7" s="25" t="n">
        <v>2</v>
      </c>
      <c r="S7" s="25" t="n">
        <v>0</v>
      </c>
      <c r="T7" s="25" t="n">
        <v>11</v>
      </c>
      <c r="U7" s="25" t="n">
        <v>5</v>
      </c>
      <c r="V7" s="25" t="n">
        <v>6</v>
      </c>
      <c r="W7" s="25" t="n">
        <v>47</v>
      </c>
      <c r="X7" s="25" t="n">
        <v>11</v>
      </c>
      <c r="Y7" s="25" t="n">
        <v>36</v>
      </c>
      <c r="Z7" s="25" t="n">
        <v>145</v>
      </c>
      <c r="AA7" s="25" t="n">
        <v>39</v>
      </c>
      <c r="AB7" s="25" t="n">
        <v>106</v>
      </c>
      <c r="AC7" s="26">
        <f>IF(B7=C7+D7,"✓","✗")</f>
        <v/>
      </c>
    </row>
    <row r="8">
      <c r="A8" s="21" t="inlineStr">
        <is>
          <t>Sikarwari</t>
        </is>
      </c>
      <c r="B8" s="22" t="n">
        <v>91138</v>
      </c>
      <c r="C8" s="22" t="n">
        <v>43824</v>
      </c>
      <c r="D8" s="22" t="n">
        <v>47314</v>
      </c>
      <c r="E8" s="22" t="n">
        <v>25</v>
      </c>
      <c r="F8" s="22" t="n">
        <v>5</v>
      </c>
      <c r="G8" s="22" t="n">
        <v>20</v>
      </c>
      <c r="H8" s="22" t="n">
        <v>22</v>
      </c>
      <c r="I8" s="22" t="n">
        <v>6</v>
      </c>
      <c r="J8" s="22" t="n">
        <v>16</v>
      </c>
      <c r="K8" s="22" t="n">
        <v>49</v>
      </c>
      <c r="L8" s="22" t="n">
        <v>16</v>
      </c>
      <c r="M8" s="22" t="n">
        <v>33</v>
      </c>
      <c r="N8" s="22" t="n">
        <v>40</v>
      </c>
      <c r="O8" s="22" t="n">
        <v>10</v>
      </c>
      <c r="P8" s="22" t="n">
        <v>30</v>
      </c>
      <c r="Q8" s="22" t="n">
        <v>85</v>
      </c>
      <c r="R8" s="22" t="n">
        <v>47</v>
      </c>
      <c r="S8" s="22" t="n">
        <v>38</v>
      </c>
      <c r="T8" s="22" t="n">
        <v>221</v>
      </c>
      <c r="U8" s="22" t="n">
        <v>84</v>
      </c>
      <c r="V8" s="22" t="n">
        <v>137</v>
      </c>
      <c r="W8" s="22" t="n">
        <v>1429</v>
      </c>
      <c r="X8" s="22" t="n">
        <v>415</v>
      </c>
      <c r="Y8" s="22" t="n">
        <v>1014</v>
      </c>
      <c r="Z8" s="22" t="n">
        <v>7081</v>
      </c>
      <c r="AA8" s="22" t="n">
        <v>2249</v>
      </c>
      <c r="AB8" s="22" t="n">
        <v>4832</v>
      </c>
      <c r="AC8" s="23">
        <f>IF(B8=C8+D8,"✓","✗")</f>
        <v/>
      </c>
    </row>
    <row r="9">
      <c r="A9" s="24" t="inlineStr">
        <is>
          <t>Sabalgarh</t>
        </is>
      </c>
      <c r="B9" s="25" t="n">
        <v>54707</v>
      </c>
      <c r="C9" s="25" t="n">
        <v>27432</v>
      </c>
      <c r="D9" s="25" t="n">
        <v>27275</v>
      </c>
      <c r="E9" s="25" t="n">
        <v>8</v>
      </c>
      <c r="F9" s="25" t="n">
        <v>0</v>
      </c>
      <c r="G9" s="25" t="n">
        <v>8</v>
      </c>
      <c r="H9" s="25" t="n">
        <v>6</v>
      </c>
      <c r="I9" s="25" t="n">
        <v>0</v>
      </c>
      <c r="J9" s="25" t="n">
        <v>6</v>
      </c>
      <c r="K9" s="25" t="n">
        <v>43</v>
      </c>
      <c r="L9" s="25" t="n">
        <v>15</v>
      </c>
      <c r="M9" s="25" t="n">
        <v>28</v>
      </c>
      <c r="N9" s="25" t="n">
        <v>37</v>
      </c>
      <c r="O9" s="25" t="n">
        <v>1</v>
      </c>
      <c r="P9" s="25" t="n">
        <v>36</v>
      </c>
      <c r="Q9" s="25" t="n">
        <v>43</v>
      </c>
      <c r="R9" s="25" t="n">
        <v>13</v>
      </c>
      <c r="S9" s="25" t="n">
        <v>30</v>
      </c>
      <c r="T9" s="25" t="n">
        <v>137</v>
      </c>
      <c r="U9" s="25" t="n">
        <v>29</v>
      </c>
      <c r="V9" s="25" t="n">
        <v>108</v>
      </c>
      <c r="W9" s="25" t="n">
        <v>872</v>
      </c>
      <c r="X9" s="25" t="n">
        <v>254</v>
      </c>
      <c r="Y9" s="25" t="n">
        <v>618</v>
      </c>
      <c r="Z9" s="25" t="n">
        <v>4075</v>
      </c>
      <c r="AA9" s="25" t="n">
        <v>1346</v>
      </c>
      <c r="AB9" s="25" t="n">
        <v>2729</v>
      </c>
      <c r="AC9" s="26">
        <f>IF(B9=C9+D9,"✓","✗")</f>
        <v/>
      </c>
    </row>
    <row r="10">
      <c r="A10" s="21" t="inlineStr">
        <is>
          <t>Tawarghar</t>
        </is>
      </c>
      <c r="B10" s="22" t="n">
        <v>87648</v>
      </c>
      <c r="C10" s="22" t="n">
        <v>44036</v>
      </c>
      <c r="D10" s="22" t="n">
        <v>43612</v>
      </c>
      <c r="E10" s="22" t="n">
        <v>19</v>
      </c>
      <c r="F10" s="22" t="n">
        <v>5</v>
      </c>
      <c r="G10" s="22" t="n">
        <v>14</v>
      </c>
      <c r="H10" s="22" t="n">
        <v>39</v>
      </c>
      <c r="I10" s="22" t="n">
        <v>17</v>
      </c>
      <c r="J10" s="22" t="n">
        <v>22</v>
      </c>
      <c r="K10" s="22" t="n">
        <v>74</v>
      </c>
      <c r="L10" s="22" t="n">
        <v>26</v>
      </c>
      <c r="M10" s="22" t="n">
        <v>48</v>
      </c>
      <c r="N10" s="22" t="n">
        <v>60</v>
      </c>
      <c r="O10" s="22" t="n">
        <v>25</v>
      </c>
      <c r="P10" s="22" t="n">
        <v>35</v>
      </c>
      <c r="Q10" s="22" t="n">
        <v>88</v>
      </c>
      <c r="R10" s="22" t="n">
        <v>44</v>
      </c>
      <c r="S10" s="22" t="n">
        <v>44</v>
      </c>
      <c r="T10" s="22" t="n">
        <v>280</v>
      </c>
      <c r="U10" s="22" t="n">
        <v>117</v>
      </c>
      <c r="V10" s="22" t="n">
        <v>163</v>
      </c>
      <c r="W10" s="22" t="n">
        <v>1843</v>
      </c>
      <c r="X10" s="22" t="n">
        <v>560</v>
      </c>
      <c r="Y10" s="22" t="n">
        <v>1283</v>
      </c>
      <c r="Z10" s="22" t="n">
        <v>6648</v>
      </c>
      <c r="AA10" s="22" t="n">
        <v>2220</v>
      </c>
      <c r="AB10" s="22" t="n">
        <v>4428</v>
      </c>
      <c r="AC10" s="23">
        <f>IF(B10=C10+D10,"✓","✗")</f>
        <v/>
      </c>
    </row>
    <row r="11">
      <c r="A11" s="24" t="inlineStr">
        <is>
          <t>Bhind</t>
        </is>
      </c>
      <c r="B11" s="25" t="n">
        <v>109284</v>
      </c>
      <c r="C11" s="25" t="n">
        <v>54138</v>
      </c>
      <c r="D11" s="25" t="n">
        <v>55146</v>
      </c>
      <c r="E11" s="25" t="n">
        <v>27</v>
      </c>
      <c r="F11" s="25" t="n">
        <v>22</v>
      </c>
      <c r="G11" s="25" t="n">
        <v>5</v>
      </c>
      <c r="H11" s="25" t="n">
        <v>19</v>
      </c>
      <c r="I11" s="25" t="n">
        <v>10</v>
      </c>
      <c r="J11" s="25" t="n">
        <v>9</v>
      </c>
      <c r="K11" s="25" t="n">
        <v>30</v>
      </c>
      <c r="L11" s="25" t="n">
        <v>18</v>
      </c>
      <c r="M11" s="25" t="n">
        <v>12</v>
      </c>
      <c r="N11" s="25" t="n">
        <v>34</v>
      </c>
      <c r="O11" s="25" t="n">
        <v>18</v>
      </c>
      <c r="P11" s="25" t="n">
        <v>16</v>
      </c>
      <c r="Q11" s="25" t="n">
        <v>90</v>
      </c>
      <c r="R11" s="25" t="n">
        <v>51</v>
      </c>
      <c r="S11" s="25" t="n">
        <v>39</v>
      </c>
      <c r="T11" s="25" t="n">
        <v>200</v>
      </c>
      <c r="U11" s="25" t="n">
        <v>119</v>
      </c>
      <c r="V11" s="25" t="n">
        <v>81</v>
      </c>
      <c r="W11" s="25" t="n">
        <v>3279</v>
      </c>
      <c r="X11" s="25" t="n">
        <v>1252</v>
      </c>
      <c r="Y11" s="25" t="n">
        <v>2027</v>
      </c>
      <c r="Z11" s="25" t="n">
        <v>10824</v>
      </c>
      <c r="AA11" s="25" t="n">
        <v>3647</v>
      </c>
      <c r="AB11" s="25" t="n">
        <v>7177</v>
      </c>
      <c r="AC11" s="26">
        <f>IF(B11=C11+D11,"✓","✗")</f>
        <v/>
      </c>
    </row>
    <row r="12">
      <c r="A12" s="21" t="inlineStr">
        <is>
          <t>Bhander</t>
        </is>
      </c>
      <c r="B12" s="22" t="n">
        <v>80610</v>
      </c>
      <c r="C12" s="22" t="n">
        <v>40170</v>
      </c>
      <c r="D12" s="22" t="n">
        <v>40440</v>
      </c>
      <c r="E12" s="22" t="n">
        <v>10</v>
      </c>
      <c r="F12" s="22" t="n">
        <v>2</v>
      </c>
      <c r="G12" s="22" t="n">
        <v>8</v>
      </c>
      <c r="H12" s="22" t="n">
        <v>16</v>
      </c>
      <c r="I12" s="22" t="n">
        <v>7</v>
      </c>
      <c r="J12" s="22" t="n">
        <v>9</v>
      </c>
      <c r="K12" s="22" t="n">
        <v>33</v>
      </c>
      <c r="L12" s="22" t="n">
        <v>12</v>
      </c>
      <c r="M12" s="22" t="n">
        <v>21</v>
      </c>
      <c r="N12" s="22" t="n">
        <v>24</v>
      </c>
      <c r="O12" s="22" t="n">
        <v>17</v>
      </c>
      <c r="P12" s="22" t="n">
        <v>7</v>
      </c>
      <c r="Q12" s="22" t="n">
        <v>68</v>
      </c>
      <c r="R12" s="22" t="n">
        <v>40</v>
      </c>
      <c r="S12" s="22" t="n">
        <v>28</v>
      </c>
      <c r="T12" s="22" t="n">
        <v>151</v>
      </c>
      <c r="U12" s="22" t="n">
        <v>78</v>
      </c>
      <c r="V12" s="22" t="n">
        <v>73</v>
      </c>
      <c r="W12" s="22" t="n">
        <v>1888</v>
      </c>
      <c r="X12" s="22" t="n">
        <v>556</v>
      </c>
      <c r="Y12" s="22" t="n">
        <v>1332</v>
      </c>
      <c r="Z12" s="22" t="n">
        <v>7831</v>
      </c>
      <c r="AA12" s="22" t="n">
        <v>2548</v>
      </c>
      <c r="AB12" s="22" t="n">
        <v>5283</v>
      </c>
      <c r="AC12" s="23">
        <f>IF(B12=C12+D12,"✓","✗")</f>
        <v/>
      </c>
    </row>
    <row r="13">
      <c r="A13" s="24" t="inlineStr">
        <is>
          <t>Isagarh Prant-Isagarh</t>
        </is>
      </c>
      <c r="B13" s="25" t="n">
        <v>63746</v>
      </c>
      <c r="C13" s="25" t="n">
        <v>35271</v>
      </c>
      <c r="D13" s="25" t="n">
        <v>28475</v>
      </c>
      <c r="E13" s="25" t="n">
        <v>12</v>
      </c>
      <c r="F13" s="25" t="n">
        <v>8</v>
      </c>
      <c r="G13" s="25" t="n">
        <v>4</v>
      </c>
      <c r="H13" s="25" t="n">
        <v>9</v>
      </c>
      <c r="I13" s="25" t="n">
        <v>5</v>
      </c>
      <c r="J13" s="25" t="n">
        <v>4</v>
      </c>
      <c r="K13" s="25" t="n">
        <v>50</v>
      </c>
      <c r="L13" s="25" t="n">
        <v>42</v>
      </c>
      <c r="M13" s="25" t="n">
        <v>8</v>
      </c>
      <c r="N13" s="25" t="n">
        <v>46</v>
      </c>
      <c r="O13" s="25" t="n">
        <v>40</v>
      </c>
      <c r="P13" s="25" t="n">
        <v>6</v>
      </c>
      <c r="Q13" s="25" t="n">
        <v>61</v>
      </c>
      <c r="R13" s="25" t="n">
        <v>45</v>
      </c>
      <c r="S13" s="25" t="n">
        <v>16</v>
      </c>
      <c r="T13" s="25" t="n">
        <v>184</v>
      </c>
      <c r="U13" s="25" t="n">
        <v>146</v>
      </c>
      <c r="V13" s="25" t="n">
        <v>38</v>
      </c>
      <c r="W13" s="25" t="n">
        <v>2731</v>
      </c>
      <c r="X13" s="25" t="n">
        <v>2661</v>
      </c>
      <c r="Y13" s="25" t="n">
        <v>70</v>
      </c>
      <c r="Z13" s="25" t="n">
        <v>6432</v>
      </c>
      <c r="AA13" s="25" t="n">
        <v>5995</v>
      </c>
      <c r="AB13" s="25" t="n">
        <v>437</v>
      </c>
      <c r="AC13" s="26">
        <f>IF(B13=C13+D13,"✓","✗")</f>
        <v/>
      </c>
    </row>
    <row r="14">
      <c r="A14" s="21" t="inlineStr">
        <is>
          <t>Pichhor</t>
        </is>
      </c>
      <c r="B14" s="22" t="n">
        <v>112623</v>
      </c>
      <c r="C14" s="22" t="n">
        <v>57533</v>
      </c>
      <c r="D14" s="22" t="n">
        <v>55090</v>
      </c>
      <c r="E14" s="22" t="n">
        <v>2</v>
      </c>
      <c r="F14" s="22" t="n">
        <v>1</v>
      </c>
      <c r="G14" s="22" t="n">
        <v>1</v>
      </c>
      <c r="H14" s="22" t="n">
        <v>9</v>
      </c>
      <c r="I14" s="22" t="n">
        <v>9</v>
      </c>
      <c r="J14" s="22" t="n">
        <v>0</v>
      </c>
      <c r="K14" s="22" t="n">
        <v>36</v>
      </c>
      <c r="L14" s="22" t="n">
        <v>31</v>
      </c>
      <c r="M14" s="22" t="n">
        <v>5</v>
      </c>
      <c r="N14" s="22" t="n">
        <v>44</v>
      </c>
      <c r="O14" s="22" t="n">
        <v>42</v>
      </c>
      <c r="P14" s="22" t="n">
        <v>2</v>
      </c>
      <c r="Q14" s="22" t="n">
        <v>70</v>
      </c>
      <c r="R14" s="22" t="n">
        <v>60</v>
      </c>
      <c r="S14" s="22" t="n">
        <v>10</v>
      </c>
      <c r="T14" s="22" t="n">
        <v>161</v>
      </c>
      <c r="U14" s="22" t="n">
        <v>143</v>
      </c>
      <c r="V14" s="22" t="n">
        <v>18</v>
      </c>
      <c r="W14" s="22" t="n">
        <v>1212</v>
      </c>
      <c r="X14" s="22" t="n">
        <v>1026</v>
      </c>
      <c r="Y14" s="22" t="n">
        <v>186</v>
      </c>
      <c r="Z14" s="22" t="n">
        <v>10501</v>
      </c>
      <c r="AA14" s="22" t="n">
        <v>9899</v>
      </c>
      <c r="AB14" s="22" t="n">
        <v>602</v>
      </c>
      <c r="AC14" s="23">
        <f>IF(B14=C14+D14,"✓","✗")</f>
        <v/>
      </c>
    </row>
    <row r="15">
      <c r="A15" s="24" t="inlineStr">
        <is>
          <t>Bajrangarh</t>
        </is>
      </c>
      <c r="B15" s="25" t="n">
        <v>52340</v>
      </c>
      <c r="C15" s="25" t="n">
        <v>26016</v>
      </c>
      <c r="D15" s="25" t="n">
        <v>26324</v>
      </c>
      <c r="E15" s="25" t="n">
        <v>13</v>
      </c>
      <c r="F15" s="25" t="n">
        <v>9</v>
      </c>
      <c r="G15" s="25" t="n">
        <v>4</v>
      </c>
      <c r="H15" s="25" t="n">
        <v>7</v>
      </c>
      <c r="I15" s="25" t="n">
        <v>3</v>
      </c>
      <c r="J15" s="25" t="n">
        <v>4</v>
      </c>
      <c r="K15" s="25" t="n">
        <v>30</v>
      </c>
      <c r="L15" s="25" t="n">
        <v>23</v>
      </c>
      <c r="M15" s="25" t="n">
        <v>7</v>
      </c>
      <c r="N15" s="25" t="n">
        <v>29</v>
      </c>
      <c r="O15" s="25" t="n">
        <v>23</v>
      </c>
      <c r="P15" s="25" t="n">
        <v>6</v>
      </c>
      <c r="Q15" s="25" t="n">
        <v>50</v>
      </c>
      <c r="R15" s="25" t="n">
        <v>42</v>
      </c>
      <c r="S15" s="25" t="n">
        <v>8</v>
      </c>
      <c r="T15" s="25" t="n">
        <v>134</v>
      </c>
      <c r="U15" s="25" t="n">
        <v>105</v>
      </c>
      <c r="V15" s="25" t="n">
        <v>29</v>
      </c>
      <c r="W15" s="25" t="n">
        <v>453</v>
      </c>
      <c r="X15" s="25" t="n">
        <v>274</v>
      </c>
      <c r="Y15" s="25" t="n">
        <v>179</v>
      </c>
      <c r="Z15" s="25" t="n">
        <v>1473</v>
      </c>
      <c r="AA15" s="25" t="n">
        <v>962</v>
      </c>
      <c r="AB15" s="25" t="n">
        <v>511</v>
      </c>
      <c r="AC15" s="26">
        <f>IF(B15=C15+D15,"✓","✗")</f>
        <v/>
      </c>
    </row>
    <row r="16">
      <c r="A16" s="21" t="inlineStr">
        <is>
          <t>Bhilsa</t>
        </is>
      </c>
      <c r="B16" s="22" t="n">
        <v>51726</v>
      </c>
      <c r="C16" s="22" t="n">
        <v>25136</v>
      </c>
      <c r="D16" s="22" t="n">
        <v>26590</v>
      </c>
      <c r="E16" s="22" t="n">
        <v>19</v>
      </c>
      <c r="F16" s="22" t="n">
        <v>2</v>
      </c>
      <c r="G16" s="22" t="n">
        <v>17</v>
      </c>
      <c r="H16" s="22" t="n">
        <v>22</v>
      </c>
      <c r="I16" s="22" t="n">
        <v>8</v>
      </c>
      <c r="J16" s="22" t="n">
        <v>14</v>
      </c>
      <c r="K16" s="22" t="n">
        <v>102</v>
      </c>
      <c r="L16" s="22" t="n">
        <v>18</v>
      </c>
      <c r="M16" s="22" t="n">
        <v>84</v>
      </c>
      <c r="N16" s="22" t="n">
        <v>128</v>
      </c>
      <c r="O16" s="22" t="n">
        <v>17</v>
      </c>
      <c r="P16" s="22" t="n">
        <v>111</v>
      </c>
      <c r="Q16" s="22" t="n">
        <v>130</v>
      </c>
      <c r="R16" s="22" t="n">
        <v>29</v>
      </c>
      <c r="S16" s="22" t="n">
        <v>101</v>
      </c>
      <c r="T16" s="22" t="n">
        <v>401</v>
      </c>
      <c r="U16" s="22" t="n">
        <v>74</v>
      </c>
      <c r="V16" s="22" t="n">
        <v>327</v>
      </c>
      <c r="W16" s="22" t="n">
        <v>1103</v>
      </c>
      <c r="X16" s="22" t="n">
        <v>236</v>
      </c>
      <c r="Y16" s="22" t="n">
        <v>867</v>
      </c>
      <c r="Z16" s="22" t="n">
        <v>3803</v>
      </c>
      <c r="AA16" s="22" t="n">
        <v>1017</v>
      </c>
      <c r="AB16" s="22" t="n">
        <v>2786</v>
      </c>
      <c r="AC16" s="23">
        <f>IF(B16=C16+D16,"✓","✗")</f>
        <v/>
      </c>
    </row>
    <row r="17">
      <c r="A17" s="24" t="inlineStr">
        <is>
          <t>Narwar</t>
        </is>
      </c>
      <c r="B17" s="25" t="n">
        <v>71346</v>
      </c>
      <c r="C17" s="25" t="n">
        <v>40159</v>
      </c>
      <c r="D17" s="25" t="n">
        <v>31187</v>
      </c>
      <c r="E17" s="25" t="n">
        <v>41</v>
      </c>
      <c r="F17" s="25" t="n">
        <v>37</v>
      </c>
      <c r="G17" s="25" t="n">
        <v>4</v>
      </c>
      <c r="H17" s="25" t="n">
        <v>80</v>
      </c>
      <c r="I17" s="25" t="n">
        <v>66</v>
      </c>
      <c r="J17" s="25" t="n">
        <v>14</v>
      </c>
      <c r="K17" s="25" t="n">
        <v>64</v>
      </c>
      <c r="L17" s="25" t="n">
        <v>39</v>
      </c>
      <c r="M17" s="25" t="n">
        <v>25</v>
      </c>
      <c r="N17" s="25" t="n">
        <v>45</v>
      </c>
      <c r="O17" s="25" t="n">
        <v>35</v>
      </c>
      <c r="P17" s="25" t="n">
        <v>10</v>
      </c>
      <c r="Q17" s="25" t="n">
        <v>142</v>
      </c>
      <c r="R17" s="25" t="n">
        <v>106</v>
      </c>
      <c r="S17" s="25" t="n">
        <v>36</v>
      </c>
      <c r="T17" s="25" t="n">
        <v>372</v>
      </c>
      <c r="U17" s="25" t="n">
        <v>283</v>
      </c>
      <c r="V17" s="25" t="n">
        <v>89</v>
      </c>
      <c r="W17" s="25" t="n">
        <v>1802</v>
      </c>
      <c r="X17" s="25" t="n">
        <v>774</v>
      </c>
      <c r="Y17" s="25" t="n">
        <v>1028</v>
      </c>
      <c r="Z17" s="25" t="n">
        <v>5998</v>
      </c>
      <c r="AA17" s="25" t="n">
        <v>2018</v>
      </c>
      <c r="AB17" s="25" t="n">
        <v>3980</v>
      </c>
      <c r="AC17" s="26">
        <f>IF(B17=C17+D17,"✓","✗")</f>
        <v/>
      </c>
    </row>
    <row r="18">
      <c r="A18" s="21" t="inlineStr">
        <is>
          <t>Sheopur</t>
        </is>
      </c>
      <c r="B18" s="22" t="n">
        <v>46474</v>
      </c>
      <c r="C18" s="22" t="n">
        <v>20552</v>
      </c>
      <c r="D18" s="22" t="n">
        <v>25922</v>
      </c>
      <c r="E18" s="22" t="n">
        <v>9</v>
      </c>
      <c r="F18" s="22" t="n">
        <v>4</v>
      </c>
      <c r="G18" s="22" t="n">
        <v>5</v>
      </c>
      <c r="H18" s="22" t="n">
        <v>18</v>
      </c>
      <c r="I18" s="22" t="n">
        <v>6</v>
      </c>
      <c r="J18" s="22" t="n">
        <v>12</v>
      </c>
      <c r="K18" s="22" t="n">
        <v>30</v>
      </c>
      <c r="L18" s="22" t="n">
        <v>8</v>
      </c>
      <c r="M18" s="22" t="n">
        <v>22</v>
      </c>
      <c r="N18" s="22" t="n">
        <v>131</v>
      </c>
      <c r="O18" s="22" t="n">
        <v>13</v>
      </c>
      <c r="P18" s="22" t="n">
        <v>118</v>
      </c>
      <c r="Q18" s="22" t="n">
        <v>176</v>
      </c>
      <c r="R18" s="22" t="n">
        <v>34</v>
      </c>
      <c r="S18" s="22" t="n">
        <v>142</v>
      </c>
      <c r="T18" s="22" t="n">
        <v>364</v>
      </c>
      <c r="U18" s="22" t="n">
        <v>65</v>
      </c>
      <c r="V18" s="22" t="n">
        <v>299</v>
      </c>
      <c r="W18" s="22" t="n">
        <v>849</v>
      </c>
      <c r="X18" s="22" t="n">
        <v>157</v>
      </c>
      <c r="Y18" s="22" t="n">
        <v>692</v>
      </c>
      <c r="Z18" s="22" t="n">
        <v>2089</v>
      </c>
      <c r="AA18" s="22" t="n">
        <v>596</v>
      </c>
      <c r="AB18" s="22" t="n">
        <v>1493</v>
      </c>
      <c r="AC18" s="23">
        <f>IF(B18=C18+D18,"✓","✗")</f>
        <v/>
      </c>
    </row>
    <row r="19">
      <c r="A19" s="24" t="inlineStr">
        <is>
          <t>Malwa Prant-Nimach</t>
        </is>
      </c>
      <c r="B19" s="25" t="n">
        <v>44075</v>
      </c>
      <c r="C19" s="25" t="n">
        <v>21738</v>
      </c>
      <c r="D19" s="25" t="n">
        <v>22337</v>
      </c>
      <c r="E19" s="25" t="n">
        <v>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0</v>
      </c>
      <c r="K19" s="25" t="n">
        <v>9</v>
      </c>
      <c r="L19" s="25" t="n">
        <v>7</v>
      </c>
      <c r="M19" s="25" t="n">
        <v>2</v>
      </c>
      <c r="N19" s="25" t="n">
        <v>68</v>
      </c>
      <c r="O19" s="25" t="n">
        <v>10</v>
      </c>
      <c r="P19" s="25" t="n">
        <v>58</v>
      </c>
      <c r="Q19" s="25" t="n">
        <v>128</v>
      </c>
      <c r="R19" s="25" t="n">
        <v>25</v>
      </c>
      <c r="S19" s="25" t="n">
        <v>103</v>
      </c>
      <c r="T19" s="25" t="n">
        <v>205</v>
      </c>
      <c r="U19" s="25" t="n">
        <v>42</v>
      </c>
      <c r="V19" s="25" t="n">
        <v>163</v>
      </c>
      <c r="W19" s="25" t="n">
        <v>778</v>
      </c>
      <c r="X19" s="25" t="n">
        <v>293</v>
      </c>
      <c r="Y19" s="25" t="n">
        <v>485</v>
      </c>
      <c r="Z19" s="25" t="n">
        <v>3122</v>
      </c>
      <c r="AA19" s="25" t="n">
        <v>1114</v>
      </c>
      <c r="AB19" s="25" t="n">
        <v>2008</v>
      </c>
      <c r="AC19" s="26">
        <f>IF(B19=C19+D19,"✓","✗")</f>
        <v/>
      </c>
    </row>
    <row r="20">
      <c r="A20" s="21" t="inlineStr">
        <is>
          <t>Ujjain</t>
        </is>
      </c>
      <c r="B20" s="22" t="n">
        <v>103624</v>
      </c>
      <c r="C20" s="22" t="n">
        <v>51484</v>
      </c>
      <c r="D20" s="22" t="n">
        <v>52140</v>
      </c>
      <c r="E20" s="22" t="n">
        <v>17</v>
      </c>
      <c r="F20" s="22" t="n">
        <v>3</v>
      </c>
      <c r="G20" s="22" t="n">
        <v>14</v>
      </c>
      <c r="H20" s="22" t="n">
        <v>42</v>
      </c>
      <c r="I20" s="22" t="n">
        <v>9</v>
      </c>
      <c r="J20" s="22" t="n">
        <v>33</v>
      </c>
      <c r="K20" s="22" t="n">
        <v>124</v>
      </c>
      <c r="L20" s="22" t="n">
        <v>21</v>
      </c>
      <c r="M20" s="22" t="n">
        <v>103</v>
      </c>
      <c r="N20" s="22" t="n">
        <v>94</v>
      </c>
      <c r="O20" s="22" t="n">
        <v>35</v>
      </c>
      <c r="P20" s="22" t="n">
        <v>59</v>
      </c>
      <c r="Q20" s="22" t="n">
        <v>206</v>
      </c>
      <c r="R20" s="22" t="n">
        <v>48</v>
      </c>
      <c r="S20" s="22" t="n">
        <v>158</v>
      </c>
      <c r="T20" s="22" t="n">
        <v>483</v>
      </c>
      <c r="U20" s="22" t="n">
        <v>116</v>
      </c>
      <c r="V20" s="22" t="n">
        <v>367</v>
      </c>
      <c r="W20" s="22" t="n">
        <v>2039</v>
      </c>
      <c r="X20" s="22" t="n">
        <v>437</v>
      </c>
      <c r="Y20" s="22" t="n">
        <v>1602</v>
      </c>
      <c r="Z20" s="22" t="n">
        <v>7772</v>
      </c>
      <c r="AA20" s="22" t="n">
        <v>1881</v>
      </c>
      <c r="AB20" s="22" t="n">
        <v>5891</v>
      </c>
      <c r="AC20" s="23">
        <f>IF(B20=C20+D20,"✓","✗")</f>
        <v/>
      </c>
    </row>
    <row r="21">
      <c r="A21" s="24" t="inlineStr">
        <is>
          <t>Mandsaur</t>
        </is>
      </c>
      <c r="B21" s="25" t="n">
        <v>36380</v>
      </c>
      <c r="C21" s="25" t="n">
        <v>23170</v>
      </c>
      <c r="D21" s="25" t="n">
        <v>13210</v>
      </c>
      <c r="E21" s="25" t="n">
        <v>14</v>
      </c>
      <c r="F21" s="25" t="n">
        <v>4</v>
      </c>
      <c r="G21" s="25" t="n">
        <v>10</v>
      </c>
      <c r="H21" s="25" t="n">
        <v>21</v>
      </c>
      <c r="I21" s="25" t="n">
        <v>1</v>
      </c>
      <c r="J21" s="25" t="n">
        <v>20</v>
      </c>
      <c r="K21" s="25" t="n">
        <v>8</v>
      </c>
      <c r="L21" s="25" t="n">
        <v>1</v>
      </c>
      <c r="M21" s="25" t="n">
        <v>7</v>
      </c>
      <c r="N21" s="25" t="n">
        <v>41</v>
      </c>
      <c r="O21" s="25" t="n">
        <v>0</v>
      </c>
      <c r="P21" s="25" t="n">
        <v>41</v>
      </c>
      <c r="Q21" s="25" t="n">
        <v>59</v>
      </c>
      <c r="R21" s="25" t="n">
        <v>5</v>
      </c>
      <c r="S21" s="25" t="n">
        <v>54</v>
      </c>
      <c r="T21" s="25" t="n">
        <v>143</v>
      </c>
      <c r="U21" s="25" t="n">
        <v>11</v>
      </c>
      <c r="V21" s="25" t="n">
        <v>132</v>
      </c>
      <c r="W21" s="25" t="n">
        <v>823</v>
      </c>
      <c r="X21" s="25" t="n">
        <v>145</v>
      </c>
      <c r="Y21" s="25" t="n">
        <v>678</v>
      </c>
      <c r="Z21" s="25" t="n">
        <v>1465</v>
      </c>
      <c r="AA21" s="25" t="n">
        <v>1029</v>
      </c>
      <c r="AB21" s="25" t="n">
        <v>436</v>
      </c>
      <c r="AC21" s="26">
        <f>IF(B21=C21+D21,"✓","✗")</f>
        <v/>
      </c>
    </row>
    <row r="22">
      <c r="A22" s="21" t="inlineStr">
        <is>
          <t>Agar</t>
        </is>
      </c>
      <c r="B22" s="22" t="n">
        <v>61681</v>
      </c>
      <c r="C22" s="22" t="n">
        <v>30549</v>
      </c>
      <c r="D22" s="22" t="n">
        <v>31132</v>
      </c>
      <c r="E22" s="22" t="n">
        <v>5</v>
      </c>
      <c r="F22" s="22" t="n">
        <v>0</v>
      </c>
      <c r="G22" s="22" t="n">
        <v>5</v>
      </c>
      <c r="H22" s="22" t="n">
        <v>14</v>
      </c>
      <c r="I22" s="22" t="n">
        <v>0</v>
      </c>
      <c r="J22" s="22" t="n">
        <v>14</v>
      </c>
      <c r="K22" s="22" t="n">
        <v>51</v>
      </c>
      <c r="L22" s="22" t="n">
        <v>1</v>
      </c>
      <c r="M22" s="22" t="n">
        <v>50</v>
      </c>
      <c r="N22" s="22" t="n">
        <v>59</v>
      </c>
      <c r="O22" s="22" t="n">
        <v>1</v>
      </c>
      <c r="P22" s="22" t="n">
        <v>58</v>
      </c>
      <c r="Q22" s="22" t="n">
        <v>21</v>
      </c>
      <c r="R22" s="22" t="n">
        <v>1</v>
      </c>
      <c r="S22" s="22" t="n">
        <v>20</v>
      </c>
      <c r="T22" s="22" t="n">
        <v>150</v>
      </c>
      <c r="U22" s="22" t="n">
        <v>3</v>
      </c>
      <c r="V22" s="22" t="n">
        <v>147</v>
      </c>
      <c r="W22" s="22" t="n">
        <v>1705</v>
      </c>
      <c r="X22" s="22" t="n">
        <v>372</v>
      </c>
      <c r="Y22" s="22" t="n">
        <v>1333</v>
      </c>
      <c r="Z22" s="22" t="n">
        <v>5985</v>
      </c>
      <c r="AA22" s="22" t="n">
        <v>1135</v>
      </c>
      <c r="AB22" s="22" t="n">
        <v>4850</v>
      </c>
      <c r="AC22" s="23">
        <f>IF(B22=C22+D22,"✓","✗")</f>
        <v/>
      </c>
    </row>
    <row r="23">
      <c r="A23" s="24" t="inlineStr">
        <is>
          <t>Shajapur</t>
        </is>
      </c>
      <c r="B23" s="25" t="n">
        <v>109740</v>
      </c>
      <c r="C23" s="25" t="n">
        <v>51814</v>
      </c>
      <c r="D23" s="25" t="n">
        <v>57926</v>
      </c>
      <c r="E23" s="25" t="n">
        <v>33</v>
      </c>
      <c r="F23" s="25" t="n">
        <v>15</v>
      </c>
      <c r="G23" s="25" t="n">
        <v>18</v>
      </c>
      <c r="H23" s="25" t="n">
        <v>44</v>
      </c>
      <c r="I23" s="25" t="n">
        <v>5</v>
      </c>
      <c r="J23" s="25" t="n">
        <v>39</v>
      </c>
      <c r="K23" s="25" t="n">
        <v>75</v>
      </c>
      <c r="L23" s="25" t="n">
        <v>8</v>
      </c>
      <c r="M23" s="25" t="n">
        <v>67</v>
      </c>
      <c r="N23" s="25" t="n">
        <v>85</v>
      </c>
      <c r="O23" s="25" t="n">
        <v>12</v>
      </c>
      <c r="P23" s="25" t="n">
        <v>73</v>
      </c>
      <c r="Q23" s="25" t="n">
        <v>72</v>
      </c>
      <c r="R23" s="25" t="n">
        <v>15</v>
      </c>
      <c r="S23" s="25" t="n">
        <v>57</v>
      </c>
      <c r="T23" s="25" t="n">
        <v>306</v>
      </c>
      <c r="U23" s="25" t="n">
        <v>55</v>
      </c>
      <c r="V23" s="25" t="n">
        <v>251</v>
      </c>
      <c r="W23" s="25" t="n">
        <v>2075</v>
      </c>
      <c r="X23" s="25" t="n">
        <v>524</v>
      </c>
      <c r="Y23" s="25" t="n">
        <v>1551</v>
      </c>
      <c r="Z23" s="25" t="n">
        <v>7575</v>
      </c>
      <c r="AA23" s="25" t="n">
        <v>1952</v>
      </c>
      <c r="AB23" s="25" t="n">
        <v>5623</v>
      </c>
      <c r="AC23" s="26">
        <f>IF(B23=C23+D23,"✓","✗")</f>
        <v/>
      </c>
    </row>
    <row r="24">
      <c r="A24" s="21" t="inlineStr">
        <is>
          <t>Amjhera</t>
        </is>
      </c>
      <c r="B24" s="22" t="n">
        <v>47264</v>
      </c>
      <c r="C24" s="22" t="n">
        <v>23864</v>
      </c>
      <c r="D24" s="22" t="n">
        <v>23400</v>
      </c>
      <c r="E24" s="22" t="n">
        <v>64</v>
      </c>
      <c r="F24" s="22" t="n">
        <v>0</v>
      </c>
      <c r="G24" s="22" t="n">
        <v>64</v>
      </c>
      <c r="H24" s="22" t="n">
        <v>439</v>
      </c>
      <c r="I24" s="22" t="n">
        <v>0</v>
      </c>
      <c r="J24" s="22" t="n">
        <v>439</v>
      </c>
      <c r="K24" s="22" t="n">
        <v>251</v>
      </c>
      <c r="L24" s="22" t="n">
        <v>0</v>
      </c>
      <c r="M24" s="22" t="n">
        <v>251</v>
      </c>
      <c r="N24" s="22" t="n">
        <v>118</v>
      </c>
      <c r="O24" s="22" t="n">
        <v>16</v>
      </c>
      <c r="P24" s="22" t="n">
        <v>102</v>
      </c>
      <c r="Q24" s="22" t="n">
        <v>654</v>
      </c>
      <c r="R24" s="22" t="n">
        <v>18</v>
      </c>
      <c r="S24" s="22" t="n">
        <v>636</v>
      </c>
      <c r="T24" s="22" t="n">
        <v>1523</v>
      </c>
      <c r="U24" s="22" t="n">
        <v>31</v>
      </c>
      <c r="V24" s="22" t="n">
        <v>1492</v>
      </c>
      <c r="W24" s="22" t="n">
        <v>1800</v>
      </c>
      <c r="X24" s="22" t="n">
        <v>1265</v>
      </c>
      <c r="Y24" s="22" t="n">
        <v>535</v>
      </c>
      <c r="Z24" s="22" t="n">
        <v>4351</v>
      </c>
      <c r="AA24" s="22" t="n">
        <v>1445</v>
      </c>
      <c r="AB24" s="22" t="n">
        <v>2906</v>
      </c>
      <c r="AC24" s="23">
        <f>IF(B24=C24+D24,"✓","✗")</f>
        <v/>
      </c>
    </row>
    <row r="25">
      <c r="A25" s="24" t="inlineStr">
        <is>
          <t>Total</t>
        </is>
      </c>
      <c r="B25" s="25" t="n">
        <v>1369640</v>
      </c>
      <c r="C25" s="25" t="n">
        <v>692895</v>
      </c>
      <c r="D25" s="25" t="n">
        <v>676745</v>
      </c>
      <c r="E25" s="25" t="n">
        <v>133</v>
      </c>
      <c r="F25" s="25" t="n">
        <v>22</v>
      </c>
      <c r="G25" s="25" t="n">
        <v>111</v>
      </c>
      <c r="H25" s="25" t="n">
        <v>560</v>
      </c>
      <c r="I25" s="25" t="n">
        <v>15</v>
      </c>
      <c r="J25" s="25" t="n">
        <v>545</v>
      </c>
      <c r="K25" s="25" t="n">
        <v>518</v>
      </c>
      <c r="L25" s="25" t="n">
        <v>38</v>
      </c>
      <c r="M25" s="25" t="n">
        <v>480</v>
      </c>
      <c r="N25" s="25" t="n">
        <v>465</v>
      </c>
      <c r="O25" s="25" t="n">
        <v>74</v>
      </c>
      <c r="P25" s="25" t="n">
        <v>391</v>
      </c>
      <c r="Q25" s="25" t="n">
        <v>1140</v>
      </c>
      <c r="R25" s="25" t="n">
        <v>112</v>
      </c>
      <c r="S25" s="25" t="n">
        <v>1028</v>
      </c>
      <c r="T25" s="25" t="n">
        <v>2816</v>
      </c>
      <c r="U25" s="25" t="n">
        <v>261</v>
      </c>
      <c r="V25" s="25" t="n">
        <v>2555</v>
      </c>
      <c r="W25" s="25" t="n">
        <v>9220</v>
      </c>
      <c r="X25" s="25" t="n">
        <v>3036</v>
      </c>
      <c r="Y25" s="25" t="n">
        <v>6184</v>
      </c>
      <c r="Z25" s="25" t="n">
        <v>30270</v>
      </c>
      <c r="AA25" s="25" t="n">
        <v>8556</v>
      </c>
      <c r="AB25" s="25" t="n">
        <v>21714</v>
      </c>
      <c r="AC25" s="26">
        <f>IF(B25=C25+D25,"✓","✗")</f>
        <v/>
      </c>
    </row>
    <row r="26">
      <c r="A26" s="21" t="inlineStr">
        <is>
          <t>Grand Total</t>
        </is>
      </c>
      <c r="B26" s="22" t="n">
        <v>1369640</v>
      </c>
      <c r="C26" s="22" t="n">
        <v>692895</v>
      </c>
      <c r="D26" s="22" t="n">
        <v>676745</v>
      </c>
      <c r="E26" s="22" t="n">
        <v>336</v>
      </c>
      <c r="F26" s="22" t="n">
        <v>123</v>
      </c>
      <c r="G26" s="22" t="n">
        <v>213</v>
      </c>
      <c r="H26" s="22" t="n">
        <v>824</v>
      </c>
      <c r="I26" s="22" t="n">
        <v>159</v>
      </c>
      <c r="J26" s="22" t="n">
        <v>665</v>
      </c>
      <c r="K26" s="22" t="n">
        <v>1111</v>
      </c>
      <c r="L26" s="22" t="n">
        <v>301</v>
      </c>
      <c r="M26" s="22" t="n">
        <v>810</v>
      </c>
      <c r="N26" s="22" t="n">
        <v>1160</v>
      </c>
      <c r="O26" s="22" t="n">
        <v>364</v>
      </c>
      <c r="P26" s="22" t="n">
        <v>796</v>
      </c>
      <c r="Q26" s="22" t="n">
        <v>2239</v>
      </c>
      <c r="R26" s="22" t="n">
        <v>679</v>
      </c>
      <c r="S26" s="22" t="n">
        <v>1560</v>
      </c>
      <c r="T26" s="22" t="n">
        <v>5670</v>
      </c>
      <c r="U26" s="22" t="n">
        <v>1626</v>
      </c>
      <c r="V26" s="22" t="n">
        <v>4044</v>
      </c>
      <c r="W26" s="22" t="n">
        <v>28756</v>
      </c>
      <c r="X26" s="22" t="n">
        <v>11654</v>
      </c>
      <c r="Y26" s="22" t="n">
        <v>17102</v>
      </c>
      <c r="Z26" s="22" t="n">
        <v>107837</v>
      </c>
      <c r="AA26" s="22" t="n">
        <v>43710</v>
      </c>
      <c r="AB26" s="22" t="n">
        <v>64127</v>
      </c>
      <c r="AC26" s="23">
        <f>IF(B26=C26+D26,"✓","✗")</f>
        <v/>
      </c>
    </row>
    <row r="27">
      <c r="A27" s="27" t="inlineStr">
        <is>
          <t>Verify: Sum</t>
        </is>
      </c>
      <c r="B27" s="28">
        <f>IF(SUM(B6:B26)=B5,"✓",SUM(B6:B26)-B5)</f>
        <v/>
      </c>
      <c r="C27" s="28">
        <f>IF(SUM(C6:C26)=C5,"✓",SUM(C6:C26)-C5)</f>
        <v/>
      </c>
      <c r="D27" s="28">
        <f>IF(SUM(D6:D26)=D5,"✓",SUM(D6:D26)-D5)</f>
        <v/>
      </c>
      <c r="E27" s="28">
        <f>IF(SUM(E6:E26)=E5,"✓",SUM(E6:E26)-E5)</f>
        <v/>
      </c>
      <c r="F27" s="28">
        <f>IF(SUM(F6:F26)=F5,"✓",SUM(F6:F26)-F5)</f>
        <v/>
      </c>
      <c r="G27" s="28">
        <f>IF(SUM(G6:G26)=G5,"✓",SUM(G6:G26)-G5)</f>
        <v/>
      </c>
      <c r="H27" s="28">
        <f>IF(SUM(H6:H26)=H5,"✓",SUM(H6:H26)-H5)</f>
        <v/>
      </c>
      <c r="I27" s="28">
        <f>IF(SUM(I6:I26)=I5,"✓",SUM(I6:I26)-I5)</f>
        <v/>
      </c>
      <c r="J27" s="28">
        <f>IF(SUM(J6:J26)=J5,"✓",SUM(J6:J26)-J5)</f>
        <v/>
      </c>
      <c r="K27" s="28">
        <f>IF(SUM(K6:K26)=K5,"✓",SUM(K6:K26)-K5)</f>
        <v/>
      </c>
      <c r="L27" s="28">
        <f>IF(SUM(L6:L26)=L5,"✓",SUM(L6:L26)-L5)</f>
        <v/>
      </c>
      <c r="M27" s="28">
        <f>IF(SUM(M6:M26)=M5,"✓",SUM(M6:M26)-M5)</f>
        <v/>
      </c>
      <c r="N27" s="28">
        <f>IF(SUM(N6:N26)=N5,"✓",SUM(N6:N26)-N5)</f>
        <v/>
      </c>
      <c r="O27" s="28">
        <f>IF(SUM(O6:O26)=O5,"✓",SUM(O6:O26)-O5)</f>
        <v/>
      </c>
      <c r="P27" s="28">
        <f>IF(SUM(P6:P26)=P5,"✓",SUM(P6:P26)-P5)</f>
        <v/>
      </c>
      <c r="Q27" s="28">
        <f>IF(SUM(Q6:Q26)=Q5,"✓",SUM(Q6:Q26)-Q5)</f>
        <v/>
      </c>
      <c r="R27" s="28">
        <f>IF(SUM(R6:R26)=R5,"✓",SUM(R6:R26)-R5)</f>
        <v/>
      </c>
      <c r="S27" s="28">
        <f>IF(SUM(S6:S26)=S5,"✓",SUM(S6:S26)-S5)</f>
        <v/>
      </c>
      <c r="T27" s="28">
        <f>IF(SUM(T6:T26)=T5,"✓",SUM(T6:T26)-T5)</f>
        <v/>
      </c>
      <c r="U27" s="28">
        <f>IF(SUM(U6:U26)=U5,"✓",SUM(U6:U26)-U5)</f>
        <v/>
      </c>
      <c r="V27" s="28">
        <f>IF(SUM(V6:V26)=V5,"✓",SUM(V6:V26)-V5)</f>
        <v/>
      </c>
      <c r="W27" s="28">
        <f>IF(SUM(W6:W26)=W5,"✓",SUM(W6:W26)-W5)</f>
        <v/>
      </c>
      <c r="X27" s="28">
        <f>IF(SUM(X6:X26)=X5,"✓",SUM(X6:X26)-X5)</f>
        <v/>
      </c>
      <c r="Y27" s="28">
        <f>IF(SUM(Y6:Y26)=Y5,"✓",SUM(Y6:Y26)-Y5)</f>
        <v/>
      </c>
      <c r="Z27" s="28">
        <f>IF(SUM(Z6:Z26)=Z5,"✓",SUM(Z6:Z26)-Z5)</f>
        <v/>
      </c>
      <c r="AA27" s="28">
        <f>IF(SUM(AA6:AA26)=AA5,"✓",SUM(AA6:AA26)-AA5)</f>
        <v/>
      </c>
      <c r="AB27" s="28">
        <f>IF(SUM(AB6:AB26)=AB5,"✓",SUM(AB6:AB26)-AB5)</f>
        <v/>
      </c>
    </row>
  </sheetData>
  <mergeCells count="9">
    <mergeCell ref="B3:D3"/>
    <mergeCell ref="W3:Y3"/>
    <mergeCell ref="T3:V3"/>
    <mergeCell ref="E3:G3"/>
    <mergeCell ref="K3:M3"/>
    <mergeCell ref="H3:J3"/>
    <mergeCell ref="Z3:AB3"/>
    <mergeCell ref="N3:P3"/>
    <mergeCell ref="Q3:S3"/>
  </mergeCells>
  <conditionalFormatting sqref="AC5:AC2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2026-03-23T20:44:43Z</dcterms:created>
  <dcterms:modified xmlns:dcterms="http://purl.org/dc/terms/" xmlns:xsi="http://www.w3.org/2001/XMLSchema-instance" xsi:type="dcterms:W3CDTF">2026-03-23T20:44:44Z</dcterms:modified>
</cp:coreProperties>
</file>