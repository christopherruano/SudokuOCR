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GE PERI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7" customWidth="1" min="32" max="32"/>
  </cols>
  <sheetData>
    <row r="1">
      <c r="A1" s="1" t="inlineStr">
        <is>
          <t>AGE PERIODS</t>
        </is>
      </c>
    </row>
    <row r="2">
      <c r="A2" s="2" t="inlineStr">
        <is>
          <t>Source: AGE PERIODS</t>
        </is>
      </c>
    </row>
    <row r="3">
      <c r="A3" s="3" t="inlineStr">
        <is>
          <t>AGE PERIODS</t>
        </is>
      </c>
    </row>
    <row r="4">
      <c r="A4" s="4" t="inlineStr">
        <is>
          <t>District</t>
        </is>
      </c>
      <c r="B4" s="5" t="inlineStr">
        <is>
          <t>15-20</t>
        </is>
      </c>
      <c r="C4" s="6" t="n"/>
      <c r="D4" s="6" t="n"/>
      <c r="E4" s="7" t="inlineStr">
        <is>
          <t>20-25</t>
        </is>
      </c>
      <c r="F4" s="8" t="n"/>
      <c r="G4" s="8" t="n"/>
      <c r="H4" s="9" t="inlineStr">
        <is>
          <t>25-30</t>
        </is>
      </c>
      <c r="I4" s="10" t="n"/>
      <c r="J4" s="10" t="n"/>
      <c r="K4" s="11" t="inlineStr">
        <is>
          <t>30-35</t>
        </is>
      </c>
      <c r="L4" s="12" t="n"/>
      <c r="M4" s="12" t="n"/>
      <c r="N4" s="13" t="inlineStr">
        <is>
          <t>35-40</t>
        </is>
      </c>
      <c r="O4" s="14" t="n"/>
      <c r="P4" s="14" t="n"/>
      <c r="Q4" s="5" t="inlineStr">
        <is>
          <t>40-45</t>
        </is>
      </c>
      <c r="R4" s="6" t="n"/>
      <c r="S4" s="6" t="n"/>
      <c r="T4" s="7" t="inlineStr">
        <is>
          <t>45-50</t>
        </is>
      </c>
      <c r="U4" s="8" t="n"/>
      <c r="V4" s="8" t="n"/>
      <c r="W4" s="9" t="inlineStr">
        <is>
          <t>50-55</t>
        </is>
      </c>
      <c r="X4" s="10" t="n"/>
      <c r="Y4" s="10" t="n"/>
      <c r="Z4" s="11" t="inlineStr">
        <is>
          <t>55-60</t>
        </is>
      </c>
      <c r="AA4" s="12" t="n"/>
      <c r="AB4" s="12" t="n"/>
      <c r="AC4" s="13" t="inlineStr">
        <is>
          <t>60 and over</t>
        </is>
      </c>
      <c r="AD4" s="14" t="n"/>
      <c r="AE4" s="14" t="n"/>
      <c r="AF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Persons</t>
        </is>
      </c>
      <c r="X5" s="17" t="inlineStr">
        <is>
          <t>Males</t>
        </is>
      </c>
      <c r="Y5" s="17" t="inlineStr">
        <is>
          <t>Females</t>
        </is>
      </c>
      <c r="Z5" s="17" t="inlineStr">
        <is>
          <t>Persons</t>
        </is>
      </c>
      <c r="AA5" s="17" t="inlineStr">
        <is>
          <t>Males</t>
        </is>
      </c>
      <c r="AB5" s="17" t="inlineStr">
        <is>
          <t>Females</t>
        </is>
      </c>
      <c r="AC5" s="17" t="inlineStr">
        <is>
          <t>Persons</t>
        </is>
      </c>
      <c r="AD5" s="17" t="inlineStr">
        <is>
          <t>Males</t>
        </is>
      </c>
      <c r="AE5" s="17" t="inlineStr">
        <is>
          <t>Females</t>
        </is>
      </c>
      <c r="AF5" s="17" t="inlineStr">
        <is>
          <t>M+F=P</t>
        </is>
      </c>
    </row>
    <row r="6">
      <c r="A6" s="18" t="inlineStr">
        <is>
          <t>Total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9" t="n">
        <v>87269</v>
      </c>
      <c r="L6" s="19" t="n">
        <v>48236</v>
      </c>
      <c r="M6" s="19" t="n">
        <v>39033</v>
      </c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20">
        <f>IF(B6=C6+D6,"✓","✗")</f>
        <v/>
      </c>
    </row>
    <row r="7">
      <c r="A7" s="21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>
        <v>30231</v>
      </c>
      <c r="L7" s="22" t="n">
        <v>16570</v>
      </c>
      <c r="M7" s="22" t="n">
        <v>13661</v>
      </c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3">
        <f>IF(B7=C7+D7,"✓","✗")</f>
        <v/>
      </c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>
        <v>423</v>
      </c>
      <c r="L8" s="25" t="n">
        <v>227</v>
      </c>
      <c r="M8" s="25" t="n">
        <v>196</v>
      </c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6">
        <f>IF(B8=C8+D8,"✓","✗")</f>
        <v/>
      </c>
    </row>
    <row r="9">
      <c r="A9" s="21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>
        <v>16655</v>
      </c>
      <c r="L9" s="22" t="n">
        <v>9462</v>
      </c>
      <c r="M9" s="22" t="n">
        <v>7193</v>
      </c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3">
        <f>IF(B9=C9+D9,"✓","✗")</f>
        <v/>
      </c>
    </row>
    <row r="10">
      <c r="A10" s="24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>
        <v>10401</v>
      </c>
      <c r="L10" s="25" t="n">
        <v>5587</v>
      </c>
      <c r="M10" s="25" t="n">
        <v>4814</v>
      </c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6">
        <f>IF(B10=C10+D10,"✓","✗")</f>
        <v/>
      </c>
    </row>
    <row r="11">
      <c r="A11" s="21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>
        <v>16882</v>
      </c>
      <c r="L11" s="22" t="n">
        <v>9751</v>
      </c>
      <c r="M11" s="22" t="n">
        <v>7131</v>
      </c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3">
        <f>IF(B11=C11+D11,"✓","✗")</f>
        <v/>
      </c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>
        <v>19355</v>
      </c>
      <c r="L12" s="25" t="n">
        <v>10770</v>
      </c>
      <c r="M12" s="25" t="n">
        <v>8585</v>
      </c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6">
        <f>IF(B12=C12+D12,"✓","✗")</f>
        <v/>
      </c>
    </row>
    <row r="13">
      <c r="A13" s="21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>
        <v>16263</v>
      </c>
      <c r="L13" s="22" t="n">
        <v>9313</v>
      </c>
      <c r="M13" s="22" t="n">
        <v>6950</v>
      </c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3">
        <f>IF(B13=C13+D13,"✓","✗")</f>
        <v/>
      </c>
    </row>
    <row r="14">
      <c r="A14" s="24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>
        <v>17519</v>
      </c>
      <c r="L14" s="25" t="n">
        <v>5426</v>
      </c>
      <c r="M14" s="25" t="n">
        <v>12093</v>
      </c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6">
        <f>IF(B14=C14+D14,"✓","✗")</f>
        <v/>
      </c>
    </row>
    <row r="15">
      <c r="A15" s="21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>
        <v>27815</v>
      </c>
      <c r="L15" s="22" t="n">
        <v>12222</v>
      </c>
      <c r="M15" s="22" t="n">
        <v>15593</v>
      </c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3">
        <f>IF(B15=C15+D15,"✓","✗")</f>
        <v/>
      </c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>
        <v>12366</v>
      </c>
      <c r="L16" s="25" t="n">
        <v>6434</v>
      </c>
      <c r="M16" s="25" t="n">
        <v>5932</v>
      </c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6">
        <f>IF(B16=C16+D16,"✓","✗")</f>
        <v/>
      </c>
    </row>
    <row r="17">
      <c r="A17" s="21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>
        <v>9878</v>
      </c>
      <c r="L17" s="22" t="n">
        <v>5692</v>
      </c>
      <c r="M17" s="22" t="n">
        <v>4186</v>
      </c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3">
        <f>IF(B17=C17+D17,"✓","✗")</f>
        <v/>
      </c>
    </row>
    <row r="18">
      <c r="A18" s="24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>
        <v>18600</v>
      </c>
      <c r="L18" s="25" t="n">
        <v>8586</v>
      </c>
      <c r="M18" s="25" t="n">
        <v>10014</v>
      </c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6">
        <f>IF(B18=C18+D18,"✓","✗")</f>
        <v/>
      </c>
    </row>
    <row r="19">
      <c r="A19" s="21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>
        <v>8940</v>
      </c>
      <c r="L19" s="22" t="n">
        <v>4579</v>
      </c>
      <c r="M19" s="22" t="n">
        <v>4361</v>
      </c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3">
        <f>IF(B19=C19+D19,"✓","✗")</f>
        <v/>
      </c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>
        <v>9873</v>
      </c>
      <c r="L20" s="25" t="n">
        <v>4987</v>
      </c>
      <c r="M20" s="25" t="n">
        <v>4886</v>
      </c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6">
        <f>IF(B20=C20+D20,"✓","✗")</f>
        <v/>
      </c>
    </row>
    <row r="21">
      <c r="A21" s="21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>
        <v>25264</v>
      </c>
      <c r="L21" s="22" t="n">
        <v>12537</v>
      </c>
      <c r="M21" s="22" t="n">
        <v>12727</v>
      </c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3">
        <f>IF(B21=C21+D21,"✓","✗")</f>
        <v/>
      </c>
    </row>
    <row r="22">
      <c r="A22" s="24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>
        <v>8502</v>
      </c>
      <c r="L22" s="25" t="n">
        <v>5692</v>
      </c>
      <c r="M22" s="25" t="n">
        <v>2810</v>
      </c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6">
        <f>IF(B22=C22+D22,"✓","✗")</f>
        <v/>
      </c>
    </row>
    <row r="23">
      <c r="A23" s="21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>
        <v>12358</v>
      </c>
      <c r="L23" s="22" t="n">
        <v>7593</v>
      </c>
      <c r="M23" s="22" t="n">
        <v>4765</v>
      </c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3">
        <f>IF(B23=C23+D23,"✓","✗")</f>
        <v/>
      </c>
    </row>
    <row r="24">
      <c r="A24" s="24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>
        <v>23179</v>
      </c>
      <c r="L24" s="25" t="n">
        <v>12231</v>
      </c>
      <c r="M24" s="25" t="n">
        <v>10948</v>
      </c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6">
        <f>IF(B24=C24+D24,"✓","✗")</f>
        <v/>
      </c>
    </row>
    <row r="25">
      <c r="A25" s="21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>
        <v>8093</v>
      </c>
      <c r="L25" s="22" t="n">
        <v>5196</v>
      </c>
      <c r="M25" s="22" t="n">
        <v>2897</v>
      </c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3">
        <f>IF(B25=C25+D25,"✓","✗")</f>
        <v/>
      </c>
    </row>
    <row r="26">
      <c r="A26" s="24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>
        <v>87269</v>
      </c>
      <c r="L26" s="25" t="n">
        <v>48236</v>
      </c>
      <c r="M26" s="25" t="n">
        <v>39033</v>
      </c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6">
        <f>IF(B26=C26+D26,"✓","✗")</f>
        <v/>
      </c>
    </row>
    <row r="27">
      <c r="A27" s="21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>
        <v>292597</v>
      </c>
      <c r="L27" s="22" t="n">
        <v>152855</v>
      </c>
      <c r="M27" s="22" t="n">
        <v>139742</v>
      </c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3">
        <f>IF(B27=C27+D27,"✓","✗")</f>
        <v/>
      </c>
    </row>
    <row r="28">
      <c r="A28" s="27" t="inlineStr">
        <is>
          <t>Verify: Sum</t>
        </is>
      </c>
      <c r="B28" s="28">
        <f>IF(SUM(B7:B27)=B6,"✓",SUM(B7:B27)-B6)</f>
        <v/>
      </c>
      <c r="C28" s="28">
        <f>IF(SUM(C7:C27)=C6,"✓",SUM(C7:C27)-C6)</f>
        <v/>
      </c>
      <c r="D28" s="28">
        <f>IF(SUM(D7:D27)=D6,"✓",SUM(D7:D27)-D6)</f>
        <v/>
      </c>
      <c r="E28" s="28">
        <f>IF(SUM(E7:E27)=E6,"✓",SUM(E7:E27)-E6)</f>
        <v/>
      </c>
      <c r="F28" s="28">
        <f>IF(SUM(F7:F27)=F6,"✓",SUM(F7:F27)-F6)</f>
        <v/>
      </c>
      <c r="G28" s="28">
        <f>IF(SUM(G7:G27)=G6,"✓",SUM(G7:G27)-G6)</f>
        <v/>
      </c>
      <c r="H28" s="28">
        <f>IF(SUM(H7:H27)=H6,"✓",SUM(H7:H27)-H6)</f>
        <v/>
      </c>
      <c r="I28" s="28">
        <f>IF(SUM(I7:I27)=I6,"✓",SUM(I7:I27)-I6)</f>
        <v/>
      </c>
      <c r="J28" s="28">
        <f>IF(SUM(J7:J27)=J6,"✓",SUM(J7:J27)-J6)</f>
        <v/>
      </c>
      <c r="K28" s="28">
        <f>IF(SUM(K7:K27)=K6,"✓",SUM(K7:K27)-K6)</f>
        <v/>
      </c>
      <c r="L28" s="28">
        <f>IF(SUM(L7:L27)=L6,"✓",SUM(L7:L27)-L6)</f>
        <v/>
      </c>
      <c r="M28" s="28">
        <f>IF(SUM(M7:M27)=M6,"✓",SUM(M7:M27)-M6)</f>
        <v/>
      </c>
      <c r="N28" s="28">
        <f>IF(SUM(N7:N27)=N6,"✓",SUM(N7:N27)-N6)</f>
        <v/>
      </c>
      <c r="O28" s="28">
        <f>IF(SUM(O7:O27)=O6,"✓",SUM(O7:O27)-O6)</f>
        <v/>
      </c>
      <c r="P28" s="28">
        <f>IF(SUM(P7:P27)=P6,"✓",SUM(P7:P27)-P6)</f>
        <v/>
      </c>
      <c r="Q28" s="28">
        <f>IF(SUM(Q7:Q27)=Q6,"✓",SUM(Q7:Q27)-Q6)</f>
        <v/>
      </c>
      <c r="R28" s="28">
        <f>IF(SUM(R7:R27)=R6,"✓",SUM(R7:R27)-R6)</f>
        <v/>
      </c>
      <c r="S28" s="28">
        <f>IF(SUM(S7:S27)=S6,"✓",SUM(S7:S27)-S6)</f>
        <v/>
      </c>
      <c r="T28" s="28">
        <f>IF(SUM(T7:T27)=T6,"✓",SUM(T7:T27)-T6)</f>
        <v/>
      </c>
      <c r="U28" s="28">
        <f>IF(SUM(U7:U27)=U6,"✓",SUM(U7:U27)-U6)</f>
        <v/>
      </c>
      <c r="V28" s="28">
        <f>IF(SUM(V7:V27)=V6,"✓",SUM(V7:V27)-V6)</f>
        <v/>
      </c>
      <c r="W28" s="28">
        <f>IF(SUM(W7:W27)=W6,"✓",SUM(W7:W27)-W6)</f>
        <v/>
      </c>
      <c r="X28" s="28">
        <f>IF(SUM(X7:X27)=X6,"✓",SUM(X7:X27)-X6)</f>
        <v/>
      </c>
      <c r="Y28" s="28">
        <f>IF(SUM(Y7:Y27)=Y6,"✓",SUM(Y7:Y27)-Y6)</f>
        <v/>
      </c>
      <c r="Z28" s="28">
        <f>IF(SUM(Z7:Z27)=Z6,"✓",SUM(Z7:Z27)-Z6)</f>
        <v/>
      </c>
      <c r="AA28" s="28">
        <f>IF(SUM(AA7:AA27)=AA6,"✓",SUM(AA7:AA27)-AA6)</f>
        <v/>
      </c>
      <c r="AB28" s="28">
        <f>IF(SUM(AB7:AB27)=AB6,"✓",SUM(AB7:AB27)-AB6)</f>
        <v/>
      </c>
      <c r="AC28" s="28">
        <f>IF(SUM(AC7:AC27)=AC6,"✓",SUM(AC7:AC27)-AC6)</f>
        <v/>
      </c>
      <c r="AD28" s="28">
        <f>IF(SUM(AD7:AD27)=AD6,"✓",SUM(AD7:AD27)-AD6)</f>
        <v/>
      </c>
      <c r="AE28" s="28">
        <f>IF(SUM(AE7:AE27)=AE6,"✓",SUM(AE7:AE27)-AE6)</f>
        <v/>
      </c>
    </row>
  </sheetData>
  <mergeCells count="10">
    <mergeCell ref="K4:M4"/>
    <mergeCell ref="B4:D4"/>
    <mergeCell ref="H4:J4"/>
    <mergeCell ref="Q4:S4"/>
    <mergeCell ref="T4:V4"/>
    <mergeCell ref="W4:Y4"/>
    <mergeCell ref="E4:G4"/>
    <mergeCell ref="Z4:AB4"/>
    <mergeCell ref="N4:P4"/>
    <mergeCell ref="AC4:AE4"/>
  </mergeCells>
  <conditionalFormatting sqref="AF6:AF28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7" customWidth="1" min="32" max="32"/>
  </cols>
  <sheetData>
    <row r="1">
      <c r="A1" s="29" t="inlineStr">
        <is>
          <t>AGE PERIODS</t>
        </is>
      </c>
    </row>
    <row r="2">
      <c r="A2" s="3" t="inlineStr">
        <is>
          <t>AGE PERIODS</t>
        </is>
      </c>
    </row>
    <row r="3">
      <c r="A3" s="4" t="inlineStr">
        <is>
          <t>District</t>
        </is>
      </c>
      <c r="B3" s="5" t="inlineStr">
        <is>
          <t>15-20</t>
        </is>
      </c>
      <c r="C3" s="6" t="n"/>
      <c r="D3" s="6" t="n"/>
      <c r="E3" s="7" t="inlineStr">
        <is>
          <t>20-25</t>
        </is>
      </c>
      <c r="F3" s="8" t="n"/>
      <c r="G3" s="8" t="n"/>
      <c r="H3" s="9" t="inlineStr">
        <is>
          <t>25-30</t>
        </is>
      </c>
      <c r="I3" s="10" t="n"/>
      <c r="J3" s="10" t="n"/>
      <c r="K3" s="11" t="inlineStr">
        <is>
          <t>30-35</t>
        </is>
      </c>
      <c r="L3" s="12" t="n"/>
      <c r="M3" s="12" t="n"/>
      <c r="N3" s="13" t="inlineStr">
        <is>
          <t>35-40</t>
        </is>
      </c>
      <c r="O3" s="14" t="n"/>
      <c r="P3" s="14" t="n"/>
      <c r="Q3" s="5" t="inlineStr">
        <is>
          <t>40-45</t>
        </is>
      </c>
      <c r="R3" s="6" t="n"/>
      <c r="S3" s="6" t="n"/>
      <c r="T3" s="7" t="inlineStr">
        <is>
          <t>45-50</t>
        </is>
      </c>
      <c r="U3" s="8" t="n"/>
      <c r="V3" s="8" t="n"/>
      <c r="W3" s="9" t="inlineStr">
        <is>
          <t>50-55</t>
        </is>
      </c>
      <c r="X3" s="10" t="n"/>
      <c r="Y3" s="10" t="n"/>
      <c r="Z3" s="11" t="inlineStr">
        <is>
          <t>55-60</t>
        </is>
      </c>
      <c r="AA3" s="12" t="n"/>
      <c r="AB3" s="12" t="n"/>
      <c r="AC3" s="13" t="inlineStr">
        <is>
          <t>60 and over</t>
        </is>
      </c>
      <c r="AD3" s="14" t="n"/>
      <c r="AE3" s="14" t="n"/>
      <c r="AF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Persons</t>
        </is>
      </c>
      <c r="X4" s="17" t="inlineStr">
        <is>
          <t>Males</t>
        </is>
      </c>
      <c r="Y4" s="17" t="inlineStr">
        <is>
          <t>Females</t>
        </is>
      </c>
      <c r="Z4" s="17" t="inlineStr">
        <is>
          <t>Persons</t>
        </is>
      </c>
      <c r="AA4" s="17" t="inlineStr">
        <is>
          <t>Males</t>
        </is>
      </c>
      <c r="AB4" s="17" t="inlineStr">
        <is>
          <t>Females</t>
        </is>
      </c>
      <c r="AC4" s="17" t="inlineStr">
        <is>
          <t>Persons</t>
        </is>
      </c>
      <c r="AD4" s="17" t="inlineStr">
        <is>
          <t>Males</t>
        </is>
      </c>
      <c r="AE4" s="17" t="inlineStr">
        <is>
          <t>Females</t>
        </is>
      </c>
      <c r="AF4" s="17" t="inlineStr">
        <is>
          <t>M+F=P</t>
        </is>
      </c>
    </row>
    <row r="5">
      <c r="A5" s="18" t="inlineStr">
        <is>
          <t>Total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n">
        <v>87269</v>
      </c>
      <c r="L5" s="19" t="n">
        <v>48236</v>
      </c>
      <c r="M5" s="19" t="n">
        <v>39033</v>
      </c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20">
        <f>IF(B5=C5+D5,"✓","✗")</f>
        <v/>
      </c>
    </row>
    <row r="6">
      <c r="A6" s="21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>
        <v>30231</v>
      </c>
      <c r="L6" s="22" t="n">
        <v>16570</v>
      </c>
      <c r="M6" s="22" t="n">
        <v>13661</v>
      </c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3">
        <f>IF(B6=C6+D6,"✓","✗")</f>
        <v/>
      </c>
    </row>
    <row r="7">
      <c r="A7" s="24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>
        <v>423</v>
      </c>
      <c r="L7" s="25" t="n">
        <v>227</v>
      </c>
      <c r="M7" s="25" t="n">
        <v>196</v>
      </c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6">
        <f>IF(B7=C7+D7,"✓","✗")</f>
        <v/>
      </c>
    </row>
    <row r="8">
      <c r="A8" s="21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>
        <v>16655</v>
      </c>
      <c r="L8" s="22" t="n">
        <v>9462</v>
      </c>
      <c r="M8" s="22" t="n">
        <v>7193</v>
      </c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3">
        <f>IF(B8=C8+D8,"✓","✗")</f>
        <v/>
      </c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>
        <v>10401</v>
      </c>
      <c r="L9" s="25" t="n">
        <v>5587</v>
      </c>
      <c r="M9" s="25" t="n">
        <v>4814</v>
      </c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6">
        <f>IF(B9=C9+D9,"✓","✗")</f>
        <v/>
      </c>
    </row>
    <row r="10">
      <c r="A10" s="21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>
        <v>16882</v>
      </c>
      <c r="L10" s="22" t="n">
        <v>9751</v>
      </c>
      <c r="M10" s="22" t="n">
        <v>7131</v>
      </c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3">
        <f>IF(B10=C10+D10,"✓","✗")</f>
        <v/>
      </c>
    </row>
    <row r="11">
      <c r="A11" s="24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>
        <v>19355</v>
      </c>
      <c r="L11" s="25" t="n">
        <v>10770</v>
      </c>
      <c r="M11" s="25" t="n">
        <v>8585</v>
      </c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6">
        <f>IF(B11=C11+D11,"✓","✗")</f>
        <v/>
      </c>
    </row>
    <row r="12">
      <c r="A12" s="21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>
        <v>16263</v>
      </c>
      <c r="L12" s="22" t="n">
        <v>9313</v>
      </c>
      <c r="M12" s="22" t="n">
        <v>6950</v>
      </c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3">
        <f>IF(B12=C12+D12,"✓","✗")</f>
        <v/>
      </c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>
        <v>17519</v>
      </c>
      <c r="L13" s="25" t="n">
        <v>5426</v>
      </c>
      <c r="M13" s="25" t="n">
        <v>12093</v>
      </c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6">
        <f>IF(B13=C13+D13,"✓","✗")</f>
        <v/>
      </c>
    </row>
    <row r="14">
      <c r="A14" s="21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>
        <v>27815</v>
      </c>
      <c r="L14" s="22" t="n">
        <v>12222</v>
      </c>
      <c r="M14" s="22" t="n">
        <v>15593</v>
      </c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3">
        <f>IF(B14=C14+D14,"✓","✗")</f>
        <v/>
      </c>
    </row>
    <row r="15">
      <c r="A15" s="24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>
        <v>12366</v>
      </c>
      <c r="L15" s="25" t="n">
        <v>6434</v>
      </c>
      <c r="M15" s="25" t="n">
        <v>5932</v>
      </c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6">
        <f>IF(B15=C15+D15,"✓","✗")</f>
        <v/>
      </c>
    </row>
    <row r="16">
      <c r="A16" s="21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>
        <v>9878</v>
      </c>
      <c r="L16" s="22" t="n">
        <v>5692</v>
      </c>
      <c r="M16" s="22" t="n">
        <v>4186</v>
      </c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3">
        <f>IF(B16=C16+D16,"✓","✗")</f>
        <v/>
      </c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>
        <v>18600</v>
      </c>
      <c r="L17" s="25" t="n">
        <v>8586</v>
      </c>
      <c r="M17" s="25" t="n">
        <v>10014</v>
      </c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6">
        <f>IF(B17=C17+D17,"✓","✗")</f>
        <v/>
      </c>
    </row>
    <row r="18">
      <c r="A18" s="21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>
        <v>8940</v>
      </c>
      <c r="L18" s="22" t="n">
        <v>4579</v>
      </c>
      <c r="M18" s="22" t="n">
        <v>4361</v>
      </c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3">
        <f>IF(B18=C18+D18,"✓","✗")</f>
        <v/>
      </c>
    </row>
    <row r="19">
      <c r="A19" s="24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>
        <v>9873</v>
      </c>
      <c r="L19" s="25" t="n">
        <v>4987</v>
      </c>
      <c r="M19" s="25" t="n">
        <v>4886</v>
      </c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6">
        <f>IF(B19=C19+D19,"✓","✗")</f>
        <v/>
      </c>
    </row>
    <row r="20">
      <c r="A20" s="21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>
        <v>25264</v>
      </c>
      <c r="L20" s="22" t="n">
        <v>12537</v>
      </c>
      <c r="M20" s="22" t="n">
        <v>12727</v>
      </c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3">
        <f>IF(B20=C20+D20,"✓","✗")</f>
        <v/>
      </c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>
        <v>8502</v>
      </c>
      <c r="L21" s="25" t="n">
        <v>5692</v>
      </c>
      <c r="M21" s="25" t="n">
        <v>2810</v>
      </c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6">
        <f>IF(B21=C21+D21,"✓","✗")</f>
        <v/>
      </c>
    </row>
    <row r="22">
      <c r="A22" s="21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>
        <v>12358</v>
      </c>
      <c r="L22" s="22" t="n">
        <v>7593</v>
      </c>
      <c r="M22" s="22" t="n">
        <v>4765</v>
      </c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3">
        <f>IF(B22=C22+D22,"✓","✗")</f>
        <v/>
      </c>
    </row>
    <row r="23">
      <c r="A23" s="24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>
        <v>23179</v>
      </c>
      <c r="L23" s="25" t="n">
        <v>12231</v>
      </c>
      <c r="M23" s="25" t="n">
        <v>10948</v>
      </c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6">
        <f>IF(B23=C23+D23,"✓","✗")</f>
        <v/>
      </c>
    </row>
    <row r="24">
      <c r="A24" s="21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>
        <v>8093</v>
      </c>
      <c r="L24" s="22" t="n">
        <v>5196</v>
      </c>
      <c r="M24" s="22" t="n">
        <v>2897</v>
      </c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3">
        <f>IF(B24=C24+D24,"✓","✗")</f>
        <v/>
      </c>
    </row>
    <row r="25">
      <c r="A25" s="24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>
        <v>87269</v>
      </c>
      <c r="L25" s="25" t="n">
        <v>48236</v>
      </c>
      <c r="M25" s="25" t="n">
        <v>39033</v>
      </c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6">
        <f>IF(B25=C25+D25,"✓","✗")</f>
        <v/>
      </c>
    </row>
    <row r="26">
      <c r="A26" s="21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>
        <v>292597</v>
      </c>
      <c r="L26" s="22" t="n">
        <v>152855</v>
      </c>
      <c r="M26" s="22" t="n">
        <v>139742</v>
      </c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3">
        <f>IF(B26=C26+D26,"✓","✗")</f>
        <v/>
      </c>
    </row>
    <row r="27">
      <c r="A27" s="27" t="inlineStr">
        <is>
          <t>Verify: Sum</t>
        </is>
      </c>
      <c r="B27" s="28">
        <f>IF(SUM(B6:B26)=B5,"✓",SUM(B6:B26)-B5)</f>
        <v/>
      </c>
      <c r="C27" s="28">
        <f>IF(SUM(C6:C26)=C5,"✓",SUM(C6:C26)-C5)</f>
        <v/>
      </c>
      <c r="D27" s="28">
        <f>IF(SUM(D6:D26)=D5,"✓",SUM(D6:D26)-D5)</f>
        <v/>
      </c>
      <c r="E27" s="28">
        <f>IF(SUM(E6:E26)=E5,"✓",SUM(E6:E26)-E5)</f>
        <v/>
      </c>
      <c r="F27" s="28">
        <f>IF(SUM(F6:F26)=F5,"✓",SUM(F6:F26)-F5)</f>
        <v/>
      </c>
      <c r="G27" s="28">
        <f>IF(SUM(G6:G26)=G5,"✓",SUM(G6:G26)-G5)</f>
        <v/>
      </c>
      <c r="H27" s="28">
        <f>IF(SUM(H6:H26)=H5,"✓",SUM(H6:H26)-H5)</f>
        <v/>
      </c>
      <c r="I27" s="28">
        <f>IF(SUM(I6:I26)=I5,"✓",SUM(I6:I26)-I5)</f>
        <v/>
      </c>
      <c r="J27" s="28">
        <f>IF(SUM(J6:J26)=J5,"✓",SUM(J6:J26)-J5)</f>
        <v/>
      </c>
      <c r="K27" s="28">
        <f>IF(SUM(K6:K26)=K5,"✓",SUM(K6:K26)-K5)</f>
        <v/>
      </c>
      <c r="L27" s="28">
        <f>IF(SUM(L6:L26)=L5,"✓",SUM(L6:L26)-L5)</f>
        <v/>
      </c>
      <c r="M27" s="28">
        <f>IF(SUM(M6:M26)=M5,"✓",SUM(M6:M26)-M5)</f>
        <v/>
      </c>
      <c r="N27" s="28">
        <f>IF(SUM(N6:N26)=N5,"✓",SUM(N6:N26)-N5)</f>
        <v/>
      </c>
      <c r="O27" s="28">
        <f>IF(SUM(O6:O26)=O5,"✓",SUM(O6:O26)-O5)</f>
        <v/>
      </c>
      <c r="P27" s="28">
        <f>IF(SUM(P6:P26)=P5,"✓",SUM(P6:P26)-P5)</f>
        <v/>
      </c>
      <c r="Q27" s="28">
        <f>IF(SUM(Q6:Q26)=Q5,"✓",SUM(Q6:Q26)-Q5)</f>
        <v/>
      </c>
      <c r="R27" s="28">
        <f>IF(SUM(R6:R26)=R5,"✓",SUM(R6:R26)-R5)</f>
        <v/>
      </c>
      <c r="S27" s="28">
        <f>IF(SUM(S6:S26)=S5,"✓",SUM(S6:S26)-S5)</f>
        <v/>
      </c>
      <c r="T27" s="28">
        <f>IF(SUM(T6:T26)=T5,"✓",SUM(T6:T26)-T5)</f>
        <v/>
      </c>
      <c r="U27" s="28">
        <f>IF(SUM(U6:U26)=U5,"✓",SUM(U6:U26)-U5)</f>
        <v/>
      </c>
      <c r="V27" s="28">
        <f>IF(SUM(V6:V26)=V5,"✓",SUM(V6:V26)-V5)</f>
        <v/>
      </c>
      <c r="W27" s="28">
        <f>IF(SUM(W6:W26)=W5,"✓",SUM(W6:W26)-W5)</f>
        <v/>
      </c>
      <c r="X27" s="28">
        <f>IF(SUM(X6:X26)=X5,"✓",SUM(X6:X26)-X5)</f>
        <v/>
      </c>
      <c r="Y27" s="28">
        <f>IF(SUM(Y6:Y26)=Y5,"✓",SUM(Y6:Y26)-Y5)</f>
        <v/>
      </c>
      <c r="Z27" s="28">
        <f>IF(SUM(Z6:Z26)=Z5,"✓",SUM(Z6:Z26)-Z5)</f>
        <v/>
      </c>
      <c r="AA27" s="28">
        <f>IF(SUM(AA6:AA26)=AA5,"✓",SUM(AA6:AA26)-AA5)</f>
        <v/>
      </c>
      <c r="AB27" s="28">
        <f>IF(SUM(AB6:AB26)=AB5,"✓",SUM(AB6:AB26)-AB5)</f>
        <v/>
      </c>
      <c r="AC27" s="28">
        <f>IF(SUM(AC6:AC26)=AC5,"✓",SUM(AC6:AC26)-AC5)</f>
        <v/>
      </c>
      <c r="AD27" s="28">
        <f>IF(SUM(AD6:AD26)=AD5,"✓",SUM(AD6:AD26)-AD5)</f>
        <v/>
      </c>
      <c r="AE27" s="28">
        <f>IF(SUM(AE6:AE26)=AE5,"✓",SUM(AE6:AE26)-AE5)</f>
        <v/>
      </c>
    </row>
  </sheetData>
  <mergeCells count="10">
    <mergeCell ref="B3:D3"/>
    <mergeCell ref="W3:Y3"/>
    <mergeCell ref="T3:V3"/>
    <mergeCell ref="AC3:AE3"/>
    <mergeCell ref="E3:G3"/>
    <mergeCell ref="K3:M3"/>
    <mergeCell ref="H3:J3"/>
    <mergeCell ref="Z3:AB3"/>
    <mergeCell ref="N3:P3"/>
    <mergeCell ref="Q3:S3"/>
  </mergeCells>
  <conditionalFormatting sqref="AF5:AF2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2026-03-21T11:46:19Z</dcterms:created>
  <dcterms:modified xmlns:dcterms="http://purl.org/dc/terms/" xmlns:xsi="http://www.w3.org/2001/XMLSchema-instance" xsi:type="dcterms:W3CDTF">2026-03-21T11:46:19Z</dcterms:modified>
</cp:coreProperties>
</file>