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GE PERIODS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1" t="inlineStr">
        <is>
          <t>AGE PERIODS.</t>
        </is>
      </c>
    </row>
    <row r="2">
      <c r="A2" s="2" t="inlineStr">
        <is>
          <t>Source: AGE PERIODS.</t>
        </is>
      </c>
    </row>
    <row r="3">
      <c r="A3" s="3" t="inlineStr">
        <is>
          <t>AGE PERIODS.</t>
        </is>
      </c>
    </row>
    <row r="4">
      <c r="A4" s="4" t="inlineStr">
        <is>
          <t>Districts</t>
        </is>
      </c>
      <c r="B4" s="5" t="inlineStr">
        <is>
          <t>15-20.</t>
        </is>
      </c>
      <c r="C4" s="6" t="n"/>
      <c r="D4" s="6" t="n"/>
      <c r="E4" s="7" t="inlineStr">
        <is>
          <t>20-25.</t>
        </is>
      </c>
      <c r="F4" s="8" t="n"/>
      <c r="G4" s="8" t="n"/>
      <c r="H4" s="9" t="inlineStr">
        <is>
          <t>25-30.</t>
        </is>
      </c>
      <c r="I4" s="10" t="n"/>
      <c r="J4" s="10" t="n"/>
      <c r="K4" s="11" t="inlineStr">
        <is>
          <t>30-35.</t>
        </is>
      </c>
      <c r="L4" s="12" t="n"/>
      <c r="M4" s="12" t="n"/>
      <c r="N4" s="13" t="inlineStr">
        <is>
          <t>35-40.</t>
        </is>
      </c>
      <c r="O4" s="14" t="n"/>
      <c r="P4" s="14" t="n"/>
      <c r="Q4" s="5" t="inlineStr">
        <is>
          <t>40-45.</t>
        </is>
      </c>
      <c r="R4" s="6" t="n"/>
      <c r="S4" s="6" t="n"/>
      <c r="T4" s="7" t="inlineStr">
        <is>
          <t>45-50.</t>
        </is>
      </c>
      <c r="U4" s="8" t="n"/>
      <c r="V4" s="8" t="n"/>
      <c r="W4" s="9" t="inlineStr">
        <is>
          <t>50-55.</t>
        </is>
      </c>
      <c r="X4" s="10" t="n"/>
      <c r="Y4" s="10" t="n"/>
      <c r="Z4" s="11" t="inlineStr">
        <is>
          <t>55-60.</t>
        </is>
      </c>
      <c r="AA4" s="12" t="n"/>
      <c r="AB4" s="12" t="n"/>
      <c r="AC4" s="13" t="inlineStr">
        <is>
          <t>60 an over.</t>
        </is>
      </c>
      <c r="AD4" s="14" t="n"/>
      <c r="AE4" s="14" t="n"/>
      <c r="AF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Persons</t>
        </is>
      </c>
      <c r="AD5" s="17" t="inlineStr">
        <is>
          <t>Males</t>
        </is>
      </c>
      <c r="AE5" s="17" t="inlineStr">
        <is>
          <t>Females</t>
        </is>
      </c>
      <c r="AF5" s="17" t="inlineStr">
        <is>
          <t>M+F=P</t>
        </is>
      </c>
    </row>
    <row r="6">
      <c r="A6" s="18" t="inlineStr">
        <is>
          <t>Total</t>
        </is>
      </c>
      <c r="B6" s="19" t="n">
        <v>29310</v>
      </c>
      <c r="C6" s="19" t="n">
        <v>25329</v>
      </c>
      <c r="D6" s="19" t="n">
        <v>3981</v>
      </c>
      <c r="E6" s="19" t="n">
        <v>17888</v>
      </c>
      <c r="F6" s="19" t="n">
        <v>15850</v>
      </c>
      <c r="G6" s="19" t="n">
        <v>2038</v>
      </c>
      <c r="H6" s="19" t="n">
        <v>8657</v>
      </c>
      <c r="I6" s="19" t="n">
        <v>7442</v>
      </c>
      <c r="J6" s="19" t="n">
        <v>1215</v>
      </c>
      <c r="K6" s="19" t="n">
        <v>6945</v>
      </c>
      <c r="L6" s="19" t="n">
        <v>5666</v>
      </c>
      <c r="M6" s="19" t="n">
        <v>1279</v>
      </c>
      <c r="N6" s="19" t="n">
        <v>3497</v>
      </c>
      <c r="O6" s="19" t="n">
        <v>2708</v>
      </c>
      <c r="P6" s="19" t="n">
        <v>789</v>
      </c>
      <c r="Q6" s="19" t="n">
        <v>2891</v>
      </c>
      <c r="R6" s="19" t="n">
        <v>2383</v>
      </c>
      <c r="S6" s="19" t="n">
        <v>508</v>
      </c>
      <c r="T6" s="19" t="n">
        <v>1114</v>
      </c>
      <c r="U6" s="19" t="n">
        <v>845</v>
      </c>
      <c r="V6" s="19" t="n">
        <v>269</v>
      </c>
      <c r="W6" s="19" t="n">
        <v>1442</v>
      </c>
      <c r="X6" s="19" t="n">
        <v>1129</v>
      </c>
      <c r="Y6" s="19" t="n">
        <v>313</v>
      </c>
      <c r="Z6" s="19" t="n">
        <v>1636</v>
      </c>
      <c r="AA6" s="19" t="n">
        <v>1486</v>
      </c>
      <c r="AB6" s="19" t="n">
        <v>150</v>
      </c>
      <c r="AC6" s="19" t="n">
        <v>1041</v>
      </c>
      <c r="AD6" s="19" t="n">
        <v>754</v>
      </c>
      <c r="AE6" s="19" t="n">
        <v>287</v>
      </c>
      <c r="AF6" s="20">
        <f>IF(B6=C6+D6,"✓","✗")</f>
        <v/>
      </c>
    </row>
    <row r="7">
      <c r="A7" s="21" t="inlineStr">
        <is>
          <t>Gwalior Prant-Gwalior</t>
        </is>
      </c>
      <c r="B7" s="22" t="n">
        <v>9511</v>
      </c>
      <c r="C7" s="22" t="n">
        <v>8599</v>
      </c>
      <c r="D7" s="22" t="n">
        <v>912</v>
      </c>
      <c r="E7" s="22" t="n">
        <v>5959</v>
      </c>
      <c r="F7" s="22" t="n">
        <v>5563</v>
      </c>
      <c r="G7" s="22" t="n">
        <v>396</v>
      </c>
      <c r="H7" s="22" t="n">
        <v>3453</v>
      </c>
      <c r="I7" s="22" t="n">
        <v>3145</v>
      </c>
      <c r="J7" s="22" t="n">
        <v>308</v>
      </c>
      <c r="K7" s="22" t="n">
        <v>2429</v>
      </c>
      <c r="L7" s="22" t="n">
        <v>2175</v>
      </c>
      <c r="M7" s="22" t="n">
        <v>254</v>
      </c>
      <c r="N7" s="22" t="n">
        <v>1169</v>
      </c>
      <c r="O7" s="22" t="n">
        <v>1000</v>
      </c>
      <c r="P7" s="22" t="n">
        <v>169</v>
      </c>
      <c r="Q7" s="22" t="n">
        <v>1915</v>
      </c>
      <c r="R7" s="22" t="n">
        <v>1712</v>
      </c>
      <c r="S7" s="22" t="n">
        <v>203</v>
      </c>
      <c r="T7" s="22" t="n">
        <v>763</v>
      </c>
      <c r="U7" s="22" t="n">
        <v>698</v>
      </c>
      <c r="V7" s="22" t="n">
        <v>65</v>
      </c>
      <c r="W7" s="22" t="n">
        <v>634</v>
      </c>
      <c r="X7" s="22" t="n">
        <v>540</v>
      </c>
      <c r="Y7" s="22" t="n">
        <v>94</v>
      </c>
      <c r="Z7" s="22" t="n">
        <v>179</v>
      </c>
      <c r="AA7" s="22" t="n">
        <v>159</v>
      </c>
      <c r="AB7" s="22" t="n">
        <v>20</v>
      </c>
      <c r="AC7" s="22" t="n">
        <v>595</v>
      </c>
      <c r="AD7" s="22" t="n">
        <v>395</v>
      </c>
      <c r="AE7" s="22" t="n">
        <v>200</v>
      </c>
      <c r="AF7" s="23">
        <f>IF(B7=C7+D7,"✓","✗")</f>
        <v/>
      </c>
    </row>
    <row r="8">
      <c r="A8" s="24" t="inlineStr">
        <is>
          <t>Susera</t>
        </is>
      </c>
      <c r="B8" s="25" t="n">
        <v>105</v>
      </c>
      <c r="C8" s="25" t="n">
        <v>100</v>
      </c>
      <c r="D8" s="25" t="n">
        <v>5</v>
      </c>
      <c r="E8" s="25" t="n">
        <v>63</v>
      </c>
      <c r="F8" s="25" t="n">
        <v>63</v>
      </c>
      <c r="G8" s="25" t="n">
        <v>0</v>
      </c>
      <c r="H8" s="25" t="n">
        <v>34</v>
      </c>
      <c r="I8" s="25" t="n">
        <v>33</v>
      </c>
      <c r="J8" s="25" t="n">
        <v>1</v>
      </c>
      <c r="K8" s="25" t="n">
        <v>15</v>
      </c>
      <c r="L8" s="25" t="n">
        <v>15</v>
      </c>
      <c r="M8" s="25" t="n">
        <v>0</v>
      </c>
      <c r="N8" s="25" t="n">
        <v>11</v>
      </c>
      <c r="O8" s="25" t="n">
        <v>9</v>
      </c>
      <c r="P8" s="25" t="n">
        <v>2</v>
      </c>
      <c r="Q8" s="25" t="n">
        <v>15</v>
      </c>
      <c r="R8" s="25" t="n">
        <v>13</v>
      </c>
      <c r="S8" s="25" t="n">
        <v>2</v>
      </c>
      <c r="T8" s="25" t="n">
        <v>3</v>
      </c>
      <c r="U8" s="25" t="n">
        <v>3</v>
      </c>
      <c r="V8" s="25" t="n">
        <v>0</v>
      </c>
      <c r="W8" s="25" t="n">
        <v>4</v>
      </c>
      <c r="X8" s="25" t="n">
        <v>4</v>
      </c>
      <c r="Y8" s="25" t="n">
        <v>0</v>
      </c>
      <c r="Z8" s="25" t="n">
        <v>1</v>
      </c>
      <c r="AA8" s="25" t="n">
        <v>1</v>
      </c>
      <c r="AB8" s="25" t="n">
        <v>0</v>
      </c>
      <c r="AC8" s="25" t="n">
        <v>6</v>
      </c>
      <c r="AD8" s="25" t="n">
        <v>6</v>
      </c>
      <c r="AE8" s="25" t="n">
        <v>0</v>
      </c>
      <c r="AF8" s="26">
        <f>IF(B8=C8+D8,"✓","✗")</f>
        <v/>
      </c>
    </row>
    <row r="9">
      <c r="A9" s="21" t="inlineStr">
        <is>
          <t>Sikarwari</t>
        </is>
      </c>
      <c r="B9" s="22" t="n">
        <v>5778</v>
      </c>
      <c r="C9" s="22" t="n">
        <v>5323</v>
      </c>
      <c r="D9" s="22" t="n">
        <v>455</v>
      </c>
      <c r="E9" s="22" t="n">
        <v>3792</v>
      </c>
      <c r="F9" s="22" t="n">
        <v>3591</v>
      </c>
      <c r="G9" s="22" t="n">
        <v>201</v>
      </c>
      <c r="H9" s="22" t="n">
        <v>2145</v>
      </c>
      <c r="I9" s="22" t="n">
        <v>2019</v>
      </c>
      <c r="J9" s="22" t="n">
        <v>126</v>
      </c>
      <c r="K9" s="22" t="n">
        <v>1637</v>
      </c>
      <c r="L9" s="22" t="n">
        <v>1527</v>
      </c>
      <c r="M9" s="22" t="n">
        <v>110</v>
      </c>
      <c r="N9" s="22" t="n">
        <v>641</v>
      </c>
      <c r="O9" s="22" t="n">
        <v>600</v>
      </c>
      <c r="P9" s="22" t="n">
        <v>41</v>
      </c>
      <c r="Q9" s="22" t="n">
        <v>970</v>
      </c>
      <c r="R9" s="22" t="n">
        <v>892</v>
      </c>
      <c r="S9" s="22" t="n">
        <v>78</v>
      </c>
      <c r="T9" s="22" t="n">
        <v>285</v>
      </c>
      <c r="U9" s="22" t="n">
        <v>265</v>
      </c>
      <c r="V9" s="22" t="n">
        <v>20</v>
      </c>
      <c r="W9" s="22" t="n">
        <v>428</v>
      </c>
      <c r="X9" s="22" t="n">
        <v>402</v>
      </c>
      <c r="Y9" s="22" t="n">
        <v>26</v>
      </c>
      <c r="Z9" s="22" t="n">
        <v>87</v>
      </c>
      <c r="AA9" s="22" t="n">
        <v>82</v>
      </c>
      <c r="AB9" s="22" t="n">
        <v>5</v>
      </c>
      <c r="AC9" s="22" t="n">
        <v>674</v>
      </c>
      <c r="AD9" s="22" t="n">
        <v>624</v>
      </c>
      <c r="AE9" s="22" t="n">
        <v>50</v>
      </c>
      <c r="AF9" s="23">
        <f>IF(B9=C9+D9,"✓","✗")</f>
        <v/>
      </c>
    </row>
    <row r="10">
      <c r="A10" s="24" t="inlineStr">
        <is>
          <t>Sabalgarh</t>
        </is>
      </c>
      <c r="B10" s="25" t="n">
        <v>3371</v>
      </c>
      <c r="C10" s="25" t="n">
        <v>3081</v>
      </c>
      <c r="D10" s="25" t="n">
        <v>290</v>
      </c>
      <c r="E10" s="25" t="n">
        <v>2067</v>
      </c>
      <c r="F10" s="25" t="n">
        <v>1919</v>
      </c>
      <c r="G10" s="25" t="n">
        <v>148</v>
      </c>
      <c r="H10" s="25" t="n">
        <v>1173</v>
      </c>
      <c r="I10" s="25" t="n">
        <v>1088</v>
      </c>
      <c r="J10" s="25" t="n">
        <v>85</v>
      </c>
      <c r="K10" s="25" t="n">
        <v>764</v>
      </c>
      <c r="L10" s="25" t="n">
        <v>680</v>
      </c>
      <c r="M10" s="25" t="n">
        <v>84</v>
      </c>
      <c r="N10" s="25" t="n">
        <v>526</v>
      </c>
      <c r="O10" s="25" t="n">
        <v>487</v>
      </c>
      <c r="P10" s="25" t="n">
        <v>39</v>
      </c>
      <c r="Q10" s="25" t="n">
        <v>456</v>
      </c>
      <c r="R10" s="25" t="n">
        <v>415</v>
      </c>
      <c r="S10" s="25" t="n">
        <v>41</v>
      </c>
      <c r="T10" s="25" t="n">
        <v>189</v>
      </c>
      <c r="U10" s="25" t="n">
        <v>162</v>
      </c>
      <c r="V10" s="25" t="n">
        <v>27</v>
      </c>
      <c r="W10" s="25" t="n">
        <v>203</v>
      </c>
      <c r="X10" s="25" t="n">
        <v>182</v>
      </c>
      <c r="Y10" s="25" t="n">
        <v>21</v>
      </c>
      <c r="Z10" s="25" t="n">
        <v>663</v>
      </c>
      <c r="AA10" s="25" t="n">
        <v>655</v>
      </c>
      <c r="AB10" s="25" t="n">
        <v>8</v>
      </c>
      <c r="AC10" s="25" t="n">
        <v>3303</v>
      </c>
      <c r="AD10" s="25" t="n">
        <v>3293</v>
      </c>
      <c r="AE10" s="25" t="n">
        <v>10</v>
      </c>
      <c r="AF10" s="26">
        <f>IF(B10=C10+D10,"✓","✗")</f>
        <v/>
      </c>
    </row>
    <row r="11">
      <c r="A11" s="21" t="inlineStr">
        <is>
          <t>Tawarghar</t>
        </is>
      </c>
      <c r="B11" s="22" t="n">
        <v>4455</v>
      </c>
      <c r="C11" s="22" t="n">
        <v>4297</v>
      </c>
      <c r="D11" s="22" t="n">
        <v>158</v>
      </c>
      <c r="E11" s="22" t="n">
        <v>3116</v>
      </c>
      <c r="F11" s="22" t="n">
        <v>2935</v>
      </c>
      <c r="G11" s="22" t="n">
        <v>181</v>
      </c>
      <c r="H11" s="22" t="n">
        <v>2288</v>
      </c>
      <c r="I11" s="22" t="n">
        <v>2185</v>
      </c>
      <c r="J11" s="22" t="n">
        <v>103</v>
      </c>
      <c r="K11" s="22" t="n">
        <v>1570</v>
      </c>
      <c r="L11" s="22" t="n">
        <v>1474</v>
      </c>
      <c r="M11" s="22" t="n">
        <v>96</v>
      </c>
      <c r="N11" s="22" t="n">
        <v>834</v>
      </c>
      <c r="O11" s="22" t="n">
        <v>800</v>
      </c>
      <c r="P11" s="22" t="n">
        <v>34</v>
      </c>
      <c r="Q11" s="22" t="n">
        <v>993</v>
      </c>
      <c r="R11" s="22" t="n">
        <v>917</v>
      </c>
      <c r="S11" s="22" t="n">
        <v>76</v>
      </c>
      <c r="T11" s="22" t="n">
        <v>481</v>
      </c>
      <c r="U11" s="22" t="n">
        <v>456</v>
      </c>
      <c r="V11" s="22" t="n">
        <v>25</v>
      </c>
      <c r="W11" s="22" t="n">
        <v>548</v>
      </c>
      <c r="X11" s="22" t="n">
        <v>498</v>
      </c>
      <c r="Y11" s="22" t="n">
        <v>50</v>
      </c>
      <c r="Z11" s="22" t="n">
        <v>133</v>
      </c>
      <c r="AA11" s="22" t="n">
        <v>111</v>
      </c>
      <c r="AB11" s="22" t="n">
        <v>22</v>
      </c>
      <c r="AC11" s="22" t="n">
        <v>348</v>
      </c>
      <c r="AD11" s="22" t="n">
        <v>320</v>
      </c>
      <c r="AE11" s="22" t="n">
        <v>28</v>
      </c>
      <c r="AF11" s="23">
        <f>IF(B11=C11+D11,"✓","✗")</f>
        <v/>
      </c>
    </row>
    <row r="12">
      <c r="A12" s="24" t="inlineStr">
        <is>
          <t>Bhind</t>
        </is>
      </c>
      <c r="B12" s="25" t="n">
        <v>6241</v>
      </c>
      <c r="C12" s="25" t="n">
        <v>5518</v>
      </c>
      <c r="D12" s="25" t="n">
        <v>723</v>
      </c>
      <c r="E12" s="25" t="n">
        <v>5750</v>
      </c>
      <c r="F12" s="25" t="n">
        <v>4949</v>
      </c>
      <c r="G12" s="25" t="n">
        <v>801</v>
      </c>
      <c r="H12" s="25" t="n">
        <v>2985</v>
      </c>
      <c r="I12" s="25" t="n">
        <v>2789</v>
      </c>
      <c r="J12" s="25" t="n">
        <v>196</v>
      </c>
      <c r="K12" s="25" t="n">
        <v>2621</v>
      </c>
      <c r="L12" s="25" t="n">
        <v>2503</v>
      </c>
      <c r="M12" s="25" t="n">
        <v>118</v>
      </c>
      <c r="N12" s="25" t="n">
        <v>1910</v>
      </c>
      <c r="O12" s="25" t="n">
        <v>1866</v>
      </c>
      <c r="P12" s="25" t="n">
        <v>44</v>
      </c>
      <c r="Q12" s="25" t="n">
        <v>1497</v>
      </c>
      <c r="R12" s="25" t="n">
        <v>1351</v>
      </c>
      <c r="S12" s="25" t="n">
        <v>146</v>
      </c>
      <c r="T12" s="25" t="n">
        <v>741</v>
      </c>
      <c r="U12" s="25" t="n">
        <v>724</v>
      </c>
      <c r="V12" s="25" t="n">
        <v>17</v>
      </c>
      <c r="W12" s="25" t="n">
        <v>1187</v>
      </c>
      <c r="X12" s="25" t="n">
        <v>1152</v>
      </c>
      <c r="Y12" s="25" t="n">
        <v>35</v>
      </c>
      <c r="Z12" s="25" t="n">
        <v>285</v>
      </c>
      <c r="AA12" s="25" t="n">
        <v>273</v>
      </c>
      <c r="AB12" s="25" t="n">
        <v>12</v>
      </c>
      <c r="AC12" s="25" t="n">
        <v>268</v>
      </c>
      <c r="AD12" s="25" t="n">
        <v>228</v>
      </c>
      <c r="AE12" s="25" t="n">
        <v>40</v>
      </c>
      <c r="AF12" s="26">
        <f>IF(B12=C12+D12,"✓","✗")</f>
        <v/>
      </c>
    </row>
    <row r="13">
      <c r="A13" s="21" t="inlineStr">
        <is>
          <t>Bhander</t>
        </is>
      </c>
      <c r="B13" s="22" t="n">
        <v>4429</v>
      </c>
      <c r="C13" s="22" t="n">
        <v>4160</v>
      </c>
      <c r="D13" s="22" t="n">
        <v>269</v>
      </c>
      <c r="E13" s="22" t="n">
        <v>2343</v>
      </c>
      <c r="F13" s="22" t="n">
        <v>2208</v>
      </c>
      <c r="G13" s="22" t="n">
        <v>135</v>
      </c>
      <c r="H13" s="22" t="n">
        <v>1485</v>
      </c>
      <c r="I13" s="22" t="n">
        <v>1379</v>
      </c>
      <c r="J13" s="22" t="n">
        <v>106</v>
      </c>
      <c r="K13" s="22" t="n">
        <v>2480</v>
      </c>
      <c r="L13" s="22" t="n">
        <v>2380</v>
      </c>
      <c r="M13" s="22" t="n">
        <v>100</v>
      </c>
      <c r="N13" s="22" t="n">
        <v>1084</v>
      </c>
      <c r="O13" s="22" t="n">
        <v>1046</v>
      </c>
      <c r="P13" s="22" t="n">
        <v>38</v>
      </c>
      <c r="Q13" s="22" t="n">
        <v>584</v>
      </c>
      <c r="R13" s="22" t="n">
        <v>532</v>
      </c>
      <c r="S13" s="22" t="n">
        <v>52</v>
      </c>
      <c r="T13" s="22" t="n">
        <v>296</v>
      </c>
      <c r="U13" s="22" t="n">
        <v>280</v>
      </c>
      <c r="V13" s="22" t="n">
        <v>16</v>
      </c>
      <c r="W13" s="22" t="n">
        <v>222</v>
      </c>
      <c r="X13" s="22" t="n">
        <v>196</v>
      </c>
      <c r="Y13" s="22" t="n">
        <v>26</v>
      </c>
      <c r="Z13" s="22" t="n">
        <v>288</v>
      </c>
      <c r="AA13" s="22" t="n">
        <v>205</v>
      </c>
      <c r="AB13" s="22" t="n">
        <v>83</v>
      </c>
      <c r="AC13" s="22" t="n">
        <v>515</v>
      </c>
      <c r="AD13" s="22" t="n">
        <v>487</v>
      </c>
      <c r="AE13" s="22" t="n">
        <v>28</v>
      </c>
      <c r="AF13" s="23">
        <f>IF(B13=C13+D13,"✓","✗")</f>
        <v/>
      </c>
    </row>
    <row r="14">
      <c r="A14" s="24" t="inlineStr">
        <is>
          <t>Isagarh Prant-Isagarh</t>
        </is>
      </c>
      <c r="B14" s="25" t="n">
        <v>3356</v>
      </c>
      <c r="C14" s="25" t="n">
        <v>2471</v>
      </c>
      <c r="D14" s="25" t="n">
        <v>885</v>
      </c>
      <c r="E14" s="25" t="n">
        <v>9555</v>
      </c>
      <c r="F14" s="25" t="n">
        <v>3248</v>
      </c>
      <c r="G14" s="25" t="n">
        <v>6307</v>
      </c>
      <c r="H14" s="25" t="n">
        <v>6377</v>
      </c>
      <c r="I14" s="25" t="n">
        <v>1137</v>
      </c>
      <c r="J14" s="25" t="n">
        <v>5240</v>
      </c>
      <c r="K14" s="25" t="n">
        <v>7154</v>
      </c>
      <c r="L14" s="25" t="n">
        <v>1011</v>
      </c>
      <c r="M14" s="25" t="n">
        <v>6143</v>
      </c>
      <c r="N14" s="25" t="n">
        <v>5619</v>
      </c>
      <c r="O14" s="25" t="n">
        <v>535</v>
      </c>
      <c r="P14" s="25" t="n">
        <v>5084</v>
      </c>
      <c r="Q14" s="25" t="n">
        <v>1421</v>
      </c>
      <c r="R14" s="25" t="n">
        <v>484</v>
      </c>
      <c r="S14" s="25" t="n">
        <v>937</v>
      </c>
      <c r="T14" s="25" t="n">
        <v>211</v>
      </c>
      <c r="U14" s="25" t="n">
        <v>172</v>
      </c>
      <c r="V14" s="25" t="n">
        <v>39</v>
      </c>
      <c r="W14" s="25" t="n">
        <v>151</v>
      </c>
      <c r="X14" s="25" t="n">
        <v>122</v>
      </c>
      <c r="Y14" s="25" t="n">
        <v>29</v>
      </c>
      <c r="Z14" s="25" t="n"/>
      <c r="AA14" s="25" t="n"/>
      <c r="AB14" s="25" t="n"/>
      <c r="AC14" s="25" t="n">
        <v>131</v>
      </c>
      <c r="AD14" s="25" t="n">
        <v>78</v>
      </c>
      <c r="AE14" s="25" t="n">
        <v>53</v>
      </c>
      <c r="AF14" s="26">
        <f>IF(B14=C14+D14,"✓","✗")</f>
        <v/>
      </c>
    </row>
    <row r="15">
      <c r="A15" s="21" t="inlineStr">
        <is>
          <t>Pichhor</t>
        </is>
      </c>
      <c r="B15" s="22" t="n">
        <v>7076</v>
      </c>
      <c r="C15" s="22" t="n">
        <v>6391</v>
      </c>
      <c r="D15" s="22" t="n">
        <v>685</v>
      </c>
      <c r="E15" s="22" t="n">
        <v>12982</v>
      </c>
      <c r="F15" s="22" t="n">
        <v>4732</v>
      </c>
      <c r="G15" s="22" t="n">
        <v>8250</v>
      </c>
      <c r="H15" s="22" t="n">
        <v>11017</v>
      </c>
      <c r="I15" s="22" t="n">
        <v>2770</v>
      </c>
      <c r="J15" s="22" t="n">
        <v>8247</v>
      </c>
      <c r="K15" s="22" t="n">
        <v>10550</v>
      </c>
      <c r="L15" s="22" t="n">
        <v>2382</v>
      </c>
      <c r="M15" s="22" t="n">
        <v>8168</v>
      </c>
      <c r="N15" s="22" t="n">
        <v>10384</v>
      </c>
      <c r="O15" s="22" t="n">
        <v>2288</v>
      </c>
      <c r="P15" s="22" t="n">
        <v>8096</v>
      </c>
      <c r="Q15" s="22" t="n">
        <v>1461</v>
      </c>
      <c r="R15" s="22" t="n">
        <v>1069</v>
      </c>
      <c r="S15" s="22" t="n">
        <v>392</v>
      </c>
      <c r="T15" s="22" t="n">
        <v>465</v>
      </c>
      <c r="U15" s="22" t="n">
        <v>424</v>
      </c>
      <c r="V15" s="22" t="n">
        <v>41</v>
      </c>
      <c r="W15" s="22" t="n">
        <v>610</v>
      </c>
      <c r="X15" s="22" t="n">
        <v>575</v>
      </c>
      <c r="Y15" s="22" t="n">
        <v>35</v>
      </c>
      <c r="Z15" s="22" t="n"/>
      <c r="AA15" s="22" t="n"/>
      <c r="AB15" s="22" t="n"/>
      <c r="AC15" s="22" t="n">
        <v>1675</v>
      </c>
      <c r="AD15" s="22" t="n">
        <v>1653</v>
      </c>
      <c r="AE15" s="22" t="n">
        <v>22</v>
      </c>
      <c r="AF15" s="23">
        <f>IF(B15=C15+D15,"✓","✗")</f>
        <v/>
      </c>
    </row>
    <row r="16">
      <c r="A16" s="24" t="inlineStr">
        <is>
          <t>Bajrangarh</t>
        </is>
      </c>
      <c r="B16" s="25" t="n">
        <v>3993</v>
      </c>
      <c r="C16" s="25" t="n">
        <v>3466</v>
      </c>
      <c r="D16" s="25" t="n">
        <v>527</v>
      </c>
      <c r="E16" s="25" t="n">
        <v>2099</v>
      </c>
      <c r="F16" s="25" t="n">
        <v>1815</v>
      </c>
      <c r="G16" s="25" t="n">
        <v>284</v>
      </c>
      <c r="H16" s="25" t="n">
        <v>1206</v>
      </c>
      <c r="I16" s="25" t="n">
        <v>1037</v>
      </c>
      <c r="J16" s="25" t="n">
        <v>169</v>
      </c>
      <c r="K16" s="25" t="n">
        <v>670</v>
      </c>
      <c r="L16" s="25" t="n">
        <v>589</v>
      </c>
      <c r="M16" s="25" t="n">
        <v>81</v>
      </c>
      <c r="N16" s="25" t="n">
        <v>345</v>
      </c>
      <c r="O16" s="25" t="n">
        <v>259</v>
      </c>
      <c r="P16" s="25" t="n">
        <v>86</v>
      </c>
      <c r="Q16" s="25" t="n">
        <v>252</v>
      </c>
      <c r="R16" s="25" t="n">
        <v>204</v>
      </c>
      <c r="S16" s="25" t="n">
        <v>48</v>
      </c>
      <c r="T16" s="25" t="n">
        <v>171</v>
      </c>
      <c r="U16" s="25" t="n">
        <v>123</v>
      </c>
      <c r="V16" s="25" t="n">
        <v>48</v>
      </c>
      <c r="W16" s="25" t="n">
        <v>172</v>
      </c>
      <c r="X16" s="25" t="n">
        <v>130</v>
      </c>
      <c r="Y16" s="25" t="n">
        <v>42</v>
      </c>
      <c r="Z16" s="25" t="n"/>
      <c r="AA16" s="25" t="n"/>
      <c r="AB16" s="25" t="n"/>
      <c r="AC16" s="25" t="n">
        <v>108</v>
      </c>
      <c r="AD16" s="25" t="n">
        <v>74</v>
      </c>
      <c r="AE16" s="25" t="n">
        <v>34</v>
      </c>
      <c r="AF16" s="26">
        <f>IF(B16=C16+D16,"✓","✗")</f>
        <v/>
      </c>
    </row>
    <row r="17">
      <c r="A17" s="21" t="inlineStr">
        <is>
          <t>Bhilsa</t>
        </is>
      </c>
      <c r="B17" s="22" t="n">
        <v>4020</v>
      </c>
      <c r="C17" s="22" t="n">
        <v>3402</v>
      </c>
      <c r="D17" s="22" t="n">
        <v>618</v>
      </c>
      <c r="E17" s="22" t="n">
        <v>2175</v>
      </c>
      <c r="F17" s="22" t="n">
        <v>1941</v>
      </c>
      <c r="G17" s="22" t="n">
        <v>234</v>
      </c>
      <c r="H17" s="22" t="n">
        <v>1228</v>
      </c>
      <c r="I17" s="22" t="n">
        <v>1057</v>
      </c>
      <c r="J17" s="22" t="n">
        <v>171</v>
      </c>
      <c r="K17" s="22" t="n">
        <v>698</v>
      </c>
      <c r="L17" s="22" t="n">
        <v>570</v>
      </c>
      <c r="M17" s="22" t="n">
        <v>128</v>
      </c>
      <c r="N17" s="22" t="n">
        <v>335</v>
      </c>
      <c r="O17" s="22" t="n">
        <v>278</v>
      </c>
      <c r="P17" s="22" t="n">
        <v>57</v>
      </c>
      <c r="Q17" s="22" t="n">
        <v>279</v>
      </c>
      <c r="R17" s="22" t="n">
        <v>225</v>
      </c>
      <c r="S17" s="22" t="n">
        <v>54</v>
      </c>
      <c r="T17" s="22" t="n">
        <v>97</v>
      </c>
      <c r="U17" s="22" t="n">
        <v>79</v>
      </c>
      <c r="V17" s="22" t="n">
        <v>18</v>
      </c>
      <c r="W17" s="22" t="n">
        <v>138</v>
      </c>
      <c r="X17" s="22" t="n">
        <v>109</v>
      </c>
      <c r="Y17" s="22" t="n">
        <v>29</v>
      </c>
      <c r="Z17" s="22" t="n"/>
      <c r="AA17" s="22" t="n"/>
      <c r="AB17" s="22" t="n"/>
      <c r="AC17" s="22" t="n">
        <v>106</v>
      </c>
      <c r="AD17" s="22" t="n">
        <v>73</v>
      </c>
      <c r="AE17" s="22" t="n">
        <v>33</v>
      </c>
      <c r="AF17" s="23">
        <f>IF(B17=C17+D17,"✓","✗")</f>
        <v/>
      </c>
    </row>
    <row r="18">
      <c r="A18" s="24" t="inlineStr">
        <is>
          <t>Narwar</t>
        </is>
      </c>
      <c r="B18" s="25" t="n">
        <v>5246</v>
      </c>
      <c r="C18" s="25" t="n">
        <v>4233</v>
      </c>
      <c r="D18" s="25" t="n">
        <v>1013</v>
      </c>
      <c r="E18" s="25" t="n">
        <v>7105</v>
      </c>
      <c r="F18" s="25" t="n">
        <v>1942</v>
      </c>
      <c r="G18" s="25" t="n">
        <v>5163</v>
      </c>
      <c r="H18" s="25" t="n">
        <v>6888</v>
      </c>
      <c r="I18" s="25" t="n">
        <v>1784</v>
      </c>
      <c r="J18" s="25" t="n">
        <v>5104</v>
      </c>
      <c r="K18" s="25" t="n">
        <v>3988</v>
      </c>
      <c r="L18" s="25" t="n">
        <v>897</v>
      </c>
      <c r="M18" s="25" t="n">
        <v>3091</v>
      </c>
      <c r="N18" s="25" t="n">
        <v>5457</v>
      </c>
      <c r="O18" s="25" t="n">
        <v>429</v>
      </c>
      <c r="P18" s="25" t="n">
        <v>5028</v>
      </c>
      <c r="Q18" s="25" t="n">
        <v>471</v>
      </c>
      <c r="R18" s="25" t="n">
        <v>439</v>
      </c>
      <c r="S18" s="25" t="n">
        <v>32</v>
      </c>
      <c r="T18" s="25" t="n">
        <v>705</v>
      </c>
      <c r="U18" s="25" t="n">
        <v>196</v>
      </c>
      <c r="V18" s="25" t="n">
        <v>509</v>
      </c>
      <c r="W18" s="25" t="n">
        <v>350</v>
      </c>
      <c r="X18" s="25" t="n">
        <v>331</v>
      </c>
      <c r="Y18" s="25" t="n">
        <v>19</v>
      </c>
      <c r="Z18" s="25" t="n"/>
      <c r="AA18" s="25" t="n"/>
      <c r="AB18" s="25" t="n"/>
      <c r="AC18" s="25" t="n">
        <v>140</v>
      </c>
      <c r="AD18" s="25" t="n">
        <v>108</v>
      </c>
      <c r="AE18" s="25" t="n">
        <v>32</v>
      </c>
      <c r="AF18" s="26">
        <f>IF(B18=C18+D18,"✓","✗")</f>
        <v/>
      </c>
    </row>
    <row r="19">
      <c r="A19" s="21" t="inlineStr">
        <is>
          <t>Sheopur</t>
        </is>
      </c>
      <c r="B19" s="22" t="n">
        <v>3982</v>
      </c>
      <c r="C19" s="22" t="n">
        <v>2890</v>
      </c>
      <c r="D19" s="22" t="n">
        <v>1092</v>
      </c>
      <c r="E19" s="22" t="n">
        <v>1962</v>
      </c>
      <c r="F19" s="22" t="n">
        <v>1826</v>
      </c>
      <c r="G19" s="22" t="n">
        <v>136</v>
      </c>
      <c r="H19" s="22" t="n">
        <v>1333</v>
      </c>
      <c r="I19" s="22" t="n">
        <v>1072</v>
      </c>
      <c r="J19" s="22" t="n">
        <v>261</v>
      </c>
      <c r="K19" s="22" t="n">
        <v>931</v>
      </c>
      <c r="L19" s="22" t="n">
        <v>612</v>
      </c>
      <c r="M19" s="22" t="n">
        <v>319</v>
      </c>
      <c r="N19" s="22" t="n">
        <v>320</v>
      </c>
      <c r="O19" s="22" t="n">
        <v>260</v>
      </c>
      <c r="P19" s="22" t="n">
        <v>60</v>
      </c>
      <c r="Q19" s="22" t="n">
        <v>498</v>
      </c>
      <c r="R19" s="22" t="n">
        <v>383</v>
      </c>
      <c r="S19" s="22" t="n">
        <v>115</v>
      </c>
      <c r="T19" s="22" t="n">
        <v>143</v>
      </c>
      <c r="U19" s="22" t="n">
        <v>118</v>
      </c>
      <c r="V19" s="22" t="n">
        <v>25</v>
      </c>
      <c r="W19" s="22" t="n">
        <v>216</v>
      </c>
      <c r="X19" s="22" t="n">
        <v>193</v>
      </c>
      <c r="Y19" s="22" t="n">
        <v>23</v>
      </c>
      <c r="Z19" s="22" t="n"/>
      <c r="AA19" s="22" t="n"/>
      <c r="AB19" s="22" t="n"/>
      <c r="AC19" s="22" t="n">
        <v>113</v>
      </c>
      <c r="AD19" s="22" t="n">
        <v>62</v>
      </c>
      <c r="AE19" s="22" t="n">
        <v>51</v>
      </c>
      <c r="AF19" s="23">
        <f>IF(B19=C19+D19,"✓","✗")</f>
        <v/>
      </c>
    </row>
    <row r="20">
      <c r="A20" s="24" t="inlineStr">
        <is>
          <t>Malwa Prant-Nimach</t>
        </is>
      </c>
      <c r="B20" s="25" t="n">
        <v>2986</v>
      </c>
      <c r="C20" s="25" t="n">
        <v>2353</v>
      </c>
      <c r="D20" s="25" t="n">
        <v>633</v>
      </c>
      <c r="E20" s="25" t="n">
        <v>1572</v>
      </c>
      <c r="F20" s="25" t="n">
        <v>1398</v>
      </c>
      <c r="G20" s="25" t="n">
        <v>174</v>
      </c>
      <c r="H20" s="25" t="n">
        <v>914</v>
      </c>
      <c r="I20" s="25" t="n">
        <v>841</v>
      </c>
      <c r="J20" s="25" t="n">
        <v>73</v>
      </c>
      <c r="K20" s="25" t="n">
        <v>659</v>
      </c>
      <c r="L20" s="25" t="n">
        <v>582</v>
      </c>
      <c r="M20" s="25" t="n">
        <v>77</v>
      </c>
      <c r="N20" s="25" t="n">
        <v>445</v>
      </c>
      <c r="O20" s="25" t="n">
        <v>410</v>
      </c>
      <c r="P20" s="25" t="n">
        <v>35</v>
      </c>
      <c r="Q20" s="25" t="n">
        <v>279</v>
      </c>
      <c r="R20" s="25" t="n">
        <v>238</v>
      </c>
      <c r="S20" s="25" t="n">
        <v>41</v>
      </c>
      <c r="T20" s="25" t="n">
        <v>135</v>
      </c>
      <c r="U20" s="25" t="n">
        <v>117</v>
      </c>
      <c r="V20" s="25" t="n">
        <v>18</v>
      </c>
      <c r="W20" s="25" t="n">
        <v>170</v>
      </c>
      <c r="X20" s="25" t="n">
        <v>145</v>
      </c>
      <c r="Y20" s="25" t="n">
        <v>25</v>
      </c>
      <c r="Z20" s="25" t="n"/>
      <c r="AA20" s="25" t="n"/>
      <c r="AB20" s="25" t="n"/>
      <c r="AC20" s="25" t="n">
        <v>111</v>
      </c>
      <c r="AD20" s="25" t="n">
        <v>94</v>
      </c>
      <c r="AE20" s="25" t="n">
        <v>17</v>
      </c>
      <c r="AF20" s="26">
        <f>IF(B20=C20+D20,"✓","✗")</f>
        <v/>
      </c>
    </row>
    <row r="21">
      <c r="A21" s="21" t="inlineStr">
        <is>
          <t>Ujjain</t>
        </is>
      </c>
      <c r="B21" s="22" t="n">
        <v>6745</v>
      </c>
      <c r="C21" s="22" t="n">
        <v>5900</v>
      </c>
      <c r="D21" s="22" t="n">
        <v>845</v>
      </c>
      <c r="E21" s="22" t="n">
        <v>3857</v>
      </c>
      <c r="F21" s="22" t="n">
        <v>3484</v>
      </c>
      <c r="G21" s="22" t="n">
        <v>373</v>
      </c>
      <c r="H21" s="22" t="n">
        <v>1845</v>
      </c>
      <c r="I21" s="22" t="n">
        <v>1584</v>
      </c>
      <c r="J21" s="22" t="n">
        <v>261</v>
      </c>
      <c r="K21" s="22" t="n">
        <v>1533</v>
      </c>
      <c r="L21" s="22" t="n">
        <v>1347</v>
      </c>
      <c r="M21" s="22" t="n">
        <v>186</v>
      </c>
      <c r="N21" s="22" t="n">
        <v>749</v>
      </c>
      <c r="O21" s="22" t="n">
        <v>561</v>
      </c>
      <c r="P21" s="22" t="n">
        <v>188</v>
      </c>
      <c r="Q21" s="22" t="n">
        <v>741</v>
      </c>
      <c r="R21" s="22" t="n">
        <v>590</v>
      </c>
      <c r="S21" s="22" t="n">
        <v>151</v>
      </c>
      <c r="T21" s="22" t="n">
        <v>239</v>
      </c>
      <c r="U21" s="22" t="n">
        <v>202</v>
      </c>
      <c r="V21" s="22" t="n">
        <v>37</v>
      </c>
      <c r="W21" s="22" t="n">
        <v>401</v>
      </c>
      <c r="X21" s="22" t="n">
        <v>312</v>
      </c>
      <c r="Y21" s="22" t="n">
        <v>89</v>
      </c>
      <c r="Z21" s="22" t="n"/>
      <c r="AA21" s="22" t="n"/>
      <c r="AB21" s="22" t="n"/>
      <c r="AC21" s="22" t="n">
        <v>256</v>
      </c>
      <c r="AD21" s="22" t="n">
        <v>222</v>
      </c>
      <c r="AE21" s="22" t="n">
        <v>34</v>
      </c>
      <c r="AF21" s="23">
        <f>IF(B21=C21+D21,"✓","✗")</f>
        <v/>
      </c>
    </row>
    <row r="22">
      <c r="A22" s="24" t="inlineStr">
        <is>
          <t>Mandsaur</t>
        </is>
      </c>
      <c r="B22" s="25" t="n">
        <v>3590</v>
      </c>
      <c r="C22" s="25" t="n">
        <v>3144</v>
      </c>
      <c r="D22" s="25" t="n">
        <v>446</v>
      </c>
      <c r="E22" s="25" t="n">
        <v>1923</v>
      </c>
      <c r="F22" s="25" t="n">
        <v>1684</v>
      </c>
      <c r="G22" s="25" t="n">
        <v>239</v>
      </c>
      <c r="H22" s="25" t="n">
        <v>824</v>
      </c>
      <c r="I22" s="25" t="n">
        <v>728</v>
      </c>
      <c r="J22" s="25" t="n">
        <v>96</v>
      </c>
      <c r="K22" s="25" t="n">
        <v>912</v>
      </c>
      <c r="L22" s="25" t="n">
        <v>812</v>
      </c>
      <c r="M22" s="25" t="n">
        <v>100</v>
      </c>
      <c r="N22" s="25" t="n">
        <v>520</v>
      </c>
      <c r="O22" s="25" t="n">
        <v>475</v>
      </c>
      <c r="P22" s="25" t="n">
        <v>45</v>
      </c>
      <c r="Q22" s="25" t="n">
        <v>356</v>
      </c>
      <c r="R22" s="25" t="n">
        <v>300</v>
      </c>
      <c r="S22" s="25" t="n">
        <v>56</v>
      </c>
      <c r="T22" s="25" t="n">
        <v>96</v>
      </c>
      <c r="U22" s="25" t="n">
        <v>88</v>
      </c>
      <c r="V22" s="25" t="n">
        <v>8</v>
      </c>
      <c r="W22" s="25" t="n">
        <v>144</v>
      </c>
      <c r="X22" s="25" t="n">
        <v>130</v>
      </c>
      <c r="Y22" s="25" t="n">
        <v>14</v>
      </c>
      <c r="Z22" s="25" t="n"/>
      <c r="AA22" s="25" t="n"/>
      <c r="AB22" s="25" t="n"/>
      <c r="AC22" s="25" t="n">
        <v>119</v>
      </c>
      <c r="AD22" s="25" t="n">
        <v>93</v>
      </c>
      <c r="AE22" s="25" t="n">
        <v>26</v>
      </c>
      <c r="AF22" s="26">
        <f>IF(B22=C22+D22,"✓","✗")</f>
        <v/>
      </c>
    </row>
    <row r="23">
      <c r="A23" s="21" t="inlineStr">
        <is>
          <t>Agar</t>
        </is>
      </c>
      <c r="B23" s="22" t="n">
        <v>4809</v>
      </c>
      <c r="C23" s="22" t="n">
        <v>4418</v>
      </c>
      <c r="D23" s="22" t="n">
        <v>391</v>
      </c>
      <c r="E23" s="22" t="n">
        <v>3330</v>
      </c>
      <c r="F23" s="22" t="n">
        <v>3008</v>
      </c>
      <c r="G23" s="22" t="n">
        <v>322</v>
      </c>
      <c r="H23" s="22" t="n">
        <v>1545</v>
      </c>
      <c r="I23" s="22" t="n">
        <v>1319</v>
      </c>
      <c r="J23" s="22" t="n">
        <v>226</v>
      </c>
      <c r="K23" s="22" t="n">
        <v>1078</v>
      </c>
      <c r="L23" s="22" t="n">
        <v>971</v>
      </c>
      <c r="M23" s="22" t="n">
        <v>107</v>
      </c>
      <c r="N23" s="22" t="n">
        <v>555</v>
      </c>
      <c r="O23" s="22" t="n">
        <v>502</v>
      </c>
      <c r="P23" s="22" t="n">
        <v>53</v>
      </c>
      <c r="Q23" s="22" t="n">
        <v>555</v>
      </c>
      <c r="R23" s="22" t="n">
        <v>482</v>
      </c>
      <c r="S23" s="22" t="n">
        <v>73</v>
      </c>
      <c r="T23" s="22" t="n">
        <v>246</v>
      </c>
      <c r="U23" s="22" t="n">
        <v>182</v>
      </c>
      <c r="V23" s="22" t="n">
        <v>64</v>
      </c>
      <c r="W23" s="22" t="n">
        <v>281</v>
      </c>
      <c r="X23" s="22" t="n">
        <v>202</v>
      </c>
      <c r="Y23" s="22" t="n">
        <v>79</v>
      </c>
      <c r="Z23" s="22" t="n"/>
      <c r="AA23" s="22" t="n"/>
      <c r="AB23" s="22" t="n"/>
      <c r="AC23" s="22" t="n">
        <v>251</v>
      </c>
      <c r="AD23" s="22" t="n">
        <v>123</v>
      </c>
      <c r="AE23" s="22" t="n">
        <v>128</v>
      </c>
      <c r="AF23" s="23">
        <f>IF(B23=C23+D23,"✓","✗")</f>
        <v/>
      </c>
    </row>
    <row r="24">
      <c r="A24" s="24" t="inlineStr">
        <is>
          <t>Shajapur</t>
        </is>
      </c>
      <c r="B24" s="25" t="n">
        <v>7361</v>
      </c>
      <c r="C24" s="25" t="n">
        <v>6519</v>
      </c>
      <c r="D24" s="25" t="n">
        <v>842</v>
      </c>
      <c r="E24" s="25" t="n">
        <v>4807</v>
      </c>
      <c r="F24" s="25" t="n">
        <v>4421</v>
      </c>
      <c r="G24" s="25" t="n">
        <v>386</v>
      </c>
      <c r="H24" s="25" t="n">
        <v>2484</v>
      </c>
      <c r="I24" s="25" t="n">
        <v>2187</v>
      </c>
      <c r="J24" s="25" t="n">
        <v>297</v>
      </c>
      <c r="K24" s="25" t="n">
        <v>2009</v>
      </c>
      <c r="L24" s="25" t="n">
        <v>1405</v>
      </c>
      <c r="M24" s="25" t="n">
        <v>604</v>
      </c>
      <c r="N24" s="25" t="n">
        <v>653</v>
      </c>
      <c r="O24" s="25" t="n">
        <v>536</v>
      </c>
      <c r="P24" s="25" t="n">
        <v>117</v>
      </c>
      <c r="Q24" s="25" t="n">
        <v>617</v>
      </c>
      <c r="R24" s="25" t="n">
        <v>533</v>
      </c>
      <c r="S24" s="25" t="n">
        <v>84</v>
      </c>
      <c r="T24" s="25" t="n">
        <v>229</v>
      </c>
      <c r="U24" s="25" t="n">
        <v>187</v>
      </c>
      <c r="V24" s="25" t="n">
        <v>42</v>
      </c>
      <c r="W24" s="25" t="n">
        <v>296</v>
      </c>
      <c r="X24" s="25" t="n">
        <v>260</v>
      </c>
      <c r="Y24" s="25" t="n">
        <v>36</v>
      </c>
      <c r="Z24" s="25" t="n"/>
      <c r="AA24" s="25" t="n"/>
      <c r="AB24" s="25" t="n"/>
      <c r="AC24" s="25" t="n">
        <v>222</v>
      </c>
      <c r="AD24" s="25" t="n">
        <v>179</v>
      </c>
      <c r="AE24" s="25" t="n">
        <v>43</v>
      </c>
      <c r="AF24" s="26">
        <f>IF(B24=C24+D24,"✓","✗")</f>
        <v/>
      </c>
    </row>
    <row r="25">
      <c r="A25" s="21" t="inlineStr">
        <is>
          <t>Amjhera</t>
        </is>
      </c>
      <c r="B25" s="22" t="n">
        <v>3819</v>
      </c>
      <c r="C25" s="22" t="n">
        <v>2995</v>
      </c>
      <c r="D25" s="22" t="n">
        <v>824</v>
      </c>
      <c r="E25" s="22" t="n">
        <v>2399</v>
      </c>
      <c r="F25" s="22" t="n">
        <v>1855</v>
      </c>
      <c r="G25" s="22" t="n">
        <v>544</v>
      </c>
      <c r="H25" s="22" t="n">
        <v>1045</v>
      </c>
      <c r="I25" s="22" t="n">
        <v>783</v>
      </c>
      <c r="J25" s="22" t="n">
        <v>262</v>
      </c>
      <c r="K25" s="22" t="n">
        <v>754</v>
      </c>
      <c r="L25" s="22" t="n">
        <v>549</v>
      </c>
      <c r="M25" s="22" t="n">
        <v>205</v>
      </c>
      <c r="N25" s="22" t="n">
        <v>575</v>
      </c>
      <c r="O25" s="22" t="n">
        <v>224</v>
      </c>
      <c r="P25" s="22" t="n">
        <v>351</v>
      </c>
      <c r="Q25" s="22" t="n">
        <v>343</v>
      </c>
      <c r="R25" s="22" t="n">
        <v>240</v>
      </c>
      <c r="S25" s="22" t="n">
        <v>103</v>
      </c>
      <c r="T25" s="22" t="n">
        <v>169</v>
      </c>
      <c r="U25" s="22" t="n">
        <v>69</v>
      </c>
      <c r="V25" s="22" t="n">
        <v>100</v>
      </c>
      <c r="W25" s="22" t="n">
        <v>150</v>
      </c>
      <c r="X25" s="22" t="n">
        <v>80</v>
      </c>
      <c r="Y25" s="22" t="n">
        <v>70</v>
      </c>
      <c r="Z25" s="22" t="n"/>
      <c r="AA25" s="22" t="n"/>
      <c r="AB25" s="22" t="n"/>
      <c r="AC25" s="22" t="n">
        <v>74</v>
      </c>
      <c r="AD25" s="22" t="n">
        <v>43</v>
      </c>
      <c r="AE25" s="22" t="n">
        <v>31</v>
      </c>
      <c r="AF25" s="23">
        <f>IF(B25=C25+D25,"✓","✗")</f>
        <v/>
      </c>
    </row>
    <row r="26">
      <c r="A26" s="24" t="inlineStr">
        <is>
          <t>Total</t>
        </is>
      </c>
      <c r="B26" s="25" t="n">
        <v>29310</v>
      </c>
      <c r="C26" s="25" t="n">
        <v>25329</v>
      </c>
      <c r="D26" s="25" t="n">
        <v>3981</v>
      </c>
      <c r="E26" s="25" t="n">
        <v>17888</v>
      </c>
      <c r="F26" s="25" t="n">
        <v>15850</v>
      </c>
      <c r="G26" s="25" t="n">
        <v>2038</v>
      </c>
      <c r="H26" s="25" t="n">
        <v>8657</v>
      </c>
      <c r="I26" s="25" t="n">
        <v>7442</v>
      </c>
      <c r="J26" s="25" t="n">
        <v>1215</v>
      </c>
      <c r="K26" s="25" t="n">
        <v>6945</v>
      </c>
      <c r="L26" s="25" t="n">
        <v>5666</v>
      </c>
      <c r="M26" s="25" t="n">
        <v>1279</v>
      </c>
      <c r="N26" s="25" t="n">
        <v>3497</v>
      </c>
      <c r="O26" s="25" t="n">
        <v>2708</v>
      </c>
      <c r="P26" s="25" t="n">
        <v>789</v>
      </c>
      <c r="Q26" s="25" t="n">
        <v>2891</v>
      </c>
      <c r="R26" s="25" t="n">
        <v>2383</v>
      </c>
      <c r="S26" s="25" t="n">
        <v>508</v>
      </c>
      <c r="T26" s="25" t="n">
        <v>1114</v>
      </c>
      <c r="U26" s="25" t="n">
        <v>845</v>
      </c>
      <c r="V26" s="25" t="n">
        <v>269</v>
      </c>
      <c r="W26" s="25" t="n">
        <v>1442</v>
      </c>
      <c r="X26" s="25" t="n">
        <v>1129</v>
      </c>
      <c r="Y26" s="25" t="n">
        <v>313</v>
      </c>
      <c r="Z26" s="25" t="n">
        <v>1636</v>
      </c>
      <c r="AA26" s="25" t="n">
        <v>1486</v>
      </c>
      <c r="AB26" s="25" t="n">
        <v>150</v>
      </c>
      <c r="AC26" s="25" t="n">
        <v>1041</v>
      </c>
      <c r="AD26" s="25" t="n">
        <v>754</v>
      </c>
      <c r="AE26" s="25" t="n">
        <v>287</v>
      </c>
      <c r="AF26" s="26">
        <f>IF(B26=C26+D26,"✓","✗")</f>
        <v/>
      </c>
    </row>
    <row r="27">
      <c r="A27" s="21" t="inlineStr">
        <is>
          <t>Grand Total</t>
        </is>
      </c>
      <c r="B27" s="22" t="n">
        <v>90873</v>
      </c>
      <c r="C27" s="22" t="n">
        <v>79260</v>
      </c>
      <c r="D27" s="22" t="n">
        <v>11613</v>
      </c>
      <c r="E27" s="22" t="n">
        <v>76856</v>
      </c>
      <c r="F27" s="22" t="n">
        <v>52582</v>
      </c>
      <c r="G27" s="22" t="n">
        <v>24274</v>
      </c>
      <c r="H27" s="22" t="n">
        <v>50269</v>
      </c>
      <c r="I27" s="22" t="n">
        <v>28937</v>
      </c>
      <c r="J27" s="22" t="n">
        <v>21332</v>
      </c>
      <c r="K27" s="22" t="n">
        <v>42455</v>
      </c>
      <c r="L27" s="22" t="n">
        <v>22481</v>
      </c>
      <c r="M27" s="22" t="n">
        <v>19974</v>
      </c>
      <c r="N27" s="22" t="n">
        <v>32132</v>
      </c>
      <c r="O27" s="22" t="n">
        <v>12565</v>
      </c>
      <c r="P27" s="22" t="n">
        <v>19567</v>
      </c>
      <c r="Q27" s="22" t="n">
        <v>13703</v>
      </c>
      <c r="R27" s="22" t="n">
        <v>11019</v>
      </c>
      <c r="S27" s="22" t="n">
        <v>2684</v>
      </c>
      <c r="T27" s="22" t="n">
        <v>5664</v>
      </c>
      <c r="U27" s="22" t="n">
        <v>4545</v>
      </c>
      <c r="V27" s="22" t="n">
        <v>1119</v>
      </c>
      <c r="W27" s="22" t="n">
        <v>6305</v>
      </c>
      <c r="X27" s="22" t="n">
        <v>5563</v>
      </c>
      <c r="Y27" s="22" t="n">
        <v>742</v>
      </c>
      <c r="Z27" s="22" t="n"/>
      <c r="AA27" s="22" t="n"/>
      <c r="AB27" s="22" t="n"/>
      <c r="AC27" s="22" t="n">
        <v>9023</v>
      </c>
      <c r="AD27" s="22" t="n">
        <v>8155</v>
      </c>
      <c r="AE27" s="22" t="n">
        <v>868</v>
      </c>
      <c r="AF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  <c r="AC28" s="28">
        <f>IF(SUM(AC7:AC27)=AC6,"✓",SUM(AC7:AC27)-AC6)</f>
        <v/>
      </c>
      <c r="AD28" s="28">
        <f>IF(SUM(AD7:AD27)=AD6,"✓",SUM(AD7:AD27)-AD6)</f>
        <v/>
      </c>
      <c r="AE28" s="28">
        <f>IF(SUM(AE7:AE27)=AE6,"✓",SUM(AE7:AE27)-AE6)</f>
        <v/>
      </c>
    </row>
  </sheetData>
  <mergeCells count="10">
    <mergeCell ref="K4:M4"/>
    <mergeCell ref="B4:D4"/>
    <mergeCell ref="H4:J4"/>
    <mergeCell ref="Q4:S4"/>
    <mergeCell ref="T4:V4"/>
    <mergeCell ref="W4:Y4"/>
    <mergeCell ref="E4:G4"/>
    <mergeCell ref="Z4:AB4"/>
    <mergeCell ref="N4:P4"/>
    <mergeCell ref="AC4:AE4"/>
  </mergeCells>
  <conditionalFormatting sqref="AF6:AF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29" t="inlineStr">
        <is>
          <t>AGE PERIODS.</t>
        </is>
      </c>
    </row>
    <row r="2">
      <c r="A2" s="3" t="inlineStr">
        <is>
          <t>AGE PERIODS.</t>
        </is>
      </c>
    </row>
    <row r="3">
      <c r="A3" s="4" t="inlineStr">
        <is>
          <t>Districts</t>
        </is>
      </c>
      <c r="B3" s="5" t="inlineStr">
        <is>
          <t>15-20.</t>
        </is>
      </c>
      <c r="C3" s="6" t="n"/>
      <c r="D3" s="6" t="n"/>
      <c r="E3" s="7" t="inlineStr">
        <is>
          <t>20-25.</t>
        </is>
      </c>
      <c r="F3" s="8" t="n"/>
      <c r="G3" s="8" t="n"/>
      <c r="H3" s="9" t="inlineStr">
        <is>
          <t>25-30.</t>
        </is>
      </c>
      <c r="I3" s="10" t="n"/>
      <c r="J3" s="10" t="n"/>
      <c r="K3" s="11" t="inlineStr">
        <is>
          <t>30-35.</t>
        </is>
      </c>
      <c r="L3" s="12" t="n"/>
      <c r="M3" s="12" t="n"/>
      <c r="N3" s="13" t="inlineStr">
        <is>
          <t>35-40.</t>
        </is>
      </c>
      <c r="O3" s="14" t="n"/>
      <c r="P3" s="14" t="n"/>
      <c r="Q3" s="5" t="inlineStr">
        <is>
          <t>40-45.</t>
        </is>
      </c>
      <c r="R3" s="6" t="n"/>
      <c r="S3" s="6" t="n"/>
      <c r="T3" s="7" t="inlineStr">
        <is>
          <t>45-50.</t>
        </is>
      </c>
      <c r="U3" s="8" t="n"/>
      <c r="V3" s="8" t="n"/>
      <c r="W3" s="9" t="inlineStr">
        <is>
          <t>50-55.</t>
        </is>
      </c>
      <c r="X3" s="10" t="n"/>
      <c r="Y3" s="10" t="n"/>
      <c r="Z3" s="11" t="inlineStr">
        <is>
          <t>55-60.</t>
        </is>
      </c>
      <c r="AA3" s="12" t="n"/>
      <c r="AB3" s="12" t="n"/>
      <c r="AC3" s="13" t="inlineStr">
        <is>
          <t>60 an over.</t>
        </is>
      </c>
      <c r="AD3" s="14" t="n"/>
      <c r="AE3" s="14" t="n"/>
      <c r="AF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Persons</t>
        </is>
      </c>
      <c r="AD4" s="17" t="inlineStr">
        <is>
          <t>Males</t>
        </is>
      </c>
      <c r="AE4" s="17" t="inlineStr">
        <is>
          <t>Females</t>
        </is>
      </c>
      <c r="AF4" s="17" t="inlineStr">
        <is>
          <t>M+F=P</t>
        </is>
      </c>
    </row>
    <row r="5">
      <c r="A5" s="18" t="inlineStr">
        <is>
          <t>Total</t>
        </is>
      </c>
      <c r="B5" s="19" t="n">
        <v>29310</v>
      </c>
      <c r="C5" s="19" t="n">
        <v>25329</v>
      </c>
      <c r="D5" s="19" t="n">
        <v>3981</v>
      </c>
      <c r="E5" s="19" t="n">
        <v>17888</v>
      </c>
      <c r="F5" s="19" t="n">
        <v>15850</v>
      </c>
      <c r="G5" s="19" t="n">
        <v>2038</v>
      </c>
      <c r="H5" s="19" t="n">
        <v>8657</v>
      </c>
      <c r="I5" s="19" t="n">
        <v>7442</v>
      </c>
      <c r="J5" s="19" t="n">
        <v>1215</v>
      </c>
      <c r="K5" s="19" t="n">
        <v>6945</v>
      </c>
      <c r="L5" s="19" t="n">
        <v>5666</v>
      </c>
      <c r="M5" s="19" t="n">
        <v>1279</v>
      </c>
      <c r="N5" s="19" t="n">
        <v>3497</v>
      </c>
      <c r="O5" s="19" t="n">
        <v>2708</v>
      </c>
      <c r="P5" s="19" t="n">
        <v>789</v>
      </c>
      <c r="Q5" s="19" t="n">
        <v>2891</v>
      </c>
      <c r="R5" s="19" t="n">
        <v>2383</v>
      </c>
      <c r="S5" s="19" t="n">
        <v>508</v>
      </c>
      <c r="T5" s="19" t="n">
        <v>1114</v>
      </c>
      <c r="U5" s="19" t="n">
        <v>845</v>
      </c>
      <c r="V5" s="19" t="n">
        <v>269</v>
      </c>
      <c r="W5" s="19" t="n">
        <v>1442</v>
      </c>
      <c r="X5" s="19" t="n">
        <v>1129</v>
      </c>
      <c r="Y5" s="19" t="n">
        <v>313</v>
      </c>
      <c r="Z5" s="19" t="n">
        <v>1636</v>
      </c>
      <c r="AA5" s="19" t="n">
        <v>1486</v>
      </c>
      <c r="AB5" s="19" t="n">
        <v>150</v>
      </c>
      <c r="AC5" s="19" t="n">
        <v>1041</v>
      </c>
      <c r="AD5" s="19" t="n">
        <v>754</v>
      </c>
      <c r="AE5" s="19" t="n">
        <v>287</v>
      </c>
      <c r="AF5" s="20">
        <f>IF(B5=C5+D5,"✓","✗")</f>
        <v/>
      </c>
    </row>
    <row r="6">
      <c r="A6" s="21" t="inlineStr">
        <is>
          <t>Gwalior Prant-Gwalior</t>
        </is>
      </c>
      <c r="B6" s="22" t="n">
        <v>9511</v>
      </c>
      <c r="C6" s="22" t="n">
        <v>8599</v>
      </c>
      <c r="D6" s="22" t="n">
        <v>912</v>
      </c>
      <c r="E6" s="22" t="n">
        <v>5959</v>
      </c>
      <c r="F6" s="22" t="n">
        <v>5563</v>
      </c>
      <c r="G6" s="22" t="n">
        <v>396</v>
      </c>
      <c r="H6" s="22" t="n">
        <v>3453</v>
      </c>
      <c r="I6" s="22" t="n">
        <v>3145</v>
      </c>
      <c r="J6" s="22" t="n">
        <v>308</v>
      </c>
      <c r="K6" s="22" t="n">
        <v>2429</v>
      </c>
      <c r="L6" s="22" t="n">
        <v>2175</v>
      </c>
      <c r="M6" s="22" t="n">
        <v>254</v>
      </c>
      <c r="N6" s="22" t="n">
        <v>1169</v>
      </c>
      <c r="O6" s="22" t="n">
        <v>1000</v>
      </c>
      <c r="P6" s="22" t="n">
        <v>169</v>
      </c>
      <c r="Q6" s="22" t="n">
        <v>1915</v>
      </c>
      <c r="R6" s="22" t="n">
        <v>1712</v>
      </c>
      <c r="S6" s="22" t="n">
        <v>203</v>
      </c>
      <c r="T6" s="22" t="n">
        <v>763</v>
      </c>
      <c r="U6" s="22" t="n">
        <v>698</v>
      </c>
      <c r="V6" s="22" t="n">
        <v>65</v>
      </c>
      <c r="W6" s="22" t="n">
        <v>634</v>
      </c>
      <c r="X6" s="22" t="n">
        <v>540</v>
      </c>
      <c r="Y6" s="22" t="n">
        <v>94</v>
      </c>
      <c r="Z6" s="22" t="n">
        <v>179</v>
      </c>
      <c r="AA6" s="22" t="n">
        <v>159</v>
      </c>
      <c r="AB6" s="22" t="n">
        <v>20</v>
      </c>
      <c r="AC6" s="22" t="n">
        <v>595</v>
      </c>
      <c r="AD6" s="22" t="n">
        <v>395</v>
      </c>
      <c r="AE6" s="22" t="n">
        <v>200</v>
      </c>
      <c r="AF6" s="23">
        <f>IF(B6=C6+D6,"✓","✗")</f>
        <v/>
      </c>
    </row>
    <row r="7">
      <c r="A7" s="24" t="inlineStr">
        <is>
          <t>Susera</t>
        </is>
      </c>
      <c r="B7" s="25" t="n">
        <v>105</v>
      </c>
      <c r="C7" s="25" t="n">
        <v>100</v>
      </c>
      <c r="D7" s="25" t="n">
        <v>5</v>
      </c>
      <c r="E7" s="25" t="n">
        <v>63</v>
      </c>
      <c r="F7" s="25" t="n">
        <v>63</v>
      </c>
      <c r="G7" s="25" t="n">
        <v>0</v>
      </c>
      <c r="H7" s="25" t="n">
        <v>34</v>
      </c>
      <c r="I7" s="25" t="n">
        <v>33</v>
      </c>
      <c r="J7" s="25" t="n">
        <v>1</v>
      </c>
      <c r="K7" s="25" t="n">
        <v>15</v>
      </c>
      <c r="L7" s="25" t="n">
        <v>15</v>
      </c>
      <c r="M7" s="25" t="n">
        <v>0</v>
      </c>
      <c r="N7" s="25" t="n">
        <v>11</v>
      </c>
      <c r="O7" s="25" t="n">
        <v>9</v>
      </c>
      <c r="P7" s="25" t="n">
        <v>2</v>
      </c>
      <c r="Q7" s="25" t="n">
        <v>15</v>
      </c>
      <c r="R7" s="25" t="n">
        <v>13</v>
      </c>
      <c r="S7" s="25" t="n">
        <v>2</v>
      </c>
      <c r="T7" s="25" t="n">
        <v>3</v>
      </c>
      <c r="U7" s="25" t="n">
        <v>3</v>
      </c>
      <c r="V7" s="25" t="n">
        <v>0</v>
      </c>
      <c r="W7" s="25" t="n">
        <v>4</v>
      </c>
      <c r="X7" s="25" t="n">
        <v>4</v>
      </c>
      <c r="Y7" s="25" t="n">
        <v>0</v>
      </c>
      <c r="Z7" s="25" t="n">
        <v>1</v>
      </c>
      <c r="AA7" s="25" t="n">
        <v>1</v>
      </c>
      <c r="AB7" s="25" t="n">
        <v>0</v>
      </c>
      <c r="AC7" s="25" t="n">
        <v>6</v>
      </c>
      <c r="AD7" s="25" t="n">
        <v>6</v>
      </c>
      <c r="AE7" s="25" t="n">
        <v>0</v>
      </c>
      <c r="AF7" s="26">
        <f>IF(B7=C7+D7,"✓","✗")</f>
        <v/>
      </c>
    </row>
    <row r="8">
      <c r="A8" s="21" t="inlineStr">
        <is>
          <t>Sikarwari</t>
        </is>
      </c>
      <c r="B8" s="22" t="n">
        <v>5778</v>
      </c>
      <c r="C8" s="22" t="n">
        <v>5323</v>
      </c>
      <c r="D8" s="22" t="n">
        <v>455</v>
      </c>
      <c r="E8" s="22" t="n">
        <v>3792</v>
      </c>
      <c r="F8" s="22" t="n">
        <v>3591</v>
      </c>
      <c r="G8" s="22" t="n">
        <v>201</v>
      </c>
      <c r="H8" s="22" t="n">
        <v>2145</v>
      </c>
      <c r="I8" s="22" t="n">
        <v>2019</v>
      </c>
      <c r="J8" s="22" t="n">
        <v>126</v>
      </c>
      <c r="K8" s="22" t="n">
        <v>1637</v>
      </c>
      <c r="L8" s="22" t="n">
        <v>1527</v>
      </c>
      <c r="M8" s="22" t="n">
        <v>110</v>
      </c>
      <c r="N8" s="22" t="n">
        <v>641</v>
      </c>
      <c r="O8" s="22" t="n">
        <v>600</v>
      </c>
      <c r="P8" s="22" t="n">
        <v>41</v>
      </c>
      <c r="Q8" s="22" t="n">
        <v>970</v>
      </c>
      <c r="R8" s="22" t="n">
        <v>892</v>
      </c>
      <c r="S8" s="22" t="n">
        <v>78</v>
      </c>
      <c r="T8" s="22" t="n">
        <v>285</v>
      </c>
      <c r="U8" s="22" t="n">
        <v>265</v>
      </c>
      <c r="V8" s="22" t="n">
        <v>20</v>
      </c>
      <c r="W8" s="22" t="n">
        <v>428</v>
      </c>
      <c r="X8" s="22" t="n">
        <v>402</v>
      </c>
      <c r="Y8" s="22" t="n">
        <v>26</v>
      </c>
      <c r="Z8" s="22" t="n">
        <v>87</v>
      </c>
      <c r="AA8" s="22" t="n">
        <v>82</v>
      </c>
      <c r="AB8" s="22" t="n">
        <v>5</v>
      </c>
      <c r="AC8" s="22" t="n">
        <v>674</v>
      </c>
      <c r="AD8" s="22" t="n">
        <v>624</v>
      </c>
      <c r="AE8" s="22" t="n">
        <v>50</v>
      </c>
      <c r="AF8" s="23">
        <f>IF(B8=C8+D8,"✓","✗")</f>
        <v/>
      </c>
    </row>
    <row r="9">
      <c r="A9" s="24" t="inlineStr">
        <is>
          <t>Sabalgarh</t>
        </is>
      </c>
      <c r="B9" s="25" t="n">
        <v>3371</v>
      </c>
      <c r="C9" s="25" t="n">
        <v>3081</v>
      </c>
      <c r="D9" s="25" t="n">
        <v>290</v>
      </c>
      <c r="E9" s="25" t="n">
        <v>2067</v>
      </c>
      <c r="F9" s="25" t="n">
        <v>1919</v>
      </c>
      <c r="G9" s="25" t="n">
        <v>148</v>
      </c>
      <c r="H9" s="25" t="n">
        <v>1173</v>
      </c>
      <c r="I9" s="25" t="n">
        <v>1088</v>
      </c>
      <c r="J9" s="25" t="n">
        <v>85</v>
      </c>
      <c r="K9" s="25" t="n">
        <v>764</v>
      </c>
      <c r="L9" s="25" t="n">
        <v>680</v>
      </c>
      <c r="M9" s="25" t="n">
        <v>84</v>
      </c>
      <c r="N9" s="25" t="n">
        <v>526</v>
      </c>
      <c r="O9" s="25" t="n">
        <v>487</v>
      </c>
      <c r="P9" s="25" t="n">
        <v>39</v>
      </c>
      <c r="Q9" s="25" t="n">
        <v>456</v>
      </c>
      <c r="R9" s="25" t="n">
        <v>415</v>
      </c>
      <c r="S9" s="25" t="n">
        <v>41</v>
      </c>
      <c r="T9" s="25" t="n">
        <v>189</v>
      </c>
      <c r="U9" s="25" t="n">
        <v>162</v>
      </c>
      <c r="V9" s="25" t="n">
        <v>27</v>
      </c>
      <c r="W9" s="25" t="n">
        <v>203</v>
      </c>
      <c r="X9" s="25" t="n">
        <v>182</v>
      </c>
      <c r="Y9" s="25" t="n">
        <v>21</v>
      </c>
      <c r="Z9" s="25" t="n">
        <v>663</v>
      </c>
      <c r="AA9" s="25" t="n">
        <v>655</v>
      </c>
      <c r="AB9" s="25" t="n">
        <v>8</v>
      </c>
      <c r="AC9" s="25" t="n">
        <v>3303</v>
      </c>
      <c r="AD9" s="25" t="n">
        <v>3293</v>
      </c>
      <c r="AE9" s="25" t="n">
        <v>10</v>
      </c>
      <c r="AF9" s="26">
        <f>IF(B9=C9+D9,"✓","✗")</f>
        <v/>
      </c>
    </row>
    <row r="10">
      <c r="A10" s="21" t="inlineStr">
        <is>
          <t>Tawarghar</t>
        </is>
      </c>
      <c r="B10" s="22" t="n">
        <v>4455</v>
      </c>
      <c r="C10" s="22" t="n">
        <v>4297</v>
      </c>
      <c r="D10" s="22" t="n">
        <v>158</v>
      </c>
      <c r="E10" s="22" t="n">
        <v>3116</v>
      </c>
      <c r="F10" s="22" t="n">
        <v>2935</v>
      </c>
      <c r="G10" s="22" t="n">
        <v>181</v>
      </c>
      <c r="H10" s="22" t="n">
        <v>2288</v>
      </c>
      <c r="I10" s="22" t="n">
        <v>2185</v>
      </c>
      <c r="J10" s="22" t="n">
        <v>103</v>
      </c>
      <c r="K10" s="22" t="n">
        <v>1570</v>
      </c>
      <c r="L10" s="22" t="n">
        <v>1474</v>
      </c>
      <c r="M10" s="22" t="n">
        <v>96</v>
      </c>
      <c r="N10" s="22" t="n">
        <v>834</v>
      </c>
      <c r="O10" s="22" t="n">
        <v>800</v>
      </c>
      <c r="P10" s="22" t="n">
        <v>34</v>
      </c>
      <c r="Q10" s="22" t="n">
        <v>993</v>
      </c>
      <c r="R10" s="22" t="n">
        <v>917</v>
      </c>
      <c r="S10" s="22" t="n">
        <v>76</v>
      </c>
      <c r="T10" s="22" t="n">
        <v>481</v>
      </c>
      <c r="U10" s="22" t="n">
        <v>456</v>
      </c>
      <c r="V10" s="22" t="n">
        <v>25</v>
      </c>
      <c r="W10" s="22" t="n">
        <v>548</v>
      </c>
      <c r="X10" s="22" t="n">
        <v>498</v>
      </c>
      <c r="Y10" s="22" t="n">
        <v>50</v>
      </c>
      <c r="Z10" s="22" t="n">
        <v>133</v>
      </c>
      <c r="AA10" s="22" t="n">
        <v>111</v>
      </c>
      <c r="AB10" s="22" t="n">
        <v>22</v>
      </c>
      <c r="AC10" s="22" t="n">
        <v>348</v>
      </c>
      <c r="AD10" s="22" t="n">
        <v>320</v>
      </c>
      <c r="AE10" s="22" t="n">
        <v>28</v>
      </c>
      <c r="AF10" s="23">
        <f>IF(B10=C10+D10,"✓","✗")</f>
        <v/>
      </c>
    </row>
    <row r="11">
      <c r="A11" s="24" t="inlineStr">
        <is>
          <t>Bhind</t>
        </is>
      </c>
      <c r="B11" s="25" t="n">
        <v>6241</v>
      </c>
      <c r="C11" s="25" t="n">
        <v>5518</v>
      </c>
      <c r="D11" s="25" t="n">
        <v>723</v>
      </c>
      <c r="E11" s="25" t="n">
        <v>5750</v>
      </c>
      <c r="F11" s="25" t="n">
        <v>4949</v>
      </c>
      <c r="G11" s="25" t="n">
        <v>801</v>
      </c>
      <c r="H11" s="25" t="n">
        <v>2985</v>
      </c>
      <c r="I11" s="25" t="n">
        <v>2789</v>
      </c>
      <c r="J11" s="25" t="n">
        <v>196</v>
      </c>
      <c r="K11" s="25" t="n">
        <v>2621</v>
      </c>
      <c r="L11" s="25" t="n">
        <v>2503</v>
      </c>
      <c r="M11" s="25" t="n">
        <v>118</v>
      </c>
      <c r="N11" s="25" t="n">
        <v>1910</v>
      </c>
      <c r="O11" s="25" t="n">
        <v>1866</v>
      </c>
      <c r="P11" s="25" t="n">
        <v>44</v>
      </c>
      <c r="Q11" s="25" t="n">
        <v>1497</v>
      </c>
      <c r="R11" s="25" t="n">
        <v>1351</v>
      </c>
      <c r="S11" s="25" t="n">
        <v>146</v>
      </c>
      <c r="T11" s="25" t="n">
        <v>741</v>
      </c>
      <c r="U11" s="25" t="n">
        <v>724</v>
      </c>
      <c r="V11" s="25" t="n">
        <v>17</v>
      </c>
      <c r="W11" s="25" t="n">
        <v>1187</v>
      </c>
      <c r="X11" s="25" t="n">
        <v>1152</v>
      </c>
      <c r="Y11" s="25" t="n">
        <v>35</v>
      </c>
      <c r="Z11" s="25" t="n">
        <v>285</v>
      </c>
      <c r="AA11" s="25" t="n">
        <v>273</v>
      </c>
      <c r="AB11" s="25" t="n">
        <v>12</v>
      </c>
      <c r="AC11" s="25" t="n">
        <v>268</v>
      </c>
      <c r="AD11" s="25" t="n">
        <v>228</v>
      </c>
      <c r="AE11" s="25" t="n">
        <v>40</v>
      </c>
      <c r="AF11" s="26">
        <f>IF(B11=C11+D11,"✓","✗")</f>
        <v/>
      </c>
    </row>
    <row r="12">
      <c r="A12" s="21" t="inlineStr">
        <is>
          <t>Bhander</t>
        </is>
      </c>
      <c r="B12" s="22" t="n">
        <v>4429</v>
      </c>
      <c r="C12" s="22" t="n">
        <v>4160</v>
      </c>
      <c r="D12" s="22" t="n">
        <v>269</v>
      </c>
      <c r="E12" s="22" t="n">
        <v>2343</v>
      </c>
      <c r="F12" s="22" t="n">
        <v>2208</v>
      </c>
      <c r="G12" s="22" t="n">
        <v>135</v>
      </c>
      <c r="H12" s="22" t="n">
        <v>1485</v>
      </c>
      <c r="I12" s="22" t="n">
        <v>1379</v>
      </c>
      <c r="J12" s="22" t="n">
        <v>106</v>
      </c>
      <c r="K12" s="22" t="n">
        <v>2480</v>
      </c>
      <c r="L12" s="22" t="n">
        <v>2380</v>
      </c>
      <c r="M12" s="22" t="n">
        <v>100</v>
      </c>
      <c r="N12" s="22" t="n">
        <v>1084</v>
      </c>
      <c r="O12" s="22" t="n">
        <v>1046</v>
      </c>
      <c r="P12" s="22" t="n">
        <v>38</v>
      </c>
      <c r="Q12" s="22" t="n">
        <v>584</v>
      </c>
      <c r="R12" s="22" t="n">
        <v>532</v>
      </c>
      <c r="S12" s="22" t="n">
        <v>52</v>
      </c>
      <c r="T12" s="22" t="n">
        <v>296</v>
      </c>
      <c r="U12" s="22" t="n">
        <v>280</v>
      </c>
      <c r="V12" s="22" t="n">
        <v>16</v>
      </c>
      <c r="W12" s="22" t="n">
        <v>222</v>
      </c>
      <c r="X12" s="22" t="n">
        <v>196</v>
      </c>
      <c r="Y12" s="22" t="n">
        <v>26</v>
      </c>
      <c r="Z12" s="22" t="n">
        <v>288</v>
      </c>
      <c r="AA12" s="22" t="n">
        <v>205</v>
      </c>
      <c r="AB12" s="22" t="n">
        <v>83</v>
      </c>
      <c r="AC12" s="22" t="n">
        <v>515</v>
      </c>
      <c r="AD12" s="22" t="n">
        <v>487</v>
      </c>
      <c r="AE12" s="22" t="n">
        <v>28</v>
      </c>
      <c r="AF12" s="23">
        <f>IF(B12=C12+D12,"✓","✗")</f>
        <v/>
      </c>
    </row>
    <row r="13">
      <c r="A13" s="24" t="inlineStr">
        <is>
          <t>Isagarh Prant-Isagarh</t>
        </is>
      </c>
      <c r="B13" s="25" t="n">
        <v>3356</v>
      </c>
      <c r="C13" s="25" t="n">
        <v>2471</v>
      </c>
      <c r="D13" s="25" t="n">
        <v>885</v>
      </c>
      <c r="E13" s="25" t="n">
        <v>9555</v>
      </c>
      <c r="F13" s="25" t="n">
        <v>3248</v>
      </c>
      <c r="G13" s="25" t="n">
        <v>6307</v>
      </c>
      <c r="H13" s="25" t="n">
        <v>6377</v>
      </c>
      <c r="I13" s="25" t="n">
        <v>1137</v>
      </c>
      <c r="J13" s="25" t="n">
        <v>5240</v>
      </c>
      <c r="K13" s="25" t="n">
        <v>7154</v>
      </c>
      <c r="L13" s="25" t="n">
        <v>1011</v>
      </c>
      <c r="M13" s="25" t="n">
        <v>6143</v>
      </c>
      <c r="N13" s="25" t="n">
        <v>5619</v>
      </c>
      <c r="O13" s="25" t="n">
        <v>535</v>
      </c>
      <c r="P13" s="25" t="n">
        <v>5084</v>
      </c>
      <c r="Q13" s="25" t="n">
        <v>1421</v>
      </c>
      <c r="R13" s="25" t="n">
        <v>484</v>
      </c>
      <c r="S13" s="25" t="n">
        <v>937</v>
      </c>
      <c r="T13" s="25" t="n">
        <v>211</v>
      </c>
      <c r="U13" s="25" t="n">
        <v>172</v>
      </c>
      <c r="V13" s="25" t="n">
        <v>39</v>
      </c>
      <c r="W13" s="25" t="n">
        <v>151</v>
      </c>
      <c r="X13" s="25" t="n">
        <v>122</v>
      </c>
      <c r="Y13" s="25" t="n">
        <v>29</v>
      </c>
      <c r="Z13" s="25" t="n"/>
      <c r="AA13" s="25" t="n"/>
      <c r="AB13" s="25" t="n"/>
      <c r="AC13" s="25" t="n">
        <v>131</v>
      </c>
      <c r="AD13" s="25" t="n">
        <v>78</v>
      </c>
      <c r="AE13" s="25" t="n">
        <v>53</v>
      </c>
      <c r="AF13" s="26">
        <f>IF(B13=C13+D13,"✓","✗")</f>
        <v/>
      </c>
    </row>
    <row r="14">
      <c r="A14" s="21" t="inlineStr">
        <is>
          <t>Pichhor</t>
        </is>
      </c>
      <c r="B14" s="22" t="n">
        <v>7076</v>
      </c>
      <c r="C14" s="22" t="n">
        <v>6391</v>
      </c>
      <c r="D14" s="22" t="n">
        <v>685</v>
      </c>
      <c r="E14" s="22" t="n">
        <v>12982</v>
      </c>
      <c r="F14" s="22" t="n">
        <v>4732</v>
      </c>
      <c r="G14" s="22" t="n">
        <v>8250</v>
      </c>
      <c r="H14" s="22" t="n">
        <v>11017</v>
      </c>
      <c r="I14" s="22" t="n">
        <v>2770</v>
      </c>
      <c r="J14" s="22" t="n">
        <v>8247</v>
      </c>
      <c r="K14" s="22" t="n">
        <v>10550</v>
      </c>
      <c r="L14" s="22" t="n">
        <v>2382</v>
      </c>
      <c r="M14" s="22" t="n">
        <v>8168</v>
      </c>
      <c r="N14" s="22" t="n">
        <v>10384</v>
      </c>
      <c r="O14" s="22" t="n">
        <v>2288</v>
      </c>
      <c r="P14" s="22" t="n">
        <v>8096</v>
      </c>
      <c r="Q14" s="22" t="n">
        <v>1461</v>
      </c>
      <c r="R14" s="22" t="n">
        <v>1069</v>
      </c>
      <c r="S14" s="22" t="n">
        <v>392</v>
      </c>
      <c r="T14" s="22" t="n">
        <v>465</v>
      </c>
      <c r="U14" s="22" t="n">
        <v>424</v>
      </c>
      <c r="V14" s="22" t="n">
        <v>41</v>
      </c>
      <c r="W14" s="22" t="n">
        <v>610</v>
      </c>
      <c r="X14" s="22" t="n">
        <v>575</v>
      </c>
      <c r="Y14" s="22" t="n">
        <v>35</v>
      </c>
      <c r="Z14" s="22" t="n"/>
      <c r="AA14" s="22" t="n"/>
      <c r="AB14" s="22" t="n"/>
      <c r="AC14" s="22" t="n">
        <v>1675</v>
      </c>
      <c r="AD14" s="22" t="n">
        <v>1653</v>
      </c>
      <c r="AE14" s="22" t="n">
        <v>22</v>
      </c>
      <c r="AF14" s="23">
        <f>IF(B14=C14+D14,"✓","✗")</f>
        <v/>
      </c>
    </row>
    <row r="15">
      <c r="A15" s="24" t="inlineStr">
        <is>
          <t>Bajrangarh</t>
        </is>
      </c>
      <c r="B15" s="25" t="n">
        <v>3993</v>
      </c>
      <c r="C15" s="25" t="n">
        <v>3466</v>
      </c>
      <c r="D15" s="25" t="n">
        <v>527</v>
      </c>
      <c r="E15" s="25" t="n">
        <v>2099</v>
      </c>
      <c r="F15" s="25" t="n">
        <v>1815</v>
      </c>
      <c r="G15" s="25" t="n">
        <v>284</v>
      </c>
      <c r="H15" s="25" t="n">
        <v>1206</v>
      </c>
      <c r="I15" s="25" t="n">
        <v>1037</v>
      </c>
      <c r="J15" s="25" t="n">
        <v>169</v>
      </c>
      <c r="K15" s="25" t="n">
        <v>670</v>
      </c>
      <c r="L15" s="25" t="n">
        <v>589</v>
      </c>
      <c r="M15" s="25" t="n">
        <v>81</v>
      </c>
      <c r="N15" s="25" t="n">
        <v>345</v>
      </c>
      <c r="O15" s="25" t="n">
        <v>259</v>
      </c>
      <c r="P15" s="25" t="n">
        <v>86</v>
      </c>
      <c r="Q15" s="25" t="n">
        <v>252</v>
      </c>
      <c r="R15" s="25" t="n">
        <v>204</v>
      </c>
      <c r="S15" s="25" t="n">
        <v>48</v>
      </c>
      <c r="T15" s="25" t="n">
        <v>171</v>
      </c>
      <c r="U15" s="25" t="n">
        <v>123</v>
      </c>
      <c r="V15" s="25" t="n">
        <v>48</v>
      </c>
      <c r="W15" s="25" t="n">
        <v>172</v>
      </c>
      <c r="X15" s="25" t="n">
        <v>130</v>
      </c>
      <c r="Y15" s="25" t="n">
        <v>42</v>
      </c>
      <c r="Z15" s="25" t="n"/>
      <c r="AA15" s="25" t="n"/>
      <c r="AB15" s="25" t="n"/>
      <c r="AC15" s="25" t="n">
        <v>108</v>
      </c>
      <c r="AD15" s="25" t="n">
        <v>74</v>
      </c>
      <c r="AE15" s="25" t="n">
        <v>34</v>
      </c>
      <c r="AF15" s="26">
        <f>IF(B15=C15+D15,"✓","✗")</f>
        <v/>
      </c>
    </row>
    <row r="16">
      <c r="A16" s="21" t="inlineStr">
        <is>
          <t>Bhilsa</t>
        </is>
      </c>
      <c r="B16" s="22" t="n">
        <v>4020</v>
      </c>
      <c r="C16" s="22" t="n">
        <v>3402</v>
      </c>
      <c r="D16" s="22" t="n">
        <v>618</v>
      </c>
      <c r="E16" s="22" t="n">
        <v>2175</v>
      </c>
      <c r="F16" s="22" t="n">
        <v>1941</v>
      </c>
      <c r="G16" s="22" t="n">
        <v>234</v>
      </c>
      <c r="H16" s="22" t="n">
        <v>1228</v>
      </c>
      <c r="I16" s="22" t="n">
        <v>1057</v>
      </c>
      <c r="J16" s="22" t="n">
        <v>171</v>
      </c>
      <c r="K16" s="22" t="n">
        <v>698</v>
      </c>
      <c r="L16" s="22" t="n">
        <v>570</v>
      </c>
      <c r="M16" s="22" t="n">
        <v>128</v>
      </c>
      <c r="N16" s="22" t="n">
        <v>335</v>
      </c>
      <c r="O16" s="22" t="n">
        <v>278</v>
      </c>
      <c r="P16" s="22" t="n">
        <v>57</v>
      </c>
      <c r="Q16" s="22" t="n">
        <v>279</v>
      </c>
      <c r="R16" s="22" t="n">
        <v>225</v>
      </c>
      <c r="S16" s="22" t="n">
        <v>54</v>
      </c>
      <c r="T16" s="22" t="n">
        <v>97</v>
      </c>
      <c r="U16" s="22" t="n">
        <v>79</v>
      </c>
      <c r="V16" s="22" t="n">
        <v>18</v>
      </c>
      <c r="W16" s="22" t="n">
        <v>138</v>
      </c>
      <c r="X16" s="22" t="n">
        <v>109</v>
      </c>
      <c r="Y16" s="22" t="n">
        <v>29</v>
      </c>
      <c r="Z16" s="22" t="n"/>
      <c r="AA16" s="22" t="n"/>
      <c r="AB16" s="22" t="n"/>
      <c r="AC16" s="22" t="n">
        <v>106</v>
      </c>
      <c r="AD16" s="22" t="n">
        <v>73</v>
      </c>
      <c r="AE16" s="22" t="n">
        <v>33</v>
      </c>
      <c r="AF16" s="23">
        <f>IF(B16=C16+D16,"✓","✗")</f>
        <v/>
      </c>
    </row>
    <row r="17">
      <c r="A17" s="24" t="inlineStr">
        <is>
          <t>Narwar</t>
        </is>
      </c>
      <c r="B17" s="25" t="n">
        <v>5246</v>
      </c>
      <c r="C17" s="25" t="n">
        <v>4233</v>
      </c>
      <c r="D17" s="25" t="n">
        <v>1013</v>
      </c>
      <c r="E17" s="25" t="n">
        <v>7105</v>
      </c>
      <c r="F17" s="25" t="n">
        <v>1942</v>
      </c>
      <c r="G17" s="25" t="n">
        <v>5163</v>
      </c>
      <c r="H17" s="25" t="n">
        <v>6888</v>
      </c>
      <c r="I17" s="25" t="n">
        <v>1784</v>
      </c>
      <c r="J17" s="25" t="n">
        <v>5104</v>
      </c>
      <c r="K17" s="25" t="n">
        <v>3988</v>
      </c>
      <c r="L17" s="25" t="n">
        <v>897</v>
      </c>
      <c r="M17" s="25" t="n">
        <v>3091</v>
      </c>
      <c r="N17" s="25" t="n">
        <v>5457</v>
      </c>
      <c r="O17" s="25" t="n">
        <v>429</v>
      </c>
      <c r="P17" s="25" t="n">
        <v>5028</v>
      </c>
      <c r="Q17" s="25" t="n">
        <v>471</v>
      </c>
      <c r="R17" s="25" t="n">
        <v>439</v>
      </c>
      <c r="S17" s="25" t="n">
        <v>32</v>
      </c>
      <c r="T17" s="25" t="n">
        <v>705</v>
      </c>
      <c r="U17" s="25" t="n">
        <v>196</v>
      </c>
      <c r="V17" s="25" t="n">
        <v>509</v>
      </c>
      <c r="W17" s="25" t="n">
        <v>350</v>
      </c>
      <c r="X17" s="25" t="n">
        <v>331</v>
      </c>
      <c r="Y17" s="25" t="n">
        <v>19</v>
      </c>
      <c r="Z17" s="25" t="n"/>
      <c r="AA17" s="25" t="n"/>
      <c r="AB17" s="25" t="n"/>
      <c r="AC17" s="25" t="n">
        <v>140</v>
      </c>
      <c r="AD17" s="25" t="n">
        <v>108</v>
      </c>
      <c r="AE17" s="25" t="n">
        <v>32</v>
      </c>
      <c r="AF17" s="26">
        <f>IF(B17=C17+D17,"✓","✗")</f>
        <v/>
      </c>
    </row>
    <row r="18">
      <c r="A18" s="21" t="inlineStr">
        <is>
          <t>Sheopur</t>
        </is>
      </c>
      <c r="B18" s="22" t="n">
        <v>3982</v>
      </c>
      <c r="C18" s="22" t="n">
        <v>2890</v>
      </c>
      <c r="D18" s="22" t="n">
        <v>1092</v>
      </c>
      <c r="E18" s="22" t="n">
        <v>1962</v>
      </c>
      <c r="F18" s="22" t="n">
        <v>1826</v>
      </c>
      <c r="G18" s="22" t="n">
        <v>136</v>
      </c>
      <c r="H18" s="22" t="n">
        <v>1333</v>
      </c>
      <c r="I18" s="22" t="n">
        <v>1072</v>
      </c>
      <c r="J18" s="22" t="n">
        <v>261</v>
      </c>
      <c r="K18" s="22" t="n">
        <v>931</v>
      </c>
      <c r="L18" s="22" t="n">
        <v>612</v>
      </c>
      <c r="M18" s="22" t="n">
        <v>319</v>
      </c>
      <c r="N18" s="22" t="n">
        <v>320</v>
      </c>
      <c r="O18" s="22" t="n">
        <v>260</v>
      </c>
      <c r="P18" s="22" t="n">
        <v>60</v>
      </c>
      <c r="Q18" s="22" t="n">
        <v>498</v>
      </c>
      <c r="R18" s="22" t="n">
        <v>383</v>
      </c>
      <c r="S18" s="22" t="n">
        <v>115</v>
      </c>
      <c r="T18" s="22" t="n">
        <v>143</v>
      </c>
      <c r="U18" s="22" t="n">
        <v>118</v>
      </c>
      <c r="V18" s="22" t="n">
        <v>25</v>
      </c>
      <c r="W18" s="22" t="n">
        <v>216</v>
      </c>
      <c r="X18" s="22" t="n">
        <v>193</v>
      </c>
      <c r="Y18" s="22" t="n">
        <v>23</v>
      </c>
      <c r="Z18" s="22" t="n"/>
      <c r="AA18" s="22" t="n"/>
      <c r="AB18" s="22" t="n"/>
      <c r="AC18" s="22" t="n">
        <v>113</v>
      </c>
      <c r="AD18" s="22" t="n">
        <v>62</v>
      </c>
      <c r="AE18" s="22" t="n">
        <v>51</v>
      </c>
      <c r="AF18" s="23">
        <f>IF(B18=C18+D18,"✓","✗")</f>
        <v/>
      </c>
    </row>
    <row r="19">
      <c r="A19" s="24" t="inlineStr">
        <is>
          <t>Malwa Prant-Nimach</t>
        </is>
      </c>
      <c r="B19" s="25" t="n">
        <v>2986</v>
      </c>
      <c r="C19" s="25" t="n">
        <v>2353</v>
      </c>
      <c r="D19" s="25" t="n">
        <v>633</v>
      </c>
      <c r="E19" s="25" t="n">
        <v>1572</v>
      </c>
      <c r="F19" s="25" t="n">
        <v>1398</v>
      </c>
      <c r="G19" s="25" t="n">
        <v>174</v>
      </c>
      <c r="H19" s="25" t="n">
        <v>914</v>
      </c>
      <c r="I19" s="25" t="n">
        <v>841</v>
      </c>
      <c r="J19" s="25" t="n">
        <v>73</v>
      </c>
      <c r="K19" s="25" t="n">
        <v>659</v>
      </c>
      <c r="L19" s="25" t="n">
        <v>582</v>
      </c>
      <c r="M19" s="25" t="n">
        <v>77</v>
      </c>
      <c r="N19" s="25" t="n">
        <v>445</v>
      </c>
      <c r="O19" s="25" t="n">
        <v>410</v>
      </c>
      <c r="P19" s="25" t="n">
        <v>35</v>
      </c>
      <c r="Q19" s="25" t="n">
        <v>279</v>
      </c>
      <c r="R19" s="25" t="n">
        <v>238</v>
      </c>
      <c r="S19" s="25" t="n">
        <v>41</v>
      </c>
      <c r="T19" s="25" t="n">
        <v>135</v>
      </c>
      <c r="U19" s="25" t="n">
        <v>117</v>
      </c>
      <c r="V19" s="25" t="n">
        <v>18</v>
      </c>
      <c r="W19" s="25" t="n">
        <v>170</v>
      </c>
      <c r="X19" s="25" t="n">
        <v>145</v>
      </c>
      <c r="Y19" s="25" t="n">
        <v>25</v>
      </c>
      <c r="Z19" s="25" t="n"/>
      <c r="AA19" s="25" t="n"/>
      <c r="AB19" s="25" t="n"/>
      <c r="AC19" s="25" t="n">
        <v>111</v>
      </c>
      <c r="AD19" s="25" t="n">
        <v>94</v>
      </c>
      <c r="AE19" s="25" t="n">
        <v>17</v>
      </c>
      <c r="AF19" s="26">
        <f>IF(B19=C19+D19,"✓","✗")</f>
        <v/>
      </c>
    </row>
    <row r="20">
      <c r="A20" s="21" t="inlineStr">
        <is>
          <t>Ujjain</t>
        </is>
      </c>
      <c r="B20" s="22" t="n">
        <v>6745</v>
      </c>
      <c r="C20" s="22" t="n">
        <v>5900</v>
      </c>
      <c r="D20" s="22" t="n">
        <v>845</v>
      </c>
      <c r="E20" s="22" t="n">
        <v>3857</v>
      </c>
      <c r="F20" s="22" t="n">
        <v>3484</v>
      </c>
      <c r="G20" s="22" t="n">
        <v>373</v>
      </c>
      <c r="H20" s="22" t="n">
        <v>1845</v>
      </c>
      <c r="I20" s="22" t="n">
        <v>1584</v>
      </c>
      <c r="J20" s="22" t="n">
        <v>261</v>
      </c>
      <c r="K20" s="22" t="n">
        <v>1533</v>
      </c>
      <c r="L20" s="22" t="n">
        <v>1347</v>
      </c>
      <c r="M20" s="22" t="n">
        <v>186</v>
      </c>
      <c r="N20" s="22" t="n">
        <v>749</v>
      </c>
      <c r="O20" s="22" t="n">
        <v>561</v>
      </c>
      <c r="P20" s="22" t="n">
        <v>188</v>
      </c>
      <c r="Q20" s="22" t="n">
        <v>741</v>
      </c>
      <c r="R20" s="22" t="n">
        <v>590</v>
      </c>
      <c r="S20" s="22" t="n">
        <v>151</v>
      </c>
      <c r="T20" s="22" t="n">
        <v>239</v>
      </c>
      <c r="U20" s="22" t="n">
        <v>202</v>
      </c>
      <c r="V20" s="22" t="n">
        <v>37</v>
      </c>
      <c r="W20" s="22" t="n">
        <v>401</v>
      </c>
      <c r="X20" s="22" t="n">
        <v>312</v>
      </c>
      <c r="Y20" s="22" t="n">
        <v>89</v>
      </c>
      <c r="Z20" s="22" t="n"/>
      <c r="AA20" s="22" t="n"/>
      <c r="AB20" s="22" t="n"/>
      <c r="AC20" s="22" t="n">
        <v>256</v>
      </c>
      <c r="AD20" s="22" t="n">
        <v>222</v>
      </c>
      <c r="AE20" s="22" t="n">
        <v>34</v>
      </c>
      <c r="AF20" s="23">
        <f>IF(B20=C20+D20,"✓","✗")</f>
        <v/>
      </c>
    </row>
    <row r="21">
      <c r="A21" s="24" t="inlineStr">
        <is>
          <t>Mandsaur</t>
        </is>
      </c>
      <c r="B21" s="25" t="n">
        <v>3590</v>
      </c>
      <c r="C21" s="25" t="n">
        <v>3144</v>
      </c>
      <c r="D21" s="25" t="n">
        <v>446</v>
      </c>
      <c r="E21" s="25" t="n">
        <v>1923</v>
      </c>
      <c r="F21" s="25" t="n">
        <v>1684</v>
      </c>
      <c r="G21" s="25" t="n">
        <v>239</v>
      </c>
      <c r="H21" s="25" t="n">
        <v>824</v>
      </c>
      <c r="I21" s="25" t="n">
        <v>728</v>
      </c>
      <c r="J21" s="25" t="n">
        <v>96</v>
      </c>
      <c r="K21" s="25" t="n">
        <v>912</v>
      </c>
      <c r="L21" s="25" t="n">
        <v>812</v>
      </c>
      <c r="M21" s="25" t="n">
        <v>100</v>
      </c>
      <c r="N21" s="25" t="n">
        <v>520</v>
      </c>
      <c r="O21" s="25" t="n">
        <v>475</v>
      </c>
      <c r="P21" s="25" t="n">
        <v>45</v>
      </c>
      <c r="Q21" s="25" t="n">
        <v>356</v>
      </c>
      <c r="R21" s="25" t="n">
        <v>300</v>
      </c>
      <c r="S21" s="25" t="n">
        <v>56</v>
      </c>
      <c r="T21" s="25" t="n">
        <v>96</v>
      </c>
      <c r="U21" s="25" t="n">
        <v>88</v>
      </c>
      <c r="V21" s="25" t="n">
        <v>8</v>
      </c>
      <c r="W21" s="25" t="n">
        <v>144</v>
      </c>
      <c r="X21" s="25" t="n">
        <v>130</v>
      </c>
      <c r="Y21" s="25" t="n">
        <v>14</v>
      </c>
      <c r="Z21" s="25" t="n"/>
      <c r="AA21" s="25" t="n"/>
      <c r="AB21" s="25" t="n"/>
      <c r="AC21" s="25" t="n">
        <v>119</v>
      </c>
      <c r="AD21" s="25" t="n">
        <v>93</v>
      </c>
      <c r="AE21" s="25" t="n">
        <v>26</v>
      </c>
      <c r="AF21" s="26">
        <f>IF(B21=C21+D21,"✓","✗")</f>
        <v/>
      </c>
    </row>
    <row r="22">
      <c r="A22" s="21" t="inlineStr">
        <is>
          <t>Agar</t>
        </is>
      </c>
      <c r="B22" s="22" t="n">
        <v>4809</v>
      </c>
      <c r="C22" s="22" t="n">
        <v>4418</v>
      </c>
      <c r="D22" s="22" t="n">
        <v>391</v>
      </c>
      <c r="E22" s="22" t="n">
        <v>3330</v>
      </c>
      <c r="F22" s="22" t="n">
        <v>3008</v>
      </c>
      <c r="G22" s="22" t="n">
        <v>322</v>
      </c>
      <c r="H22" s="22" t="n">
        <v>1545</v>
      </c>
      <c r="I22" s="22" t="n">
        <v>1319</v>
      </c>
      <c r="J22" s="22" t="n">
        <v>226</v>
      </c>
      <c r="K22" s="22" t="n">
        <v>1078</v>
      </c>
      <c r="L22" s="22" t="n">
        <v>971</v>
      </c>
      <c r="M22" s="22" t="n">
        <v>107</v>
      </c>
      <c r="N22" s="22" t="n">
        <v>555</v>
      </c>
      <c r="O22" s="22" t="n">
        <v>502</v>
      </c>
      <c r="P22" s="22" t="n">
        <v>53</v>
      </c>
      <c r="Q22" s="22" t="n">
        <v>555</v>
      </c>
      <c r="R22" s="22" t="n">
        <v>482</v>
      </c>
      <c r="S22" s="22" t="n">
        <v>73</v>
      </c>
      <c r="T22" s="22" t="n">
        <v>246</v>
      </c>
      <c r="U22" s="22" t="n">
        <v>182</v>
      </c>
      <c r="V22" s="22" t="n">
        <v>64</v>
      </c>
      <c r="W22" s="22" t="n">
        <v>281</v>
      </c>
      <c r="X22" s="22" t="n">
        <v>202</v>
      </c>
      <c r="Y22" s="22" t="n">
        <v>79</v>
      </c>
      <c r="Z22" s="22" t="n"/>
      <c r="AA22" s="22" t="n"/>
      <c r="AB22" s="22" t="n"/>
      <c r="AC22" s="22" t="n">
        <v>251</v>
      </c>
      <c r="AD22" s="22" t="n">
        <v>123</v>
      </c>
      <c r="AE22" s="22" t="n">
        <v>128</v>
      </c>
      <c r="AF22" s="23">
        <f>IF(B22=C22+D22,"✓","✗")</f>
        <v/>
      </c>
    </row>
    <row r="23">
      <c r="A23" s="24" t="inlineStr">
        <is>
          <t>Shajapur</t>
        </is>
      </c>
      <c r="B23" s="25" t="n">
        <v>7361</v>
      </c>
      <c r="C23" s="25" t="n">
        <v>6519</v>
      </c>
      <c r="D23" s="25" t="n">
        <v>842</v>
      </c>
      <c r="E23" s="25" t="n">
        <v>4807</v>
      </c>
      <c r="F23" s="25" t="n">
        <v>4421</v>
      </c>
      <c r="G23" s="25" t="n">
        <v>386</v>
      </c>
      <c r="H23" s="25" t="n">
        <v>2484</v>
      </c>
      <c r="I23" s="25" t="n">
        <v>2187</v>
      </c>
      <c r="J23" s="25" t="n">
        <v>297</v>
      </c>
      <c r="K23" s="25" t="n">
        <v>2009</v>
      </c>
      <c r="L23" s="25" t="n">
        <v>1405</v>
      </c>
      <c r="M23" s="25" t="n">
        <v>604</v>
      </c>
      <c r="N23" s="25" t="n">
        <v>653</v>
      </c>
      <c r="O23" s="25" t="n">
        <v>536</v>
      </c>
      <c r="P23" s="25" t="n">
        <v>117</v>
      </c>
      <c r="Q23" s="25" t="n">
        <v>617</v>
      </c>
      <c r="R23" s="25" t="n">
        <v>533</v>
      </c>
      <c r="S23" s="25" t="n">
        <v>84</v>
      </c>
      <c r="T23" s="25" t="n">
        <v>229</v>
      </c>
      <c r="U23" s="25" t="n">
        <v>187</v>
      </c>
      <c r="V23" s="25" t="n">
        <v>42</v>
      </c>
      <c r="W23" s="25" t="n">
        <v>296</v>
      </c>
      <c r="X23" s="25" t="n">
        <v>260</v>
      </c>
      <c r="Y23" s="25" t="n">
        <v>36</v>
      </c>
      <c r="Z23" s="25" t="n"/>
      <c r="AA23" s="25" t="n"/>
      <c r="AB23" s="25" t="n"/>
      <c r="AC23" s="25" t="n">
        <v>222</v>
      </c>
      <c r="AD23" s="25" t="n">
        <v>179</v>
      </c>
      <c r="AE23" s="25" t="n">
        <v>43</v>
      </c>
      <c r="AF23" s="26">
        <f>IF(B23=C23+D23,"✓","✗")</f>
        <v/>
      </c>
    </row>
    <row r="24">
      <c r="A24" s="21" t="inlineStr">
        <is>
          <t>Amjhera</t>
        </is>
      </c>
      <c r="B24" s="22" t="n">
        <v>3819</v>
      </c>
      <c r="C24" s="22" t="n">
        <v>2995</v>
      </c>
      <c r="D24" s="22" t="n">
        <v>824</v>
      </c>
      <c r="E24" s="22" t="n">
        <v>2399</v>
      </c>
      <c r="F24" s="22" t="n">
        <v>1855</v>
      </c>
      <c r="G24" s="22" t="n">
        <v>544</v>
      </c>
      <c r="H24" s="22" t="n">
        <v>1045</v>
      </c>
      <c r="I24" s="22" t="n">
        <v>783</v>
      </c>
      <c r="J24" s="22" t="n">
        <v>262</v>
      </c>
      <c r="K24" s="22" t="n">
        <v>754</v>
      </c>
      <c r="L24" s="22" t="n">
        <v>549</v>
      </c>
      <c r="M24" s="22" t="n">
        <v>205</v>
      </c>
      <c r="N24" s="22" t="n">
        <v>575</v>
      </c>
      <c r="O24" s="22" t="n">
        <v>224</v>
      </c>
      <c r="P24" s="22" t="n">
        <v>351</v>
      </c>
      <c r="Q24" s="22" t="n">
        <v>343</v>
      </c>
      <c r="R24" s="22" t="n">
        <v>240</v>
      </c>
      <c r="S24" s="22" t="n">
        <v>103</v>
      </c>
      <c r="T24" s="22" t="n">
        <v>169</v>
      </c>
      <c r="U24" s="22" t="n">
        <v>69</v>
      </c>
      <c r="V24" s="22" t="n">
        <v>100</v>
      </c>
      <c r="W24" s="22" t="n">
        <v>150</v>
      </c>
      <c r="X24" s="22" t="n">
        <v>80</v>
      </c>
      <c r="Y24" s="22" t="n">
        <v>70</v>
      </c>
      <c r="Z24" s="22" t="n"/>
      <c r="AA24" s="22" t="n"/>
      <c r="AB24" s="22" t="n"/>
      <c r="AC24" s="22" t="n">
        <v>74</v>
      </c>
      <c r="AD24" s="22" t="n">
        <v>43</v>
      </c>
      <c r="AE24" s="22" t="n">
        <v>31</v>
      </c>
      <c r="AF24" s="23">
        <f>IF(B24=C24+D24,"✓","✗")</f>
        <v/>
      </c>
    </row>
    <row r="25">
      <c r="A25" s="24" t="inlineStr">
        <is>
          <t>Total</t>
        </is>
      </c>
      <c r="B25" s="25" t="n">
        <v>29310</v>
      </c>
      <c r="C25" s="25" t="n">
        <v>25329</v>
      </c>
      <c r="D25" s="25" t="n">
        <v>3981</v>
      </c>
      <c r="E25" s="25" t="n">
        <v>17888</v>
      </c>
      <c r="F25" s="25" t="n">
        <v>15850</v>
      </c>
      <c r="G25" s="25" t="n">
        <v>2038</v>
      </c>
      <c r="H25" s="25" t="n">
        <v>8657</v>
      </c>
      <c r="I25" s="25" t="n">
        <v>7442</v>
      </c>
      <c r="J25" s="25" t="n">
        <v>1215</v>
      </c>
      <c r="K25" s="25" t="n">
        <v>6945</v>
      </c>
      <c r="L25" s="25" t="n">
        <v>5666</v>
      </c>
      <c r="M25" s="25" t="n">
        <v>1279</v>
      </c>
      <c r="N25" s="25" t="n">
        <v>3497</v>
      </c>
      <c r="O25" s="25" t="n">
        <v>2708</v>
      </c>
      <c r="P25" s="25" t="n">
        <v>789</v>
      </c>
      <c r="Q25" s="25" t="n">
        <v>2891</v>
      </c>
      <c r="R25" s="25" t="n">
        <v>2383</v>
      </c>
      <c r="S25" s="25" t="n">
        <v>508</v>
      </c>
      <c r="T25" s="25" t="n">
        <v>1114</v>
      </c>
      <c r="U25" s="25" t="n">
        <v>845</v>
      </c>
      <c r="V25" s="25" t="n">
        <v>269</v>
      </c>
      <c r="W25" s="25" t="n">
        <v>1442</v>
      </c>
      <c r="X25" s="25" t="n">
        <v>1129</v>
      </c>
      <c r="Y25" s="25" t="n">
        <v>313</v>
      </c>
      <c r="Z25" s="25" t="n">
        <v>1636</v>
      </c>
      <c r="AA25" s="25" t="n">
        <v>1486</v>
      </c>
      <c r="AB25" s="25" t="n">
        <v>150</v>
      </c>
      <c r="AC25" s="25" t="n">
        <v>1041</v>
      </c>
      <c r="AD25" s="25" t="n">
        <v>754</v>
      </c>
      <c r="AE25" s="25" t="n">
        <v>287</v>
      </c>
      <c r="AF25" s="26">
        <f>IF(B25=C25+D25,"✓","✗")</f>
        <v/>
      </c>
    </row>
    <row r="26">
      <c r="A26" s="21" t="inlineStr">
        <is>
          <t>Grand Total</t>
        </is>
      </c>
      <c r="B26" s="22" t="n">
        <v>90873</v>
      </c>
      <c r="C26" s="22" t="n">
        <v>79260</v>
      </c>
      <c r="D26" s="22" t="n">
        <v>11613</v>
      </c>
      <c r="E26" s="22" t="n">
        <v>76856</v>
      </c>
      <c r="F26" s="22" t="n">
        <v>52582</v>
      </c>
      <c r="G26" s="22" t="n">
        <v>24274</v>
      </c>
      <c r="H26" s="22" t="n">
        <v>50269</v>
      </c>
      <c r="I26" s="22" t="n">
        <v>28937</v>
      </c>
      <c r="J26" s="22" t="n">
        <v>21332</v>
      </c>
      <c r="K26" s="22" t="n">
        <v>42455</v>
      </c>
      <c r="L26" s="22" t="n">
        <v>22481</v>
      </c>
      <c r="M26" s="22" t="n">
        <v>19974</v>
      </c>
      <c r="N26" s="22" t="n">
        <v>32132</v>
      </c>
      <c r="O26" s="22" t="n">
        <v>12565</v>
      </c>
      <c r="P26" s="22" t="n">
        <v>19567</v>
      </c>
      <c r="Q26" s="22" t="n">
        <v>13703</v>
      </c>
      <c r="R26" s="22" t="n">
        <v>11019</v>
      </c>
      <c r="S26" s="22" t="n">
        <v>2684</v>
      </c>
      <c r="T26" s="22" t="n">
        <v>5664</v>
      </c>
      <c r="U26" s="22" t="n">
        <v>4545</v>
      </c>
      <c r="V26" s="22" t="n">
        <v>1119</v>
      </c>
      <c r="W26" s="22" t="n">
        <v>6305</v>
      </c>
      <c r="X26" s="22" t="n">
        <v>5563</v>
      </c>
      <c r="Y26" s="22" t="n">
        <v>742</v>
      </c>
      <c r="Z26" s="22" t="n"/>
      <c r="AA26" s="22" t="n"/>
      <c r="AB26" s="22" t="n"/>
      <c r="AC26" s="22" t="n">
        <v>9023</v>
      </c>
      <c r="AD26" s="22" t="n">
        <v>8155</v>
      </c>
      <c r="AE26" s="22" t="n">
        <v>868</v>
      </c>
      <c r="AF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  <c r="AC27" s="28">
        <f>IF(SUM(AC6:AC26)=AC5,"✓",SUM(AC6:AC26)-AC5)</f>
        <v/>
      </c>
      <c r="AD27" s="28">
        <f>IF(SUM(AD6:AD26)=AD5,"✓",SUM(AD6:AD26)-AD5)</f>
        <v/>
      </c>
      <c r="AE27" s="28">
        <f>IF(SUM(AE6:AE26)=AE5,"✓",SUM(AE6:AE26)-AE5)</f>
        <v/>
      </c>
    </row>
  </sheetData>
  <mergeCells count="10">
    <mergeCell ref="B3:D3"/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conditionalFormatting sqref="AF5:AF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2026-03-23T20:14:42Z</dcterms:created>
  <dcterms:modified xmlns:dcterms="http://purl.org/dc/terms/" xmlns:xsi="http://www.w3.org/2001/XMLSchema-instance" xsi:type="dcterms:W3CDTF">2026-03-23T20:14:42Z</dcterms:modified>
</cp:coreProperties>
</file>