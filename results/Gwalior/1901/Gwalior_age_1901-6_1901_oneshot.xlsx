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GE PERIODS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7" customWidth="1" min="32" max="32"/>
  </cols>
  <sheetData>
    <row r="1">
      <c r="A1" s="1" t="inlineStr">
        <is>
          <t>Gwalior</t>
        </is>
      </c>
    </row>
    <row r="2">
      <c r="A2" s="2" t="inlineStr">
        <is>
          <t>Source: AGE PERIODS.</t>
        </is>
      </c>
    </row>
    <row r="3">
      <c r="A3" s="3" t="inlineStr">
        <is>
          <t>AGE PERIODS.</t>
        </is>
      </c>
    </row>
    <row r="4">
      <c r="A4" s="4" t="inlineStr">
        <is>
          <t>Districts.</t>
        </is>
      </c>
      <c r="B4" s="5" t="inlineStr">
        <is>
          <t>15-20.</t>
        </is>
      </c>
      <c r="C4" s="6" t="n"/>
      <c r="D4" s="6" t="n"/>
      <c r="E4" s="7" t="inlineStr">
        <is>
          <t>20-25</t>
        </is>
      </c>
      <c r="F4" s="8" t="n"/>
      <c r="G4" s="8" t="n"/>
      <c r="H4" s="9" t="inlineStr">
        <is>
          <t>25-30.</t>
        </is>
      </c>
      <c r="I4" s="10" t="n"/>
      <c r="J4" s="10" t="n"/>
      <c r="K4" s="11" t="inlineStr">
        <is>
          <t>30-35.</t>
        </is>
      </c>
      <c r="L4" s="12" t="n"/>
      <c r="M4" s="12" t="n"/>
      <c r="N4" s="13" t="inlineStr">
        <is>
          <t>35-40.</t>
        </is>
      </c>
      <c r="O4" s="14" t="n"/>
      <c r="P4" s="14" t="n"/>
      <c r="Q4" s="5" t="inlineStr">
        <is>
          <t>40-45.</t>
        </is>
      </c>
      <c r="R4" s="6" t="n"/>
      <c r="S4" s="6" t="n"/>
      <c r="T4" s="7" t="inlineStr">
        <is>
          <t>45-50.</t>
        </is>
      </c>
      <c r="U4" s="8" t="n"/>
      <c r="V4" s="8" t="n"/>
      <c r="W4" s="9" t="inlineStr">
        <is>
          <t>50-55.</t>
        </is>
      </c>
      <c r="X4" s="10" t="n"/>
      <c r="Y4" s="10" t="n"/>
      <c r="Z4" s="11" t="inlineStr">
        <is>
          <t>55-60.</t>
        </is>
      </c>
      <c r="AA4" s="12" t="n"/>
      <c r="AB4" s="12" t="n"/>
      <c r="AC4" s="13" t="inlineStr">
        <is>
          <t>60 and over.</t>
        </is>
      </c>
      <c r="AD4" s="14" t="n"/>
      <c r="AE4" s="14" t="n"/>
      <c r="AF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Persons</t>
        </is>
      </c>
      <c r="X5" s="17" t="inlineStr">
        <is>
          <t>Males</t>
        </is>
      </c>
      <c r="Y5" s="17" t="inlineStr">
        <is>
          <t>Females</t>
        </is>
      </c>
      <c r="Z5" s="17" t="inlineStr">
        <is>
          <t>Persons</t>
        </is>
      </c>
      <c r="AA5" s="17" t="inlineStr">
        <is>
          <t>Males</t>
        </is>
      </c>
      <c r="AB5" s="17" t="inlineStr">
        <is>
          <t>Females</t>
        </is>
      </c>
      <c r="AC5" s="17" t="inlineStr">
        <is>
          <t>Persons</t>
        </is>
      </c>
      <c r="AD5" s="17" t="inlineStr">
        <is>
          <t>Males</t>
        </is>
      </c>
      <c r="AE5" s="17" t="inlineStr">
        <is>
          <t>Females</t>
        </is>
      </c>
      <c r="AF5" s="17" t="inlineStr">
        <is>
          <t>M+F=P</t>
        </is>
      </c>
    </row>
    <row r="6">
      <c r="A6" s="18" t="inlineStr">
        <is>
          <t>Total</t>
        </is>
      </c>
      <c r="B6" s="19" t="n">
        <v>76197</v>
      </c>
      <c r="C6" s="19" t="n">
        <v>31984</v>
      </c>
      <c r="D6" s="19" t="n">
        <v>44213</v>
      </c>
      <c r="E6" s="19" t="n">
        <v>68937</v>
      </c>
      <c r="F6" s="19" t="n">
        <v>26988</v>
      </c>
      <c r="G6" s="19" t="n">
        <v>41949</v>
      </c>
      <c r="H6" s="19" t="n">
        <v>62169</v>
      </c>
      <c r="I6" s="19" t="n">
        <v>31080</v>
      </c>
      <c r="J6" s="19" t="n">
        <v>31089</v>
      </c>
      <c r="K6" s="19" t="n">
        <v>63619</v>
      </c>
      <c r="L6" s="19" t="n">
        <v>36567</v>
      </c>
      <c r="M6" s="19" t="n">
        <v>27052</v>
      </c>
      <c r="N6" s="19" t="n">
        <v>36658</v>
      </c>
      <c r="O6" s="19" t="n">
        <v>23145</v>
      </c>
      <c r="P6" s="19" t="n">
        <v>13513</v>
      </c>
      <c r="Q6" s="19" t="n">
        <v>35836</v>
      </c>
      <c r="R6" s="19" t="n">
        <v>25128</v>
      </c>
      <c r="S6" s="19" t="n">
        <v>10708</v>
      </c>
      <c r="T6" s="19" t="n">
        <v>14000</v>
      </c>
      <c r="U6" s="19" t="n">
        <v>9895</v>
      </c>
      <c r="V6" s="19" t="n">
        <v>4105</v>
      </c>
      <c r="W6" s="19" t="n">
        <v>16116</v>
      </c>
      <c r="X6" s="19" t="n">
        <v>12096</v>
      </c>
      <c r="Y6" s="19" t="n">
        <v>4020</v>
      </c>
      <c r="Z6" s="19" t="n">
        <v>4753</v>
      </c>
      <c r="AA6" s="19" t="n">
        <v>3027</v>
      </c>
      <c r="AB6" s="19" t="n">
        <v>1726</v>
      </c>
      <c r="AC6" s="19" t="n">
        <v>8949</v>
      </c>
      <c r="AD6" s="19" t="n">
        <v>7484</v>
      </c>
      <c r="AE6" s="19" t="n">
        <v>1465</v>
      </c>
      <c r="AF6" s="20">
        <f>IF(B6=C6+D6,"✓","✗")</f>
        <v/>
      </c>
    </row>
    <row r="7">
      <c r="A7" s="21" t="inlineStr">
        <is>
          <t>Gwalior Prant-Gwalior</t>
        </is>
      </c>
      <c r="B7" s="22" t="n">
        <v>19869</v>
      </c>
      <c r="C7" s="22" t="n">
        <v>8396</v>
      </c>
      <c r="D7" s="22" t="n">
        <v>11473</v>
      </c>
      <c r="E7" s="22" t="n">
        <v>19804</v>
      </c>
      <c r="F7" s="22" t="n">
        <v>8892</v>
      </c>
      <c r="G7" s="22" t="n">
        <v>10912</v>
      </c>
      <c r="H7" s="22" t="n">
        <v>21233</v>
      </c>
      <c r="I7" s="22" t="n">
        <v>11551</v>
      </c>
      <c r="J7" s="22" t="n">
        <v>9682</v>
      </c>
      <c r="K7" s="22" t="n">
        <v>22999</v>
      </c>
      <c r="L7" s="22" t="n">
        <v>12732</v>
      </c>
      <c r="M7" s="22" t="n">
        <v>10267</v>
      </c>
      <c r="N7" s="22" t="n">
        <v>12895</v>
      </c>
      <c r="O7" s="22" t="n">
        <v>8160</v>
      </c>
      <c r="P7" s="22" t="n">
        <v>4735</v>
      </c>
      <c r="Q7" s="22" t="n">
        <v>15136</v>
      </c>
      <c r="R7" s="22" t="n">
        <v>9415</v>
      </c>
      <c r="S7" s="22" t="n">
        <v>5721</v>
      </c>
      <c r="T7" s="22" t="n">
        <v>3840</v>
      </c>
      <c r="U7" s="22" t="n">
        <v>1787</v>
      </c>
      <c r="V7" s="22" t="n">
        <v>2053</v>
      </c>
      <c r="W7" s="22" t="n">
        <v>8150</v>
      </c>
      <c r="X7" s="22" t="n">
        <v>5812</v>
      </c>
      <c r="Y7" s="22" t="n">
        <v>2338</v>
      </c>
      <c r="Z7" s="22" t="n">
        <v>1780</v>
      </c>
      <c r="AA7" s="22" t="n">
        <v>1302</v>
      </c>
      <c r="AB7" s="22" t="n">
        <v>478</v>
      </c>
      <c r="AC7" s="22" t="n">
        <v>4559</v>
      </c>
      <c r="AD7" s="22" t="n">
        <v>3729</v>
      </c>
      <c r="AE7" s="22" t="n">
        <v>830</v>
      </c>
      <c r="AF7" s="23">
        <f>IF(B7=C7+D7,"✓","✗")</f>
        <v/>
      </c>
    </row>
    <row r="8">
      <c r="A8" s="24" t="inlineStr">
        <is>
          <t>Susera</t>
        </is>
      </c>
      <c r="B8" s="25" t="n">
        <v>241</v>
      </c>
      <c r="C8" s="25" t="n">
        <v>113</v>
      </c>
      <c r="D8" s="25" t="n">
        <v>128</v>
      </c>
      <c r="E8" s="25" t="n">
        <v>287</v>
      </c>
      <c r="F8" s="25" t="n">
        <v>116</v>
      </c>
      <c r="G8" s="25" t="n">
        <v>171</v>
      </c>
      <c r="H8" s="25" t="n">
        <v>342</v>
      </c>
      <c r="I8" s="25" t="n">
        <v>173</v>
      </c>
      <c r="J8" s="25" t="n">
        <v>169</v>
      </c>
      <c r="K8" s="25" t="n">
        <v>354</v>
      </c>
      <c r="L8" s="25" t="n">
        <v>192</v>
      </c>
      <c r="M8" s="25" t="n">
        <v>162</v>
      </c>
      <c r="N8" s="25" t="n">
        <v>181</v>
      </c>
      <c r="O8" s="25" t="n">
        <v>106</v>
      </c>
      <c r="P8" s="25" t="n">
        <v>75</v>
      </c>
      <c r="Q8" s="25" t="n">
        <v>195</v>
      </c>
      <c r="R8" s="25" t="n">
        <v>129</v>
      </c>
      <c r="S8" s="25" t="n">
        <v>66</v>
      </c>
      <c r="T8" s="25" t="n">
        <v>80</v>
      </c>
      <c r="U8" s="25" t="n">
        <v>51</v>
      </c>
      <c r="V8" s="25" t="n">
        <v>29</v>
      </c>
      <c r="W8" s="25" t="n">
        <v>86</v>
      </c>
      <c r="X8" s="25" t="n">
        <v>67</v>
      </c>
      <c r="Y8" s="25" t="n">
        <v>19</v>
      </c>
      <c r="Z8" s="25" t="n">
        <v>19</v>
      </c>
      <c r="AA8" s="25" t="n">
        <v>17</v>
      </c>
      <c r="AB8" s="25" t="n">
        <v>2</v>
      </c>
      <c r="AC8" s="25" t="n">
        <v>39</v>
      </c>
      <c r="AD8" s="25" t="n">
        <v>31</v>
      </c>
      <c r="AE8" s="25" t="n">
        <v>8</v>
      </c>
      <c r="AF8" s="26">
        <f>IF(B8=C8+D8,"✓","✗")</f>
        <v/>
      </c>
    </row>
    <row r="9">
      <c r="A9" s="21" t="inlineStr">
        <is>
          <t>Sikarwari</t>
        </is>
      </c>
      <c r="B9" s="22" t="n">
        <v>9368</v>
      </c>
      <c r="C9" s="22" t="n">
        <v>2963</v>
      </c>
      <c r="D9" s="22" t="n">
        <v>6405</v>
      </c>
      <c r="E9" s="22" t="n">
        <v>15423</v>
      </c>
      <c r="F9" s="22" t="n">
        <v>6075</v>
      </c>
      <c r="G9" s="22" t="n">
        <v>9348</v>
      </c>
      <c r="H9" s="22" t="n">
        <v>13727</v>
      </c>
      <c r="I9" s="22" t="n">
        <v>7159</v>
      </c>
      <c r="J9" s="22" t="n">
        <v>6568</v>
      </c>
      <c r="K9" s="22" t="n">
        <v>13190</v>
      </c>
      <c r="L9" s="22" t="n">
        <v>7104</v>
      </c>
      <c r="M9" s="22" t="n">
        <v>6086</v>
      </c>
      <c r="N9" s="22" t="n">
        <v>7131</v>
      </c>
      <c r="O9" s="22" t="n">
        <v>3868</v>
      </c>
      <c r="P9" s="22" t="n">
        <v>3263</v>
      </c>
      <c r="Q9" s="22" t="n">
        <v>11965</v>
      </c>
      <c r="R9" s="22" t="n">
        <v>5663</v>
      </c>
      <c r="S9" s="22" t="n">
        <v>6302</v>
      </c>
      <c r="T9" s="22" t="n">
        <v>3627</v>
      </c>
      <c r="U9" s="22" t="n">
        <v>2312</v>
      </c>
      <c r="V9" s="22" t="n">
        <v>1315</v>
      </c>
      <c r="W9" s="22" t="n">
        <v>4452</v>
      </c>
      <c r="X9" s="22" t="n">
        <v>3192</v>
      </c>
      <c r="Y9" s="22" t="n">
        <v>1260</v>
      </c>
      <c r="Z9" s="22" t="n">
        <v>1099</v>
      </c>
      <c r="AA9" s="22" t="n">
        <v>804</v>
      </c>
      <c r="AB9" s="22" t="n">
        <v>295</v>
      </c>
      <c r="AC9" s="22" t="n">
        <v>2425</v>
      </c>
      <c r="AD9" s="22" t="n">
        <v>1936</v>
      </c>
      <c r="AE9" s="22" t="n">
        <v>489</v>
      </c>
      <c r="AF9" s="23">
        <f>IF(B9=C9+D9,"✓","✗")</f>
        <v/>
      </c>
    </row>
    <row r="10">
      <c r="A10" s="24" t="inlineStr">
        <is>
          <t>Sabalgarh</t>
        </is>
      </c>
      <c r="B10" s="25" t="n">
        <v>6531</v>
      </c>
      <c r="C10" s="25" t="n">
        <v>2162</v>
      </c>
      <c r="D10" s="25" t="n">
        <v>4369</v>
      </c>
      <c r="E10" s="25" t="n">
        <v>8860</v>
      </c>
      <c r="F10" s="25" t="n">
        <v>3712</v>
      </c>
      <c r="G10" s="25" t="n">
        <v>5148</v>
      </c>
      <c r="H10" s="25" t="n">
        <v>8170</v>
      </c>
      <c r="I10" s="25" t="n">
        <v>4176</v>
      </c>
      <c r="J10" s="25" t="n">
        <v>3994</v>
      </c>
      <c r="K10" s="25" t="n">
        <v>8196</v>
      </c>
      <c r="L10" s="25" t="n">
        <v>4463</v>
      </c>
      <c r="M10" s="25" t="n">
        <v>3733</v>
      </c>
      <c r="N10" s="25" t="n">
        <v>4474</v>
      </c>
      <c r="O10" s="25" t="n">
        <v>2478</v>
      </c>
      <c r="P10" s="25" t="n">
        <v>1996</v>
      </c>
      <c r="Q10" s="25" t="n">
        <v>6248</v>
      </c>
      <c r="R10" s="25" t="n">
        <v>3830</v>
      </c>
      <c r="S10" s="25" t="n">
        <v>2418</v>
      </c>
      <c r="T10" s="25" t="n">
        <v>2049</v>
      </c>
      <c r="U10" s="25" t="n">
        <v>1290</v>
      </c>
      <c r="V10" s="25" t="n">
        <v>759</v>
      </c>
      <c r="W10" s="25" t="n">
        <v>2671</v>
      </c>
      <c r="X10" s="25" t="n">
        <v>1956</v>
      </c>
      <c r="Y10" s="25" t="n">
        <v>715</v>
      </c>
      <c r="Z10" s="25" t="n">
        <v>734</v>
      </c>
      <c r="AA10" s="25" t="n">
        <v>418</v>
      </c>
      <c r="AB10" s="25" t="n">
        <v>316</v>
      </c>
      <c r="AC10" s="25" t="n">
        <v>1750</v>
      </c>
      <c r="AD10" s="25" t="n">
        <v>1378</v>
      </c>
      <c r="AE10" s="25" t="n">
        <v>372</v>
      </c>
      <c r="AF10" s="26">
        <f>IF(B10=C10+D10,"✓","✗")</f>
        <v/>
      </c>
    </row>
    <row r="11">
      <c r="A11" s="21" t="inlineStr">
        <is>
          <t>Tawarghar</t>
        </is>
      </c>
      <c r="B11" s="22" t="n">
        <v>14107</v>
      </c>
      <c r="C11" s="22" t="n">
        <v>7681</v>
      </c>
      <c r="D11" s="22" t="n">
        <v>6426</v>
      </c>
      <c r="E11" s="22" t="n">
        <v>12466</v>
      </c>
      <c r="F11" s="22" t="n">
        <v>5109</v>
      </c>
      <c r="G11" s="22" t="n">
        <v>7357</v>
      </c>
      <c r="H11" s="22" t="n">
        <v>12242</v>
      </c>
      <c r="I11" s="22" t="n">
        <v>5613</v>
      </c>
      <c r="J11" s="22" t="n">
        <v>6629</v>
      </c>
      <c r="K11" s="22" t="n">
        <v>13240</v>
      </c>
      <c r="L11" s="22" t="n">
        <v>7489</v>
      </c>
      <c r="M11" s="22" t="n">
        <v>5751</v>
      </c>
      <c r="N11" s="22" t="n">
        <v>8439</v>
      </c>
      <c r="O11" s="22" t="n">
        <v>4075</v>
      </c>
      <c r="P11" s="22" t="n">
        <v>4364</v>
      </c>
      <c r="Q11" s="22" t="n">
        <v>7573</v>
      </c>
      <c r="R11" s="22" t="n">
        <v>3738</v>
      </c>
      <c r="S11" s="22" t="n">
        <v>3835</v>
      </c>
      <c r="T11" s="22" t="n">
        <v>3973</v>
      </c>
      <c r="U11" s="22" t="n">
        <v>2658</v>
      </c>
      <c r="V11" s="22" t="n">
        <v>1315</v>
      </c>
      <c r="W11" s="22" t="n">
        <v>4463</v>
      </c>
      <c r="X11" s="22" t="n">
        <v>3134</v>
      </c>
      <c r="Y11" s="22" t="n">
        <v>1329</v>
      </c>
      <c r="Z11" s="22" t="n">
        <v>1699</v>
      </c>
      <c r="AA11" s="22" t="n">
        <v>1419</v>
      </c>
      <c r="AB11" s="22" t="n">
        <v>280</v>
      </c>
      <c r="AC11" s="22" t="n">
        <v>645</v>
      </c>
      <c r="AD11" s="22" t="n">
        <v>223</v>
      </c>
      <c r="AE11" s="22" t="n">
        <v>422</v>
      </c>
      <c r="AF11" s="23">
        <f>IF(B11=C11+D11,"✓","✗")</f>
        <v/>
      </c>
    </row>
    <row r="12">
      <c r="A12" s="24" t="inlineStr">
        <is>
          <t>Bhind</t>
        </is>
      </c>
      <c r="B12" s="25" t="n">
        <v>16122</v>
      </c>
      <c r="C12" s="25" t="n">
        <v>6779</v>
      </c>
      <c r="D12" s="25" t="n">
        <v>9343</v>
      </c>
      <c r="E12" s="25" t="n">
        <v>16245</v>
      </c>
      <c r="F12" s="25" t="n">
        <v>6269</v>
      </c>
      <c r="G12" s="25" t="n">
        <v>9976</v>
      </c>
      <c r="H12" s="25" t="n">
        <v>16978</v>
      </c>
      <c r="I12" s="25" t="n">
        <v>7216</v>
      </c>
      <c r="J12" s="25" t="n">
        <v>9762</v>
      </c>
      <c r="K12" s="25" t="n">
        <v>13437</v>
      </c>
      <c r="L12" s="25" t="n">
        <v>7642</v>
      </c>
      <c r="M12" s="25" t="n">
        <v>5795</v>
      </c>
      <c r="N12" s="25" t="n">
        <v>8555</v>
      </c>
      <c r="O12" s="25" t="n">
        <v>4717</v>
      </c>
      <c r="P12" s="25" t="n">
        <v>3838</v>
      </c>
      <c r="Q12" s="25" t="n">
        <v>9769</v>
      </c>
      <c r="R12" s="25" t="n">
        <v>5741</v>
      </c>
      <c r="S12" s="25" t="n">
        <v>4028</v>
      </c>
      <c r="T12" s="25" t="n">
        <v>4371</v>
      </c>
      <c r="U12" s="25" t="n">
        <v>3092</v>
      </c>
      <c r="V12" s="25" t="n">
        <v>1279</v>
      </c>
      <c r="W12" s="25" t="n">
        <v>4963</v>
      </c>
      <c r="X12" s="25" t="n">
        <v>3916</v>
      </c>
      <c r="Y12" s="25" t="n">
        <v>1047</v>
      </c>
      <c r="Z12" s="25" t="n">
        <v>3729</v>
      </c>
      <c r="AA12" s="25" t="n">
        <v>3451</v>
      </c>
      <c r="AB12" s="25" t="n">
        <v>278</v>
      </c>
      <c r="AC12" s="25" t="n">
        <v>812</v>
      </c>
      <c r="AD12" s="25" t="n">
        <v>297</v>
      </c>
      <c r="AE12" s="25" t="n">
        <v>515</v>
      </c>
      <c r="AF12" s="26">
        <f>IF(B12=C12+D12,"✓","✗")</f>
        <v/>
      </c>
    </row>
    <row r="13">
      <c r="A13" s="21" t="inlineStr">
        <is>
          <t>Bhander</t>
        </is>
      </c>
      <c r="B13" s="22" t="n">
        <v>9959</v>
      </c>
      <c r="C13" s="22" t="n">
        <v>3890</v>
      </c>
      <c r="D13" s="22" t="n">
        <v>6069</v>
      </c>
      <c r="E13" s="22" t="n">
        <v>11479</v>
      </c>
      <c r="F13" s="22" t="n">
        <v>4837</v>
      </c>
      <c r="G13" s="22" t="n">
        <v>6642</v>
      </c>
      <c r="H13" s="22" t="n">
        <v>11954</v>
      </c>
      <c r="I13" s="22" t="n">
        <v>5644</v>
      </c>
      <c r="J13" s="22" t="n">
        <v>6310</v>
      </c>
      <c r="K13" s="22" t="n">
        <v>11798</v>
      </c>
      <c r="L13" s="22" t="n">
        <v>6547</v>
      </c>
      <c r="M13" s="22" t="n">
        <v>5251</v>
      </c>
      <c r="N13" s="22" t="n">
        <v>6772</v>
      </c>
      <c r="O13" s="22" t="n">
        <v>3739</v>
      </c>
      <c r="P13" s="22" t="n">
        <v>3033</v>
      </c>
      <c r="Q13" s="22" t="n">
        <v>8549</v>
      </c>
      <c r="R13" s="22" t="n">
        <v>5224</v>
      </c>
      <c r="S13" s="22" t="n">
        <v>3325</v>
      </c>
      <c r="T13" s="22" t="n">
        <v>3583</v>
      </c>
      <c r="U13" s="22" t="n">
        <v>2234</v>
      </c>
      <c r="V13" s="22" t="n">
        <v>1349</v>
      </c>
      <c r="W13" s="22" t="n">
        <v>3419</v>
      </c>
      <c r="X13" s="22" t="n">
        <v>2463</v>
      </c>
      <c r="Y13" s="22" t="n">
        <v>956</v>
      </c>
      <c r="Z13" s="22" t="n">
        <v>1164</v>
      </c>
      <c r="AA13" s="22" t="n">
        <v>752</v>
      </c>
      <c r="AB13" s="22" t="n">
        <v>412</v>
      </c>
      <c r="AC13" s="22" t="n">
        <v>2003</v>
      </c>
      <c r="AD13" s="22" t="n">
        <v>1598</v>
      </c>
      <c r="AE13" s="22" t="n">
        <v>405</v>
      </c>
      <c r="AF13" s="23">
        <f>IF(B13=C13+D13,"✓","✗")</f>
        <v/>
      </c>
    </row>
    <row r="14">
      <c r="A14" s="24" t="inlineStr">
        <is>
          <t>Isagarh Prant-Isagarh</t>
        </is>
      </c>
      <c r="B14" s="25" t="n"/>
      <c r="C14" s="25" t="n"/>
      <c r="D14" s="25" t="n"/>
      <c r="E14" s="25" t="n">
        <v>5637</v>
      </c>
      <c r="F14" s="25" t="n">
        <v>3962</v>
      </c>
      <c r="G14" s="25" t="n">
        <v>1675</v>
      </c>
      <c r="H14" s="25" t="n">
        <v>12552</v>
      </c>
      <c r="I14" s="25" t="n">
        <v>6505</v>
      </c>
      <c r="J14" s="25" t="n">
        <v>6047</v>
      </c>
      <c r="K14" s="25" t="n">
        <v>8766</v>
      </c>
      <c r="L14" s="25" t="n">
        <v>3783</v>
      </c>
      <c r="M14" s="25" t="n">
        <v>4983</v>
      </c>
      <c r="N14" s="25" t="n">
        <v>5300</v>
      </c>
      <c r="O14" s="25" t="n">
        <v>2995</v>
      </c>
      <c r="P14" s="25" t="n">
        <v>2305</v>
      </c>
      <c r="Q14" s="25" t="n">
        <v>4154</v>
      </c>
      <c r="R14" s="25" t="n">
        <v>1911</v>
      </c>
      <c r="S14" s="25" t="n">
        <v>2243</v>
      </c>
      <c r="T14" s="25" t="n">
        <v>9350</v>
      </c>
      <c r="U14" s="25" t="n">
        <v>2899</v>
      </c>
      <c r="V14" s="25" t="n">
        <v>6451</v>
      </c>
      <c r="W14" s="25" t="n">
        <v>1326</v>
      </c>
      <c r="X14" s="25" t="n">
        <v>663</v>
      </c>
      <c r="Y14" s="25" t="n">
        <v>663</v>
      </c>
      <c r="Z14" s="25" t="n">
        <v>639</v>
      </c>
      <c r="AA14" s="25" t="n">
        <v>439</v>
      </c>
      <c r="AB14" s="25" t="n">
        <v>200</v>
      </c>
      <c r="AC14" s="25" t="n">
        <v>1378</v>
      </c>
      <c r="AD14" s="25" t="n">
        <v>1018</v>
      </c>
      <c r="AE14" s="25" t="n">
        <v>360</v>
      </c>
      <c r="AF14" s="26">
        <f>IF(B14=C14+D14,"✓","✗")</f>
        <v/>
      </c>
    </row>
    <row r="15">
      <c r="A15" s="21" t="inlineStr">
        <is>
          <t>Pichhor</t>
        </is>
      </c>
      <c r="B15" s="22" t="n"/>
      <c r="C15" s="22" t="n"/>
      <c r="D15" s="22" t="n"/>
      <c r="E15" s="22" t="n">
        <v>15594</v>
      </c>
      <c r="F15" s="22" t="n">
        <v>7241</v>
      </c>
      <c r="G15" s="22" t="n">
        <v>8353</v>
      </c>
      <c r="H15" s="22" t="n">
        <v>18087</v>
      </c>
      <c r="I15" s="22" t="n">
        <v>9597</v>
      </c>
      <c r="J15" s="22" t="n">
        <v>8490</v>
      </c>
      <c r="K15" s="22" t="n">
        <v>15824</v>
      </c>
      <c r="L15" s="22" t="n">
        <v>9101</v>
      </c>
      <c r="M15" s="22" t="n">
        <v>6723</v>
      </c>
      <c r="N15" s="22" t="n">
        <v>12212</v>
      </c>
      <c r="O15" s="22" t="n">
        <v>5283</v>
      </c>
      <c r="P15" s="22" t="n">
        <v>6929</v>
      </c>
      <c r="Q15" s="22" t="n">
        <v>3226</v>
      </c>
      <c r="R15" s="22" t="n">
        <v>1638</v>
      </c>
      <c r="S15" s="22" t="n">
        <v>1588</v>
      </c>
      <c r="T15" s="22" t="n">
        <v>18636</v>
      </c>
      <c r="U15" s="22" t="n">
        <v>812</v>
      </c>
      <c r="V15" s="22" t="n">
        <v>17824</v>
      </c>
      <c r="W15" s="22" t="n">
        <v>1774</v>
      </c>
      <c r="X15" s="22" t="n">
        <v>620</v>
      </c>
      <c r="Y15" s="22" t="n">
        <v>1154</v>
      </c>
      <c r="Z15" s="22" t="n">
        <v>1215</v>
      </c>
      <c r="AA15" s="22" t="n">
        <v>794</v>
      </c>
      <c r="AB15" s="22" t="n">
        <v>421</v>
      </c>
      <c r="AC15" s="22" t="n">
        <v>2661</v>
      </c>
      <c r="AD15" s="22" t="n">
        <v>2081</v>
      </c>
      <c r="AE15" s="22" t="n">
        <v>580</v>
      </c>
      <c r="AF15" s="23">
        <f>IF(B15=C15+D15,"✓","✗")</f>
        <v/>
      </c>
    </row>
    <row r="16">
      <c r="A16" s="24" t="inlineStr">
        <is>
          <t>Bajrangarh</t>
        </is>
      </c>
      <c r="B16" s="25" t="n"/>
      <c r="C16" s="25" t="n"/>
      <c r="D16" s="25" t="n"/>
      <c r="E16" s="25" t="n">
        <v>9583</v>
      </c>
      <c r="F16" s="25" t="n">
        <v>3235</v>
      </c>
      <c r="G16" s="25" t="n">
        <v>6348</v>
      </c>
      <c r="H16" s="25" t="n">
        <v>6714</v>
      </c>
      <c r="I16" s="25" t="n">
        <v>2577</v>
      </c>
      <c r="J16" s="25" t="n">
        <v>4137</v>
      </c>
      <c r="K16" s="25" t="n">
        <v>9690</v>
      </c>
      <c r="L16" s="25" t="n">
        <v>5109</v>
      </c>
      <c r="M16" s="25" t="n">
        <v>4581</v>
      </c>
      <c r="N16" s="25" t="n">
        <v>5431</v>
      </c>
      <c r="O16" s="25" t="n">
        <v>3511</v>
      </c>
      <c r="P16" s="25" t="n">
        <v>1920</v>
      </c>
      <c r="Q16" s="25" t="n">
        <v>5425</v>
      </c>
      <c r="R16" s="25" t="n">
        <v>3608</v>
      </c>
      <c r="S16" s="25" t="n">
        <v>1817</v>
      </c>
      <c r="T16" s="25" t="n">
        <v>4391</v>
      </c>
      <c r="U16" s="25" t="n">
        <v>1611</v>
      </c>
      <c r="V16" s="25" t="n">
        <v>2780</v>
      </c>
      <c r="W16" s="25" t="n">
        <v>2235</v>
      </c>
      <c r="X16" s="25" t="n">
        <v>1682</v>
      </c>
      <c r="Y16" s="25" t="n">
        <v>553</v>
      </c>
      <c r="Z16" s="25" t="n">
        <v>1437</v>
      </c>
      <c r="AA16" s="25" t="n">
        <v>575</v>
      </c>
      <c r="AB16" s="25" t="n">
        <v>862</v>
      </c>
      <c r="AC16" s="25" t="n">
        <v>1243</v>
      </c>
      <c r="AD16" s="25" t="n">
        <v>926</v>
      </c>
      <c r="AE16" s="25" t="n">
        <v>317</v>
      </c>
      <c r="AF16" s="26">
        <f>IF(B16=C16+D16,"✓","✗")</f>
        <v/>
      </c>
    </row>
    <row r="17">
      <c r="A17" s="21" t="inlineStr">
        <is>
          <t>Bhilsa</t>
        </is>
      </c>
      <c r="B17" s="22" t="n"/>
      <c r="C17" s="22" t="n"/>
      <c r="D17" s="22" t="n"/>
      <c r="E17" s="22" t="n">
        <v>8607</v>
      </c>
      <c r="F17" s="22" t="n">
        <v>3445</v>
      </c>
      <c r="G17" s="22" t="n">
        <v>5162</v>
      </c>
      <c r="H17" s="22" t="n">
        <v>7317</v>
      </c>
      <c r="I17" s="22" t="n">
        <v>4571</v>
      </c>
      <c r="J17" s="22" t="n">
        <v>2746</v>
      </c>
      <c r="K17" s="22" t="n">
        <v>7048</v>
      </c>
      <c r="L17" s="22" t="n">
        <v>4242</v>
      </c>
      <c r="M17" s="22" t="n">
        <v>2806</v>
      </c>
      <c r="N17" s="22" t="n">
        <v>4277</v>
      </c>
      <c r="O17" s="22" t="n">
        <v>2797</v>
      </c>
      <c r="P17" s="22" t="n">
        <v>1480</v>
      </c>
      <c r="Q17" s="22" t="n">
        <v>4598</v>
      </c>
      <c r="R17" s="22" t="n">
        <v>3219</v>
      </c>
      <c r="S17" s="22" t="n">
        <v>1379</v>
      </c>
      <c r="T17" s="22" t="n">
        <v>1437</v>
      </c>
      <c r="U17" s="22" t="n">
        <v>1282</v>
      </c>
      <c r="V17" s="22" t="n">
        <v>155</v>
      </c>
      <c r="W17" s="22" t="n">
        <v>1707</v>
      </c>
      <c r="X17" s="22" t="n">
        <v>1187</v>
      </c>
      <c r="Y17" s="22" t="n">
        <v>520</v>
      </c>
      <c r="Z17" s="22" t="n">
        <v>426</v>
      </c>
      <c r="AA17" s="22" t="n">
        <v>326</v>
      </c>
      <c r="AB17" s="22" t="n">
        <v>100</v>
      </c>
      <c r="AC17" s="22" t="n">
        <v>4863</v>
      </c>
      <c r="AD17" s="22" t="n">
        <v>616</v>
      </c>
      <c r="AE17" s="22" t="n">
        <v>4247</v>
      </c>
      <c r="AF17" s="23">
        <f>IF(B17=C17+D17,"✓","✗")</f>
        <v/>
      </c>
    </row>
    <row r="18">
      <c r="A18" s="24" t="inlineStr">
        <is>
          <t>Narwar</t>
        </is>
      </c>
      <c r="B18" s="25" t="n"/>
      <c r="C18" s="25" t="n"/>
      <c r="D18" s="25" t="n"/>
      <c r="E18" s="25" t="n">
        <v>13367</v>
      </c>
      <c r="F18" s="25" t="n">
        <v>7090</v>
      </c>
      <c r="G18" s="25" t="n">
        <v>6277</v>
      </c>
      <c r="H18" s="25" t="n">
        <v>7715</v>
      </c>
      <c r="I18" s="25" t="n">
        <v>6197</v>
      </c>
      <c r="J18" s="25" t="n">
        <v>1518</v>
      </c>
      <c r="K18" s="25" t="n">
        <v>12229</v>
      </c>
      <c r="L18" s="25" t="n">
        <v>7077</v>
      </c>
      <c r="M18" s="25" t="n">
        <v>5152</v>
      </c>
      <c r="N18" s="25" t="n">
        <v>5594</v>
      </c>
      <c r="O18" s="25" t="n">
        <v>3175</v>
      </c>
      <c r="P18" s="25" t="n">
        <v>2419</v>
      </c>
      <c r="Q18" s="25" t="n">
        <v>4745</v>
      </c>
      <c r="R18" s="25" t="n">
        <v>2074</v>
      </c>
      <c r="S18" s="25" t="n">
        <v>2671</v>
      </c>
      <c r="T18" s="25" t="n">
        <v>2624</v>
      </c>
      <c r="U18" s="25" t="n">
        <v>1360</v>
      </c>
      <c r="V18" s="25" t="n">
        <v>1264</v>
      </c>
      <c r="W18" s="25" t="n">
        <v>2529</v>
      </c>
      <c r="X18" s="25" t="n">
        <v>1447</v>
      </c>
      <c r="Y18" s="25" t="n">
        <v>1082</v>
      </c>
      <c r="Z18" s="25" t="n">
        <v>926</v>
      </c>
      <c r="AA18" s="25" t="n">
        <v>474</v>
      </c>
      <c r="AB18" s="25" t="n">
        <v>452</v>
      </c>
      <c r="AC18" s="25" t="n">
        <v>1731</v>
      </c>
      <c r="AD18" s="25" t="n">
        <v>1057</v>
      </c>
      <c r="AE18" s="25" t="n">
        <v>674</v>
      </c>
      <c r="AF18" s="26">
        <f>IF(B18=C18+D18,"✓","✗")</f>
        <v/>
      </c>
    </row>
    <row r="19">
      <c r="A19" s="21" t="inlineStr">
        <is>
          <t>Sheopur</t>
        </is>
      </c>
      <c r="B19" s="22" t="n"/>
      <c r="C19" s="22" t="n"/>
      <c r="D19" s="22" t="n"/>
      <c r="E19" s="22" t="n">
        <v>8705</v>
      </c>
      <c r="F19" s="22" t="n">
        <v>2393</v>
      </c>
      <c r="G19" s="22" t="n">
        <v>6312</v>
      </c>
      <c r="H19" s="22" t="n">
        <v>9727</v>
      </c>
      <c r="I19" s="22" t="n">
        <v>3126</v>
      </c>
      <c r="J19" s="22" t="n">
        <v>6601</v>
      </c>
      <c r="K19" s="22" t="n">
        <v>6717</v>
      </c>
      <c r="L19" s="22" t="n">
        <v>3460</v>
      </c>
      <c r="M19" s="22" t="n">
        <v>3257</v>
      </c>
      <c r="N19" s="22" t="n">
        <v>3365</v>
      </c>
      <c r="O19" s="22" t="n">
        <v>2020</v>
      </c>
      <c r="P19" s="22" t="n">
        <v>1345</v>
      </c>
      <c r="Q19" s="22" t="n">
        <v>4104</v>
      </c>
      <c r="R19" s="22" t="n">
        <v>3136</v>
      </c>
      <c r="S19" s="22" t="n">
        <v>968</v>
      </c>
      <c r="T19" s="22" t="n">
        <v>1402</v>
      </c>
      <c r="U19" s="22" t="n">
        <v>1064</v>
      </c>
      <c r="V19" s="22" t="n">
        <v>338</v>
      </c>
      <c r="W19" s="22" t="n">
        <v>1848</v>
      </c>
      <c r="X19" s="22" t="n">
        <v>1618</v>
      </c>
      <c r="Y19" s="22" t="n">
        <v>230</v>
      </c>
      <c r="Z19" s="22" t="n">
        <v>590</v>
      </c>
      <c r="AA19" s="22" t="n">
        <v>300</v>
      </c>
      <c r="AB19" s="22" t="n">
        <v>290</v>
      </c>
      <c r="AC19" s="22" t="n">
        <v>1169</v>
      </c>
      <c r="AD19" s="22" t="n">
        <v>960</v>
      </c>
      <c r="AE19" s="22" t="n">
        <v>209</v>
      </c>
      <c r="AF19" s="23">
        <f>IF(B19=C19+D19,"✓","✗")</f>
        <v/>
      </c>
    </row>
    <row r="20">
      <c r="A20" s="24" t="inlineStr">
        <is>
          <t>Malwa Prant-Nimach</t>
        </is>
      </c>
      <c r="B20" s="25" t="n"/>
      <c r="C20" s="25" t="n"/>
      <c r="D20" s="25" t="n"/>
      <c r="E20" s="25" t="n">
        <v>7877</v>
      </c>
      <c r="F20" s="25" t="n">
        <v>3328</v>
      </c>
      <c r="G20" s="25" t="n">
        <v>4549</v>
      </c>
      <c r="H20" s="25" t="n">
        <v>7016</v>
      </c>
      <c r="I20" s="25" t="n">
        <v>3215</v>
      </c>
      <c r="J20" s="25" t="n">
        <v>3801</v>
      </c>
      <c r="K20" s="25" t="n">
        <v>6663</v>
      </c>
      <c r="L20" s="25" t="n">
        <v>3517</v>
      </c>
      <c r="M20" s="25" t="n">
        <v>3146</v>
      </c>
      <c r="N20" s="25" t="n">
        <v>4161</v>
      </c>
      <c r="O20" s="25" t="n">
        <v>2387</v>
      </c>
      <c r="P20" s="25" t="n">
        <v>1774</v>
      </c>
      <c r="Q20" s="25" t="n">
        <v>3910</v>
      </c>
      <c r="R20" s="25" t="n">
        <v>2331</v>
      </c>
      <c r="S20" s="25" t="n">
        <v>1579</v>
      </c>
      <c r="T20" s="25" t="n">
        <v>1937</v>
      </c>
      <c r="U20" s="25" t="n">
        <v>1408</v>
      </c>
      <c r="V20" s="25" t="n">
        <v>529</v>
      </c>
      <c r="W20" s="25" t="n">
        <v>1618</v>
      </c>
      <c r="X20" s="25" t="n">
        <v>1183</v>
      </c>
      <c r="Y20" s="25" t="n">
        <v>435</v>
      </c>
      <c r="Z20" s="25" t="n">
        <v>439</v>
      </c>
      <c r="AA20" s="25" t="n">
        <v>344</v>
      </c>
      <c r="AB20" s="25" t="n">
        <v>95</v>
      </c>
      <c r="AC20" s="25" t="n">
        <v>595</v>
      </c>
      <c r="AD20" s="25" t="n">
        <v>464</v>
      </c>
      <c r="AE20" s="25" t="n">
        <v>131</v>
      </c>
      <c r="AF20" s="26">
        <f>IF(B20=C20+D20,"✓","✗")</f>
        <v/>
      </c>
    </row>
    <row r="21">
      <c r="A21" s="21" t="inlineStr">
        <is>
          <t>Ujjain</t>
        </is>
      </c>
      <c r="B21" s="22" t="n"/>
      <c r="C21" s="22" t="n"/>
      <c r="D21" s="22" t="n"/>
      <c r="E21" s="22" t="n">
        <v>17014</v>
      </c>
      <c r="F21" s="22" t="n">
        <v>6997</v>
      </c>
      <c r="G21" s="22" t="n">
        <v>10017</v>
      </c>
      <c r="H21" s="22" t="n">
        <v>15183</v>
      </c>
      <c r="I21" s="22" t="n">
        <v>7716</v>
      </c>
      <c r="J21" s="22" t="n">
        <v>7467</v>
      </c>
      <c r="K21" s="22" t="n">
        <v>19015</v>
      </c>
      <c r="L21" s="22" t="n">
        <v>9835</v>
      </c>
      <c r="M21" s="22" t="n">
        <v>9180</v>
      </c>
      <c r="N21" s="22" t="n">
        <v>8368</v>
      </c>
      <c r="O21" s="22" t="n">
        <v>5411</v>
      </c>
      <c r="P21" s="22" t="n">
        <v>2957</v>
      </c>
      <c r="Q21" s="22" t="n">
        <v>10346</v>
      </c>
      <c r="R21" s="22" t="n">
        <v>6846</v>
      </c>
      <c r="S21" s="22" t="n">
        <v>3500</v>
      </c>
      <c r="T21" s="22" t="n">
        <v>2759</v>
      </c>
      <c r="U21" s="22" t="n">
        <v>1993</v>
      </c>
      <c r="V21" s="22" t="n">
        <v>766</v>
      </c>
      <c r="W21" s="22" t="n">
        <v>4620</v>
      </c>
      <c r="X21" s="22" t="n">
        <v>3433</v>
      </c>
      <c r="Y21" s="22" t="n">
        <v>1187</v>
      </c>
      <c r="Z21" s="22" t="n">
        <v>832</v>
      </c>
      <c r="AA21" s="22" t="n">
        <v>711</v>
      </c>
      <c r="AB21" s="22" t="n">
        <v>121</v>
      </c>
      <c r="AC21" s="22" t="n">
        <v>2563</v>
      </c>
      <c r="AD21" s="22" t="n">
        <v>2203</v>
      </c>
      <c r="AE21" s="22" t="n">
        <v>360</v>
      </c>
      <c r="AF21" s="23">
        <f>IF(B21=C21+D21,"✓","✗")</f>
        <v/>
      </c>
    </row>
    <row r="22">
      <c r="A22" s="24" t="inlineStr">
        <is>
          <t>Mandsaur</t>
        </is>
      </c>
      <c r="B22" s="25" t="n"/>
      <c r="C22" s="25" t="n"/>
      <c r="D22" s="25" t="n"/>
      <c r="E22" s="25" t="n">
        <v>5513</v>
      </c>
      <c r="F22" s="25" t="n">
        <v>3393</v>
      </c>
      <c r="G22" s="25" t="n">
        <v>2120</v>
      </c>
      <c r="H22" s="25" t="n">
        <v>5766</v>
      </c>
      <c r="I22" s="25" t="n">
        <v>3357</v>
      </c>
      <c r="J22" s="25" t="n">
        <v>2409</v>
      </c>
      <c r="K22" s="25" t="n">
        <v>5447</v>
      </c>
      <c r="L22" s="25" t="n">
        <v>4137</v>
      </c>
      <c r="M22" s="25" t="n">
        <v>1310</v>
      </c>
      <c r="N22" s="25" t="n">
        <v>4572</v>
      </c>
      <c r="O22" s="25" t="n">
        <v>2748</v>
      </c>
      <c r="P22" s="25" t="n">
        <v>1824</v>
      </c>
      <c r="Q22" s="25" t="n">
        <v>3615</v>
      </c>
      <c r="R22" s="25" t="n">
        <v>2813</v>
      </c>
      <c r="S22" s="25" t="n">
        <v>802</v>
      </c>
      <c r="T22" s="25" t="n">
        <v>1570</v>
      </c>
      <c r="U22" s="25" t="n">
        <v>1225</v>
      </c>
      <c r="V22" s="25" t="n">
        <v>345</v>
      </c>
      <c r="W22" s="25" t="n">
        <v>1804</v>
      </c>
      <c r="X22" s="25" t="n">
        <v>1352</v>
      </c>
      <c r="Y22" s="25" t="n">
        <v>452</v>
      </c>
      <c r="Z22" s="25" t="n">
        <v>884</v>
      </c>
      <c r="AA22" s="25" t="n">
        <v>308</v>
      </c>
      <c r="AB22" s="25" t="n">
        <v>576</v>
      </c>
      <c r="AC22" s="25" t="n">
        <v>838</v>
      </c>
      <c r="AD22" s="25" t="n">
        <v>618</v>
      </c>
      <c r="AE22" s="25" t="n">
        <v>220</v>
      </c>
      <c r="AF22" s="26">
        <f>IF(B22=C22+D22,"✓","✗")</f>
        <v/>
      </c>
    </row>
    <row r="23">
      <c r="A23" s="21" t="inlineStr">
        <is>
          <t>Agar</t>
        </is>
      </c>
      <c r="B23" s="22" t="n"/>
      <c r="C23" s="22" t="n"/>
      <c r="D23" s="22" t="n"/>
      <c r="E23" s="22" t="n">
        <v>10762</v>
      </c>
      <c r="F23" s="22" t="n">
        <v>4323</v>
      </c>
      <c r="G23" s="22" t="n">
        <v>6439</v>
      </c>
      <c r="H23" s="22" t="n">
        <v>8915</v>
      </c>
      <c r="I23" s="22" t="n">
        <v>4483</v>
      </c>
      <c r="J23" s="22" t="n">
        <v>4432</v>
      </c>
      <c r="K23" s="22" t="n">
        <v>9532</v>
      </c>
      <c r="L23" s="22" t="n">
        <v>5450</v>
      </c>
      <c r="M23" s="22" t="n">
        <v>4082</v>
      </c>
      <c r="N23" s="22" t="n">
        <v>5915</v>
      </c>
      <c r="O23" s="22" t="n">
        <v>3754</v>
      </c>
      <c r="P23" s="22" t="n">
        <v>2161</v>
      </c>
      <c r="Q23" s="22" t="n">
        <v>4978</v>
      </c>
      <c r="R23" s="22" t="n">
        <v>3716</v>
      </c>
      <c r="S23" s="22" t="n">
        <v>1262</v>
      </c>
      <c r="T23" s="22" t="n">
        <v>2126</v>
      </c>
      <c r="U23" s="22" t="n">
        <v>1637</v>
      </c>
      <c r="V23" s="22" t="n">
        <v>489</v>
      </c>
      <c r="W23" s="22" t="n">
        <v>1985</v>
      </c>
      <c r="X23" s="22" t="n">
        <v>1611</v>
      </c>
      <c r="Y23" s="22" t="n">
        <v>374</v>
      </c>
      <c r="Z23" s="22" t="n">
        <v>884</v>
      </c>
      <c r="AA23" s="22" t="n">
        <v>466</v>
      </c>
      <c r="AB23" s="22" t="n">
        <v>418</v>
      </c>
      <c r="AC23" s="22" t="n">
        <v>1458</v>
      </c>
      <c r="AD23" s="22" t="n">
        <v>1155</v>
      </c>
      <c r="AE23" s="22" t="n">
        <v>303</v>
      </c>
      <c r="AF23" s="23">
        <f>IF(B23=C23+D23,"✓","✗")</f>
        <v/>
      </c>
    </row>
    <row r="24">
      <c r="A24" s="24" t="inlineStr">
        <is>
          <t>Shajapur</t>
        </is>
      </c>
      <c r="B24" s="25" t="n"/>
      <c r="C24" s="25" t="n"/>
      <c r="D24" s="25" t="n"/>
      <c r="E24" s="25" t="n">
        <v>17627</v>
      </c>
      <c r="F24" s="25" t="n">
        <v>6192</v>
      </c>
      <c r="G24" s="25" t="n">
        <v>11435</v>
      </c>
      <c r="H24" s="25" t="n">
        <v>19529</v>
      </c>
      <c r="I24" s="25" t="n">
        <v>8825</v>
      </c>
      <c r="J24" s="25" t="n">
        <v>10704</v>
      </c>
      <c r="K24" s="25" t="n">
        <v>16768</v>
      </c>
      <c r="L24" s="25" t="n">
        <v>9384</v>
      </c>
      <c r="M24" s="25" t="n">
        <v>7384</v>
      </c>
      <c r="N24" s="25" t="n">
        <v>9790</v>
      </c>
      <c r="O24" s="25" t="n">
        <v>6230</v>
      </c>
      <c r="P24" s="25" t="n">
        <v>3560</v>
      </c>
      <c r="Q24" s="25" t="n">
        <v>9440</v>
      </c>
      <c r="R24" s="25" t="n">
        <v>6387</v>
      </c>
      <c r="S24" s="25" t="n">
        <v>3053</v>
      </c>
      <c r="T24" s="25" t="n">
        <v>3158</v>
      </c>
      <c r="U24" s="25" t="n">
        <v>2014</v>
      </c>
      <c r="V24" s="25" t="n">
        <v>1144</v>
      </c>
      <c r="W24" s="25" t="n">
        <v>3991</v>
      </c>
      <c r="X24" s="25" t="n">
        <v>3234</v>
      </c>
      <c r="Y24" s="25" t="n">
        <v>757</v>
      </c>
      <c r="Z24" s="25" t="n">
        <v>1222</v>
      </c>
      <c r="AA24" s="25" t="n">
        <v>774</v>
      </c>
      <c r="AB24" s="25" t="n">
        <v>448</v>
      </c>
      <c r="AC24" s="25" t="n">
        <v>2554</v>
      </c>
      <c r="AD24" s="25" t="n">
        <v>2217</v>
      </c>
      <c r="AE24" s="25" t="n">
        <v>337</v>
      </c>
      <c r="AF24" s="26">
        <f>IF(B24=C24+D24,"✓","✗")</f>
        <v/>
      </c>
    </row>
    <row r="25">
      <c r="A25" s="21" t="inlineStr">
        <is>
          <t>Amjhera</t>
        </is>
      </c>
      <c r="B25" s="22" t="n"/>
      <c r="C25" s="22" t="n"/>
      <c r="D25" s="22" t="n"/>
      <c r="E25" s="22" t="n">
        <v>10144</v>
      </c>
      <c r="F25" s="22" t="n">
        <v>2755</v>
      </c>
      <c r="G25" s="22" t="n">
        <v>7389</v>
      </c>
      <c r="H25" s="22" t="n">
        <v>5760</v>
      </c>
      <c r="I25" s="22" t="n">
        <v>3484</v>
      </c>
      <c r="J25" s="22" t="n">
        <v>2276</v>
      </c>
      <c r="K25" s="22" t="n">
        <v>6194</v>
      </c>
      <c r="L25" s="22" t="n">
        <v>4244</v>
      </c>
      <c r="M25" s="22" t="n">
        <v>1950</v>
      </c>
      <c r="N25" s="22" t="n">
        <v>3852</v>
      </c>
      <c r="O25" s="22" t="n">
        <v>2615</v>
      </c>
      <c r="P25" s="22" t="n">
        <v>1237</v>
      </c>
      <c r="Q25" s="22" t="n">
        <v>3517</v>
      </c>
      <c r="R25" s="22" t="n">
        <v>3005</v>
      </c>
      <c r="S25" s="22" t="n">
        <v>512</v>
      </c>
      <c r="T25" s="22" t="n">
        <v>2462</v>
      </c>
      <c r="U25" s="22" t="n">
        <v>1618</v>
      </c>
      <c r="V25" s="22" t="n">
        <v>844</v>
      </c>
      <c r="W25" s="22" t="n">
        <v>2098</v>
      </c>
      <c r="X25" s="22" t="n">
        <v>1283</v>
      </c>
      <c r="Y25" s="22" t="n">
        <v>815</v>
      </c>
      <c r="Z25" s="22" t="n">
        <v>492</v>
      </c>
      <c r="AA25" s="22" t="n">
        <v>424</v>
      </c>
      <c r="AB25" s="22" t="n">
        <v>68</v>
      </c>
      <c r="AC25" s="22" t="n">
        <v>941</v>
      </c>
      <c r="AD25" s="22" t="n">
        <v>827</v>
      </c>
      <c r="AE25" s="22" t="n">
        <v>114</v>
      </c>
      <c r="AF25" s="23">
        <f>IF(B25=C25+D25,"✓","✗")</f>
        <v/>
      </c>
    </row>
    <row r="26">
      <c r="A26" s="24" t="inlineStr">
        <is>
          <t>Total</t>
        </is>
      </c>
      <c r="B26" s="25" t="n">
        <v>76197</v>
      </c>
      <c r="C26" s="25" t="n">
        <v>31984</v>
      </c>
      <c r="D26" s="25" t="n">
        <v>44213</v>
      </c>
      <c r="E26" s="25" t="n">
        <v>68937</v>
      </c>
      <c r="F26" s="25" t="n">
        <v>26988</v>
      </c>
      <c r="G26" s="25" t="n">
        <v>41949</v>
      </c>
      <c r="H26" s="25" t="n">
        <v>62169</v>
      </c>
      <c r="I26" s="25" t="n">
        <v>31080</v>
      </c>
      <c r="J26" s="25" t="n">
        <v>31089</v>
      </c>
      <c r="K26" s="25" t="n">
        <v>63619</v>
      </c>
      <c r="L26" s="25" t="n">
        <v>36567</v>
      </c>
      <c r="M26" s="25" t="n">
        <v>27052</v>
      </c>
      <c r="N26" s="25" t="n">
        <v>36658</v>
      </c>
      <c r="O26" s="25" t="n">
        <v>23145</v>
      </c>
      <c r="P26" s="25" t="n">
        <v>13513</v>
      </c>
      <c r="Q26" s="25" t="n">
        <v>35836</v>
      </c>
      <c r="R26" s="25" t="n">
        <v>25128</v>
      </c>
      <c r="S26" s="25" t="n">
        <v>10708</v>
      </c>
      <c r="T26" s="25" t="n">
        <v>14000</v>
      </c>
      <c r="U26" s="25" t="n">
        <v>9895</v>
      </c>
      <c r="V26" s="25" t="n">
        <v>4105</v>
      </c>
      <c r="W26" s="25" t="n">
        <v>16116</v>
      </c>
      <c r="X26" s="25" t="n">
        <v>12096</v>
      </c>
      <c r="Y26" s="25" t="n">
        <v>4020</v>
      </c>
      <c r="Z26" s="25" t="n">
        <v>4753</v>
      </c>
      <c r="AA26" s="25" t="n">
        <v>3027</v>
      </c>
      <c r="AB26" s="25" t="n">
        <v>1726</v>
      </c>
      <c r="AC26" s="25" t="n">
        <v>8949</v>
      </c>
      <c r="AD26" s="25" t="n">
        <v>7484</v>
      </c>
      <c r="AE26" s="25" t="n">
        <v>1465</v>
      </c>
      <c r="AF26" s="26">
        <f>IF(B26=C26+D26,"✓","✗")</f>
        <v/>
      </c>
    </row>
    <row r="27">
      <c r="A27" s="21" t="inlineStr">
        <is>
          <t>Grand Total</t>
        </is>
      </c>
      <c r="B27" s="22" t="n"/>
      <c r="C27" s="22" t="n"/>
      <c r="D27" s="22" t="n"/>
      <c r="E27" s="22" t="n">
        <v>214994</v>
      </c>
      <c r="F27" s="22" t="n">
        <v>89364</v>
      </c>
      <c r="G27" s="22" t="n">
        <v>125630</v>
      </c>
      <c r="H27" s="22" t="n">
        <v>208957</v>
      </c>
      <c r="I27" s="22" t="n">
        <v>105185</v>
      </c>
      <c r="J27" s="22" t="n">
        <v>103772</v>
      </c>
      <c r="K27" s="22" t="n">
        <v>207107</v>
      </c>
      <c r="L27" s="22" t="n">
        <v>115508</v>
      </c>
      <c r="M27" s="22" t="n">
        <v>91599</v>
      </c>
      <c r="N27" s="22" t="n">
        <v>121284</v>
      </c>
      <c r="O27" s="22" t="n">
        <v>70069</v>
      </c>
      <c r="P27" s="22" t="n">
        <v>51215</v>
      </c>
      <c r="Q27" s="22" t="n">
        <v>120986</v>
      </c>
      <c r="R27" s="22" t="n">
        <v>73884</v>
      </c>
      <c r="S27" s="22" t="n">
        <v>47102</v>
      </c>
      <c r="T27" s="22" t="n">
        <v>73423</v>
      </c>
      <c r="U27" s="22" t="n">
        <v>32377</v>
      </c>
      <c r="V27" s="22" t="n">
        <v>41046</v>
      </c>
      <c r="W27" s="22" t="n">
        <v>55739</v>
      </c>
      <c r="X27" s="22" t="n">
        <v>39853</v>
      </c>
      <c r="Y27" s="22" t="n">
        <v>15886</v>
      </c>
      <c r="Z27" s="22" t="n">
        <v>20210</v>
      </c>
      <c r="AA27" s="22" t="n">
        <v>14098</v>
      </c>
      <c r="AB27" s="22" t="n">
        <v>6112</v>
      </c>
      <c r="AC27" s="22" t="n">
        <v>34269</v>
      </c>
      <c r="AD27" s="22" t="n">
        <v>23376</v>
      </c>
      <c r="AE27" s="22" t="n">
        <v>10893</v>
      </c>
      <c r="AF27" s="23">
        <f>IF(B27=C27+D27,"✓","✗")</f>
        <v/>
      </c>
    </row>
    <row r="28">
      <c r="A28" s="27" t="inlineStr">
        <is>
          <t>Verify: Sum</t>
        </is>
      </c>
      <c r="B28" s="28">
        <f>IF(SUM(B7:B27)=B6,"✓",SUM(B7:B27)-B6)</f>
        <v/>
      </c>
      <c r="C28" s="28">
        <f>IF(SUM(C7:C27)=C6,"✓",SUM(C7:C27)-C6)</f>
        <v/>
      </c>
      <c r="D28" s="28">
        <f>IF(SUM(D7:D27)=D6,"✓",SUM(D7:D27)-D6)</f>
        <v/>
      </c>
      <c r="E28" s="28">
        <f>IF(SUM(E7:E27)=E6,"✓",SUM(E7:E27)-E6)</f>
        <v/>
      </c>
      <c r="F28" s="28">
        <f>IF(SUM(F7:F27)=F6,"✓",SUM(F7:F27)-F6)</f>
        <v/>
      </c>
      <c r="G28" s="28">
        <f>IF(SUM(G7:G27)=G6,"✓",SUM(G7:G27)-G6)</f>
        <v/>
      </c>
      <c r="H28" s="28">
        <f>IF(SUM(H7:H27)=H6,"✓",SUM(H7:H27)-H6)</f>
        <v/>
      </c>
      <c r="I28" s="28">
        <f>IF(SUM(I7:I27)=I6,"✓",SUM(I7:I27)-I6)</f>
        <v/>
      </c>
      <c r="J28" s="28">
        <f>IF(SUM(J7:J27)=J6,"✓",SUM(J7:J27)-J6)</f>
        <v/>
      </c>
      <c r="K28" s="28">
        <f>IF(SUM(K7:K27)=K6,"✓",SUM(K7:K27)-K6)</f>
        <v/>
      </c>
      <c r="L28" s="28">
        <f>IF(SUM(L7:L27)=L6,"✓",SUM(L7:L27)-L6)</f>
        <v/>
      </c>
      <c r="M28" s="28">
        <f>IF(SUM(M7:M27)=M6,"✓",SUM(M7:M27)-M6)</f>
        <v/>
      </c>
      <c r="N28" s="28">
        <f>IF(SUM(N7:N27)=N6,"✓",SUM(N7:N27)-N6)</f>
        <v/>
      </c>
      <c r="O28" s="28">
        <f>IF(SUM(O7:O27)=O6,"✓",SUM(O7:O27)-O6)</f>
        <v/>
      </c>
      <c r="P28" s="28">
        <f>IF(SUM(P7:P27)=P6,"✓",SUM(P7:P27)-P6)</f>
        <v/>
      </c>
      <c r="Q28" s="28">
        <f>IF(SUM(Q7:Q27)=Q6,"✓",SUM(Q7:Q27)-Q6)</f>
        <v/>
      </c>
      <c r="R28" s="28">
        <f>IF(SUM(R7:R27)=R6,"✓",SUM(R7:R27)-R6)</f>
        <v/>
      </c>
      <c r="S28" s="28">
        <f>IF(SUM(S7:S27)=S6,"✓",SUM(S7:S27)-S6)</f>
        <v/>
      </c>
      <c r="T28" s="28">
        <f>IF(SUM(T7:T27)=T6,"✓",SUM(T7:T27)-T6)</f>
        <v/>
      </c>
      <c r="U28" s="28">
        <f>IF(SUM(U7:U27)=U6,"✓",SUM(U7:U27)-U6)</f>
        <v/>
      </c>
      <c r="V28" s="28">
        <f>IF(SUM(V7:V27)=V6,"✓",SUM(V7:V27)-V6)</f>
        <v/>
      </c>
      <c r="W28" s="28">
        <f>IF(SUM(W7:W27)=W6,"✓",SUM(W7:W27)-W6)</f>
        <v/>
      </c>
      <c r="X28" s="28">
        <f>IF(SUM(X7:X27)=X6,"✓",SUM(X7:X27)-X6)</f>
        <v/>
      </c>
      <c r="Y28" s="28">
        <f>IF(SUM(Y7:Y27)=Y6,"✓",SUM(Y7:Y27)-Y6)</f>
        <v/>
      </c>
      <c r="Z28" s="28">
        <f>IF(SUM(Z7:Z27)=Z6,"✓",SUM(Z7:Z27)-Z6)</f>
        <v/>
      </c>
      <c r="AA28" s="28">
        <f>IF(SUM(AA7:AA27)=AA6,"✓",SUM(AA7:AA27)-AA6)</f>
        <v/>
      </c>
      <c r="AB28" s="28">
        <f>IF(SUM(AB7:AB27)=AB6,"✓",SUM(AB7:AB27)-AB6)</f>
        <v/>
      </c>
      <c r="AC28" s="28">
        <f>IF(SUM(AC7:AC27)=AC6,"✓",SUM(AC7:AC27)-AC6)</f>
        <v/>
      </c>
      <c r="AD28" s="28">
        <f>IF(SUM(AD7:AD27)=AD6,"✓",SUM(AD7:AD27)-AD6)</f>
        <v/>
      </c>
      <c r="AE28" s="28">
        <f>IF(SUM(AE7:AE27)=AE6,"✓",SUM(AE7:AE27)-AE6)</f>
        <v/>
      </c>
    </row>
  </sheetData>
  <mergeCells count="10">
    <mergeCell ref="K4:M4"/>
    <mergeCell ref="B4:D4"/>
    <mergeCell ref="H4:J4"/>
    <mergeCell ref="Q4:S4"/>
    <mergeCell ref="T4:V4"/>
    <mergeCell ref="W4:Y4"/>
    <mergeCell ref="E4:G4"/>
    <mergeCell ref="Z4:AB4"/>
    <mergeCell ref="N4:P4"/>
    <mergeCell ref="AC4:AE4"/>
  </mergeCells>
  <conditionalFormatting sqref="AF6:AF28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7" customWidth="1" min="32" max="32"/>
  </cols>
  <sheetData>
    <row r="1">
      <c r="A1" s="29" t="inlineStr">
        <is>
          <t>Gwalior</t>
        </is>
      </c>
    </row>
    <row r="2">
      <c r="A2" s="3" t="inlineStr">
        <is>
          <t>AGE PERIODS.</t>
        </is>
      </c>
    </row>
    <row r="3">
      <c r="A3" s="4" t="inlineStr">
        <is>
          <t>Districts.</t>
        </is>
      </c>
      <c r="B3" s="5" t="inlineStr">
        <is>
          <t>15-20.</t>
        </is>
      </c>
      <c r="C3" s="6" t="n"/>
      <c r="D3" s="6" t="n"/>
      <c r="E3" s="7" t="inlineStr">
        <is>
          <t>20-25</t>
        </is>
      </c>
      <c r="F3" s="8" t="n"/>
      <c r="G3" s="8" t="n"/>
      <c r="H3" s="9" t="inlineStr">
        <is>
          <t>25-30.</t>
        </is>
      </c>
      <c r="I3" s="10" t="n"/>
      <c r="J3" s="10" t="n"/>
      <c r="K3" s="11" t="inlineStr">
        <is>
          <t>30-35.</t>
        </is>
      </c>
      <c r="L3" s="12" t="n"/>
      <c r="M3" s="12" t="n"/>
      <c r="N3" s="13" t="inlineStr">
        <is>
          <t>35-40.</t>
        </is>
      </c>
      <c r="O3" s="14" t="n"/>
      <c r="P3" s="14" t="n"/>
      <c r="Q3" s="5" t="inlineStr">
        <is>
          <t>40-45.</t>
        </is>
      </c>
      <c r="R3" s="6" t="n"/>
      <c r="S3" s="6" t="n"/>
      <c r="T3" s="7" t="inlineStr">
        <is>
          <t>45-50.</t>
        </is>
      </c>
      <c r="U3" s="8" t="n"/>
      <c r="V3" s="8" t="n"/>
      <c r="W3" s="9" t="inlineStr">
        <is>
          <t>50-55.</t>
        </is>
      </c>
      <c r="X3" s="10" t="n"/>
      <c r="Y3" s="10" t="n"/>
      <c r="Z3" s="11" t="inlineStr">
        <is>
          <t>55-60.</t>
        </is>
      </c>
      <c r="AA3" s="12" t="n"/>
      <c r="AB3" s="12" t="n"/>
      <c r="AC3" s="13" t="inlineStr">
        <is>
          <t>60 and over.</t>
        </is>
      </c>
      <c r="AD3" s="14" t="n"/>
      <c r="AE3" s="14" t="n"/>
      <c r="AF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Persons</t>
        </is>
      </c>
      <c r="X4" s="17" t="inlineStr">
        <is>
          <t>Males</t>
        </is>
      </c>
      <c r="Y4" s="17" t="inlineStr">
        <is>
          <t>Females</t>
        </is>
      </c>
      <c r="Z4" s="17" t="inlineStr">
        <is>
          <t>Persons</t>
        </is>
      </c>
      <c r="AA4" s="17" t="inlineStr">
        <is>
          <t>Males</t>
        </is>
      </c>
      <c r="AB4" s="17" t="inlineStr">
        <is>
          <t>Females</t>
        </is>
      </c>
      <c r="AC4" s="17" t="inlineStr">
        <is>
          <t>Persons</t>
        </is>
      </c>
      <c r="AD4" s="17" t="inlineStr">
        <is>
          <t>Males</t>
        </is>
      </c>
      <c r="AE4" s="17" t="inlineStr">
        <is>
          <t>Females</t>
        </is>
      </c>
      <c r="AF4" s="17" t="inlineStr">
        <is>
          <t>M+F=P</t>
        </is>
      </c>
    </row>
    <row r="5">
      <c r="A5" s="18" t="inlineStr">
        <is>
          <t>Total</t>
        </is>
      </c>
      <c r="B5" s="19" t="n">
        <v>76197</v>
      </c>
      <c r="C5" s="19" t="n">
        <v>31984</v>
      </c>
      <c r="D5" s="19" t="n">
        <v>44213</v>
      </c>
      <c r="E5" s="19" t="n">
        <v>68937</v>
      </c>
      <c r="F5" s="19" t="n">
        <v>26988</v>
      </c>
      <c r="G5" s="19" t="n">
        <v>41949</v>
      </c>
      <c r="H5" s="19" t="n">
        <v>62169</v>
      </c>
      <c r="I5" s="19" t="n">
        <v>31080</v>
      </c>
      <c r="J5" s="19" t="n">
        <v>31089</v>
      </c>
      <c r="K5" s="19" t="n">
        <v>63619</v>
      </c>
      <c r="L5" s="19" t="n">
        <v>36567</v>
      </c>
      <c r="M5" s="19" t="n">
        <v>27052</v>
      </c>
      <c r="N5" s="19" t="n">
        <v>36658</v>
      </c>
      <c r="O5" s="19" t="n">
        <v>23145</v>
      </c>
      <c r="P5" s="19" t="n">
        <v>13513</v>
      </c>
      <c r="Q5" s="19" t="n">
        <v>35836</v>
      </c>
      <c r="R5" s="19" t="n">
        <v>25128</v>
      </c>
      <c r="S5" s="19" t="n">
        <v>10708</v>
      </c>
      <c r="T5" s="19" t="n">
        <v>14000</v>
      </c>
      <c r="U5" s="19" t="n">
        <v>9895</v>
      </c>
      <c r="V5" s="19" t="n">
        <v>4105</v>
      </c>
      <c r="W5" s="19" t="n">
        <v>16116</v>
      </c>
      <c r="X5" s="19" t="n">
        <v>12096</v>
      </c>
      <c r="Y5" s="19" t="n">
        <v>4020</v>
      </c>
      <c r="Z5" s="19" t="n">
        <v>4753</v>
      </c>
      <c r="AA5" s="19" t="n">
        <v>3027</v>
      </c>
      <c r="AB5" s="19" t="n">
        <v>1726</v>
      </c>
      <c r="AC5" s="19" t="n">
        <v>8949</v>
      </c>
      <c r="AD5" s="19" t="n">
        <v>7484</v>
      </c>
      <c r="AE5" s="19" t="n">
        <v>1465</v>
      </c>
      <c r="AF5" s="20">
        <f>IF(B5=C5+D5,"✓","✗")</f>
        <v/>
      </c>
    </row>
    <row r="6">
      <c r="A6" s="21" t="inlineStr">
        <is>
          <t>Gwalior Prant-Gwalior</t>
        </is>
      </c>
      <c r="B6" s="22" t="n">
        <v>19869</v>
      </c>
      <c r="C6" s="22" t="n">
        <v>8396</v>
      </c>
      <c r="D6" s="22" t="n">
        <v>11473</v>
      </c>
      <c r="E6" s="22" t="n">
        <v>19804</v>
      </c>
      <c r="F6" s="22" t="n">
        <v>8892</v>
      </c>
      <c r="G6" s="22" t="n">
        <v>10912</v>
      </c>
      <c r="H6" s="22" t="n">
        <v>21233</v>
      </c>
      <c r="I6" s="22" t="n">
        <v>11551</v>
      </c>
      <c r="J6" s="22" t="n">
        <v>9682</v>
      </c>
      <c r="K6" s="22" t="n">
        <v>22999</v>
      </c>
      <c r="L6" s="22" t="n">
        <v>12732</v>
      </c>
      <c r="M6" s="22" t="n">
        <v>10267</v>
      </c>
      <c r="N6" s="22" t="n">
        <v>12895</v>
      </c>
      <c r="O6" s="22" t="n">
        <v>8160</v>
      </c>
      <c r="P6" s="22" t="n">
        <v>4735</v>
      </c>
      <c r="Q6" s="22" t="n">
        <v>15136</v>
      </c>
      <c r="R6" s="22" t="n">
        <v>9415</v>
      </c>
      <c r="S6" s="22" t="n">
        <v>5721</v>
      </c>
      <c r="T6" s="22" t="n">
        <v>3840</v>
      </c>
      <c r="U6" s="22" t="n">
        <v>1787</v>
      </c>
      <c r="V6" s="22" t="n">
        <v>2053</v>
      </c>
      <c r="W6" s="22" t="n">
        <v>8150</v>
      </c>
      <c r="X6" s="22" t="n">
        <v>5812</v>
      </c>
      <c r="Y6" s="22" t="n">
        <v>2338</v>
      </c>
      <c r="Z6" s="22" t="n">
        <v>1780</v>
      </c>
      <c r="AA6" s="22" t="n">
        <v>1302</v>
      </c>
      <c r="AB6" s="22" t="n">
        <v>478</v>
      </c>
      <c r="AC6" s="22" t="n">
        <v>4559</v>
      </c>
      <c r="AD6" s="22" t="n">
        <v>3729</v>
      </c>
      <c r="AE6" s="22" t="n">
        <v>830</v>
      </c>
      <c r="AF6" s="23">
        <f>IF(B6=C6+D6,"✓","✗")</f>
        <v/>
      </c>
    </row>
    <row r="7">
      <c r="A7" s="24" t="inlineStr">
        <is>
          <t>Susera</t>
        </is>
      </c>
      <c r="B7" s="25" t="n">
        <v>241</v>
      </c>
      <c r="C7" s="25" t="n">
        <v>113</v>
      </c>
      <c r="D7" s="25" t="n">
        <v>128</v>
      </c>
      <c r="E7" s="25" t="n">
        <v>287</v>
      </c>
      <c r="F7" s="25" t="n">
        <v>116</v>
      </c>
      <c r="G7" s="25" t="n">
        <v>171</v>
      </c>
      <c r="H7" s="25" t="n">
        <v>342</v>
      </c>
      <c r="I7" s="25" t="n">
        <v>173</v>
      </c>
      <c r="J7" s="25" t="n">
        <v>169</v>
      </c>
      <c r="K7" s="25" t="n">
        <v>354</v>
      </c>
      <c r="L7" s="25" t="n">
        <v>192</v>
      </c>
      <c r="M7" s="25" t="n">
        <v>162</v>
      </c>
      <c r="N7" s="25" t="n">
        <v>181</v>
      </c>
      <c r="O7" s="25" t="n">
        <v>106</v>
      </c>
      <c r="P7" s="25" t="n">
        <v>75</v>
      </c>
      <c r="Q7" s="25" t="n">
        <v>195</v>
      </c>
      <c r="R7" s="25" t="n">
        <v>129</v>
      </c>
      <c r="S7" s="25" t="n">
        <v>66</v>
      </c>
      <c r="T7" s="25" t="n">
        <v>80</v>
      </c>
      <c r="U7" s="25" t="n">
        <v>51</v>
      </c>
      <c r="V7" s="25" t="n">
        <v>29</v>
      </c>
      <c r="W7" s="25" t="n">
        <v>86</v>
      </c>
      <c r="X7" s="25" t="n">
        <v>67</v>
      </c>
      <c r="Y7" s="25" t="n">
        <v>19</v>
      </c>
      <c r="Z7" s="25" t="n">
        <v>19</v>
      </c>
      <c r="AA7" s="25" t="n">
        <v>17</v>
      </c>
      <c r="AB7" s="25" t="n">
        <v>2</v>
      </c>
      <c r="AC7" s="25" t="n">
        <v>39</v>
      </c>
      <c r="AD7" s="25" t="n">
        <v>31</v>
      </c>
      <c r="AE7" s="25" t="n">
        <v>8</v>
      </c>
      <c r="AF7" s="26">
        <f>IF(B7=C7+D7,"✓","✗")</f>
        <v/>
      </c>
    </row>
    <row r="8">
      <c r="A8" s="21" t="inlineStr">
        <is>
          <t>Sikarwari</t>
        </is>
      </c>
      <c r="B8" s="22" t="n">
        <v>9368</v>
      </c>
      <c r="C8" s="22" t="n">
        <v>2963</v>
      </c>
      <c r="D8" s="22" t="n">
        <v>6405</v>
      </c>
      <c r="E8" s="22" t="n">
        <v>15423</v>
      </c>
      <c r="F8" s="22" t="n">
        <v>6075</v>
      </c>
      <c r="G8" s="22" t="n">
        <v>9348</v>
      </c>
      <c r="H8" s="22" t="n">
        <v>13727</v>
      </c>
      <c r="I8" s="22" t="n">
        <v>7159</v>
      </c>
      <c r="J8" s="22" t="n">
        <v>6568</v>
      </c>
      <c r="K8" s="22" t="n">
        <v>13190</v>
      </c>
      <c r="L8" s="22" t="n">
        <v>7104</v>
      </c>
      <c r="M8" s="22" t="n">
        <v>6086</v>
      </c>
      <c r="N8" s="22" t="n">
        <v>7131</v>
      </c>
      <c r="O8" s="22" t="n">
        <v>3868</v>
      </c>
      <c r="P8" s="22" t="n">
        <v>3263</v>
      </c>
      <c r="Q8" s="22" t="n">
        <v>11965</v>
      </c>
      <c r="R8" s="22" t="n">
        <v>5663</v>
      </c>
      <c r="S8" s="22" t="n">
        <v>6302</v>
      </c>
      <c r="T8" s="22" t="n">
        <v>3627</v>
      </c>
      <c r="U8" s="22" t="n">
        <v>2312</v>
      </c>
      <c r="V8" s="22" t="n">
        <v>1315</v>
      </c>
      <c r="W8" s="22" t="n">
        <v>4452</v>
      </c>
      <c r="X8" s="22" t="n">
        <v>3192</v>
      </c>
      <c r="Y8" s="22" t="n">
        <v>1260</v>
      </c>
      <c r="Z8" s="22" t="n">
        <v>1099</v>
      </c>
      <c r="AA8" s="22" t="n">
        <v>804</v>
      </c>
      <c r="AB8" s="22" t="n">
        <v>295</v>
      </c>
      <c r="AC8" s="22" t="n">
        <v>2425</v>
      </c>
      <c r="AD8" s="22" t="n">
        <v>1936</v>
      </c>
      <c r="AE8" s="22" t="n">
        <v>489</v>
      </c>
      <c r="AF8" s="23">
        <f>IF(B8=C8+D8,"✓","✗")</f>
        <v/>
      </c>
    </row>
    <row r="9">
      <c r="A9" s="24" t="inlineStr">
        <is>
          <t>Sabalgarh</t>
        </is>
      </c>
      <c r="B9" s="25" t="n">
        <v>6531</v>
      </c>
      <c r="C9" s="25" t="n">
        <v>2162</v>
      </c>
      <c r="D9" s="25" t="n">
        <v>4369</v>
      </c>
      <c r="E9" s="25" t="n">
        <v>8860</v>
      </c>
      <c r="F9" s="25" t="n">
        <v>3712</v>
      </c>
      <c r="G9" s="25" t="n">
        <v>5148</v>
      </c>
      <c r="H9" s="25" t="n">
        <v>8170</v>
      </c>
      <c r="I9" s="25" t="n">
        <v>4176</v>
      </c>
      <c r="J9" s="25" t="n">
        <v>3994</v>
      </c>
      <c r="K9" s="25" t="n">
        <v>8196</v>
      </c>
      <c r="L9" s="25" t="n">
        <v>4463</v>
      </c>
      <c r="M9" s="25" t="n">
        <v>3733</v>
      </c>
      <c r="N9" s="25" t="n">
        <v>4474</v>
      </c>
      <c r="O9" s="25" t="n">
        <v>2478</v>
      </c>
      <c r="P9" s="25" t="n">
        <v>1996</v>
      </c>
      <c r="Q9" s="25" t="n">
        <v>6248</v>
      </c>
      <c r="R9" s="25" t="n">
        <v>3830</v>
      </c>
      <c r="S9" s="25" t="n">
        <v>2418</v>
      </c>
      <c r="T9" s="25" t="n">
        <v>2049</v>
      </c>
      <c r="U9" s="25" t="n">
        <v>1290</v>
      </c>
      <c r="V9" s="25" t="n">
        <v>759</v>
      </c>
      <c r="W9" s="25" t="n">
        <v>2671</v>
      </c>
      <c r="X9" s="25" t="n">
        <v>1956</v>
      </c>
      <c r="Y9" s="25" t="n">
        <v>715</v>
      </c>
      <c r="Z9" s="25" t="n">
        <v>734</v>
      </c>
      <c r="AA9" s="25" t="n">
        <v>418</v>
      </c>
      <c r="AB9" s="25" t="n">
        <v>316</v>
      </c>
      <c r="AC9" s="25" t="n">
        <v>1750</v>
      </c>
      <c r="AD9" s="25" t="n">
        <v>1378</v>
      </c>
      <c r="AE9" s="25" t="n">
        <v>372</v>
      </c>
      <c r="AF9" s="26">
        <f>IF(B9=C9+D9,"✓","✗")</f>
        <v/>
      </c>
    </row>
    <row r="10">
      <c r="A10" s="21" t="inlineStr">
        <is>
          <t>Tawarghar</t>
        </is>
      </c>
      <c r="B10" s="22" t="n">
        <v>14107</v>
      </c>
      <c r="C10" s="22" t="n">
        <v>7681</v>
      </c>
      <c r="D10" s="22" t="n">
        <v>6426</v>
      </c>
      <c r="E10" s="22" t="n">
        <v>12466</v>
      </c>
      <c r="F10" s="22" t="n">
        <v>5109</v>
      </c>
      <c r="G10" s="22" t="n">
        <v>7357</v>
      </c>
      <c r="H10" s="22" t="n">
        <v>12242</v>
      </c>
      <c r="I10" s="22" t="n">
        <v>5613</v>
      </c>
      <c r="J10" s="22" t="n">
        <v>6629</v>
      </c>
      <c r="K10" s="22" t="n">
        <v>13240</v>
      </c>
      <c r="L10" s="22" t="n">
        <v>7489</v>
      </c>
      <c r="M10" s="22" t="n">
        <v>5751</v>
      </c>
      <c r="N10" s="22" t="n">
        <v>8439</v>
      </c>
      <c r="O10" s="22" t="n">
        <v>4075</v>
      </c>
      <c r="P10" s="22" t="n">
        <v>4364</v>
      </c>
      <c r="Q10" s="22" t="n">
        <v>7573</v>
      </c>
      <c r="R10" s="22" t="n">
        <v>3738</v>
      </c>
      <c r="S10" s="22" t="n">
        <v>3835</v>
      </c>
      <c r="T10" s="22" t="n">
        <v>3973</v>
      </c>
      <c r="U10" s="22" t="n">
        <v>2658</v>
      </c>
      <c r="V10" s="22" t="n">
        <v>1315</v>
      </c>
      <c r="W10" s="22" t="n">
        <v>4463</v>
      </c>
      <c r="X10" s="22" t="n">
        <v>3134</v>
      </c>
      <c r="Y10" s="22" t="n">
        <v>1329</v>
      </c>
      <c r="Z10" s="22" t="n">
        <v>1699</v>
      </c>
      <c r="AA10" s="22" t="n">
        <v>1419</v>
      </c>
      <c r="AB10" s="22" t="n">
        <v>280</v>
      </c>
      <c r="AC10" s="22" t="n">
        <v>645</v>
      </c>
      <c r="AD10" s="22" t="n">
        <v>223</v>
      </c>
      <c r="AE10" s="22" t="n">
        <v>422</v>
      </c>
      <c r="AF10" s="23">
        <f>IF(B10=C10+D10,"✓","✗")</f>
        <v/>
      </c>
    </row>
    <row r="11">
      <c r="A11" s="24" t="inlineStr">
        <is>
          <t>Bhind</t>
        </is>
      </c>
      <c r="B11" s="25" t="n">
        <v>16122</v>
      </c>
      <c r="C11" s="25" t="n">
        <v>6779</v>
      </c>
      <c r="D11" s="25" t="n">
        <v>9343</v>
      </c>
      <c r="E11" s="25" t="n">
        <v>16245</v>
      </c>
      <c r="F11" s="25" t="n">
        <v>6269</v>
      </c>
      <c r="G11" s="25" t="n">
        <v>9976</v>
      </c>
      <c r="H11" s="25" t="n">
        <v>16978</v>
      </c>
      <c r="I11" s="25" t="n">
        <v>7216</v>
      </c>
      <c r="J11" s="25" t="n">
        <v>9762</v>
      </c>
      <c r="K11" s="25" t="n">
        <v>13437</v>
      </c>
      <c r="L11" s="25" t="n">
        <v>7642</v>
      </c>
      <c r="M11" s="25" t="n">
        <v>5795</v>
      </c>
      <c r="N11" s="25" t="n">
        <v>8555</v>
      </c>
      <c r="O11" s="25" t="n">
        <v>4717</v>
      </c>
      <c r="P11" s="25" t="n">
        <v>3838</v>
      </c>
      <c r="Q11" s="25" t="n">
        <v>9769</v>
      </c>
      <c r="R11" s="25" t="n">
        <v>5741</v>
      </c>
      <c r="S11" s="25" t="n">
        <v>4028</v>
      </c>
      <c r="T11" s="25" t="n">
        <v>4371</v>
      </c>
      <c r="U11" s="25" t="n">
        <v>3092</v>
      </c>
      <c r="V11" s="25" t="n">
        <v>1279</v>
      </c>
      <c r="W11" s="25" t="n">
        <v>4963</v>
      </c>
      <c r="X11" s="25" t="n">
        <v>3916</v>
      </c>
      <c r="Y11" s="25" t="n">
        <v>1047</v>
      </c>
      <c r="Z11" s="25" t="n">
        <v>3729</v>
      </c>
      <c r="AA11" s="25" t="n">
        <v>3451</v>
      </c>
      <c r="AB11" s="25" t="n">
        <v>278</v>
      </c>
      <c r="AC11" s="25" t="n">
        <v>812</v>
      </c>
      <c r="AD11" s="25" t="n">
        <v>297</v>
      </c>
      <c r="AE11" s="25" t="n">
        <v>515</v>
      </c>
      <c r="AF11" s="26">
        <f>IF(B11=C11+D11,"✓","✗")</f>
        <v/>
      </c>
    </row>
    <row r="12">
      <c r="A12" s="21" t="inlineStr">
        <is>
          <t>Bhander</t>
        </is>
      </c>
      <c r="B12" s="22" t="n">
        <v>9959</v>
      </c>
      <c r="C12" s="22" t="n">
        <v>3890</v>
      </c>
      <c r="D12" s="22" t="n">
        <v>6069</v>
      </c>
      <c r="E12" s="22" t="n">
        <v>11479</v>
      </c>
      <c r="F12" s="22" t="n">
        <v>4837</v>
      </c>
      <c r="G12" s="22" t="n">
        <v>6642</v>
      </c>
      <c r="H12" s="22" t="n">
        <v>11954</v>
      </c>
      <c r="I12" s="22" t="n">
        <v>5644</v>
      </c>
      <c r="J12" s="22" t="n">
        <v>6310</v>
      </c>
      <c r="K12" s="22" t="n">
        <v>11798</v>
      </c>
      <c r="L12" s="22" t="n">
        <v>6547</v>
      </c>
      <c r="M12" s="22" t="n">
        <v>5251</v>
      </c>
      <c r="N12" s="22" t="n">
        <v>6772</v>
      </c>
      <c r="O12" s="22" t="n">
        <v>3739</v>
      </c>
      <c r="P12" s="22" t="n">
        <v>3033</v>
      </c>
      <c r="Q12" s="22" t="n">
        <v>8549</v>
      </c>
      <c r="R12" s="22" t="n">
        <v>5224</v>
      </c>
      <c r="S12" s="22" t="n">
        <v>3325</v>
      </c>
      <c r="T12" s="22" t="n">
        <v>3583</v>
      </c>
      <c r="U12" s="22" t="n">
        <v>2234</v>
      </c>
      <c r="V12" s="22" t="n">
        <v>1349</v>
      </c>
      <c r="W12" s="22" t="n">
        <v>3419</v>
      </c>
      <c r="X12" s="22" t="n">
        <v>2463</v>
      </c>
      <c r="Y12" s="22" t="n">
        <v>956</v>
      </c>
      <c r="Z12" s="22" t="n">
        <v>1164</v>
      </c>
      <c r="AA12" s="22" t="n">
        <v>752</v>
      </c>
      <c r="AB12" s="22" t="n">
        <v>412</v>
      </c>
      <c r="AC12" s="22" t="n">
        <v>2003</v>
      </c>
      <c r="AD12" s="22" t="n">
        <v>1598</v>
      </c>
      <c r="AE12" s="22" t="n">
        <v>405</v>
      </c>
      <c r="AF12" s="23">
        <f>IF(B12=C12+D12,"✓","✗")</f>
        <v/>
      </c>
    </row>
    <row r="13">
      <c r="A13" s="24" t="inlineStr">
        <is>
          <t>Isagarh Prant-Isagarh</t>
        </is>
      </c>
      <c r="B13" s="25" t="n"/>
      <c r="C13" s="25" t="n"/>
      <c r="D13" s="25" t="n"/>
      <c r="E13" s="25" t="n">
        <v>5637</v>
      </c>
      <c r="F13" s="25" t="n">
        <v>3962</v>
      </c>
      <c r="G13" s="25" t="n">
        <v>1675</v>
      </c>
      <c r="H13" s="25" t="n">
        <v>12552</v>
      </c>
      <c r="I13" s="25" t="n">
        <v>6505</v>
      </c>
      <c r="J13" s="25" t="n">
        <v>6047</v>
      </c>
      <c r="K13" s="25" t="n">
        <v>8766</v>
      </c>
      <c r="L13" s="25" t="n">
        <v>3783</v>
      </c>
      <c r="M13" s="25" t="n">
        <v>4983</v>
      </c>
      <c r="N13" s="25" t="n">
        <v>5300</v>
      </c>
      <c r="O13" s="25" t="n">
        <v>2995</v>
      </c>
      <c r="P13" s="25" t="n">
        <v>2305</v>
      </c>
      <c r="Q13" s="25" t="n">
        <v>4154</v>
      </c>
      <c r="R13" s="25" t="n">
        <v>1911</v>
      </c>
      <c r="S13" s="25" t="n">
        <v>2243</v>
      </c>
      <c r="T13" s="25" t="n">
        <v>9350</v>
      </c>
      <c r="U13" s="25" t="n">
        <v>2899</v>
      </c>
      <c r="V13" s="25" t="n">
        <v>6451</v>
      </c>
      <c r="W13" s="25" t="n">
        <v>1326</v>
      </c>
      <c r="X13" s="25" t="n">
        <v>663</v>
      </c>
      <c r="Y13" s="25" t="n">
        <v>663</v>
      </c>
      <c r="Z13" s="25" t="n">
        <v>639</v>
      </c>
      <c r="AA13" s="25" t="n">
        <v>439</v>
      </c>
      <c r="AB13" s="25" t="n">
        <v>200</v>
      </c>
      <c r="AC13" s="25" t="n">
        <v>1378</v>
      </c>
      <c r="AD13" s="25" t="n">
        <v>1018</v>
      </c>
      <c r="AE13" s="25" t="n">
        <v>360</v>
      </c>
      <c r="AF13" s="26">
        <f>IF(B13=C13+D13,"✓","✗")</f>
        <v/>
      </c>
    </row>
    <row r="14">
      <c r="A14" s="21" t="inlineStr">
        <is>
          <t>Pichhor</t>
        </is>
      </c>
      <c r="B14" s="22" t="n"/>
      <c r="C14" s="22" t="n"/>
      <c r="D14" s="22" t="n"/>
      <c r="E14" s="22" t="n">
        <v>15594</v>
      </c>
      <c r="F14" s="22" t="n">
        <v>7241</v>
      </c>
      <c r="G14" s="22" t="n">
        <v>8353</v>
      </c>
      <c r="H14" s="22" t="n">
        <v>18087</v>
      </c>
      <c r="I14" s="22" t="n">
        <v>9597</v>
      </c>
      <c r="J14" s="22" t="n">
        <v>8490</v>
      </c>
      <c r="K14" s="22" t="n">
        <v>15824</v>
      </c>
      <c r="L14" s="22" t="n">
        <v>9101</v>
      </c>
      <c r="M14" s="22" t="n">
        <v>6723</v>
      </c>
      <c r="N14" s="22" t="n">
        <v>12212</v>
      </c>
      <c r="O14" s="22" t="n">
        <v>5283</v>
      </c>
      <c r="P14" s="22" t="n">
        <v>6929</v>
      </c>
      <c r="Q14" s="22" t="n">
        <v>3226</v>
      </c>
      <c r="R14" s="22" t="n">
        <v>1638</v>
      </c>
      <c r="S14" s="22" t="n">
        <v>1588</v>
      </c>
      <c r="T14" s="22" t="n">
        <v>18636</v>
      </c>
      <c r="U14" s="22" t="n">
        <v>812</v>
      </c>
      <c r="V14" s="22" t="n">
        <v>17824</v>
      </c>
      <c r="W14" s="22" t="n">
        <v>1774</v>
      </c>
      <c r="X14" s="22" t="n">
        <v>620</v>
      </c>
      <c r="Y14" s="22" t="n">
        <v>1154</v>
      </c>
      <c r="Z14" s="22" t="n">
        <v>1215</v>
      </c>
      <c r="AA14" s="22" t="n">
        <v>794</v>
      </c>
      <c r="AB14" s="22" t="n">
        <v>421</v>
      </c>
      <c r="AC14" s="22" t="n">
        <v>2661</v>
      </c>
      <c r="AD14" s="22" t="n">
        <v>2081</v>
      </c>
      <c r="AE14" s="22" t="n">
        <v>580</v>
      </c>
      <c r="AF14" s="23">
        <f>IF(B14=C14+D14,"✓","✗")</f>
        <v/>
      </c>
    </row>
    <row r="15">
      <c r="A15" s="24" t="inlineStr">
        <is>
          <t>Bajrangarh</t>
        </is>
      </c>
      <c r="B15" s="25" t="n"/>
      <c r="C15" s="25" t="n"/>
      <c r="D15" s="25" t="n"/>
      <c r="E15" s="25" t="n">
        <v>9583</v>
      </c>
      <c r="F15" s="25" t="n">
        <v>3235</v>
      </c>
      <c r="G15" s="25" t="n">
        <v>6348</v>
      </c>
      <c r="H15" s="25" t="n">
        <v>6714</v>
      </c>
      <c r="I15" s="25" t="n">
        <v>2577</v>
      </c>
      <c r="J15" s="25" t="n">
        <v>4137</v>
      </c>
      <c r="K15" s="25" t="n">
        <v>9690</v>
      </c>
      <c r="L15" s="25" t="n">
        <v>5109</v>
      </c>
      <c r="M15" s="25" t="n">
        <v>4581</v>
      </c>
      <c r="N15" s="25" t="n">
        <v>5431</v>
      </c>
      <c r="O15" s="25" t="n">
        <v>3511</v>
      </c>
      <c r="P15" s="25" t="n">
        <v>1920</v>
      </c>
      <c r="Q15" s="25" t="n">
        <v>5425</v>
      </c>
      <c r="R15" s="25" t="n">
        <v>3608</v>
      </c>
      <c r="S15" s="25" t="n">
        <v>1817</v>
      </c>
      <c r="T15" s="25" t="n">
        <v>4391</v>
      </c>
      <c r="U15" s="25" t="n">
        <v>1611</v>
      </c>
      <c r="V15" s="25" t="n">
        <v>2780</v>
      </c>
      <c r="W15" s="25" t="n">
        <v>2235</v>
      </c>
      <c r="X15" s="25" t="n">
        <v>1682</v>
      </c>
      <c r="Y15" s="25" t="n">
        <v>553</v>
      </c>
      <c r="Z15" s="25" t="n">
        <v>1437</v>
      </c>
      <c r="AA15" s="25" t="n">
        <v>575</v>
      </c>
      <c r="AB15" s="25" t="n">
        <v>862</v>
      </c>
      <c r="AC15" s="25" t="n">
        <v>1243</v>
      </c>
      <c r="AD15" s="25" t="n">
        <v>926</v>
      </c>
      <c r="AE15" s="25" t="n">
        <v>317</v>
      </c>
      <c r="AF15" s="26">
        <f>IF(B15=C15+D15,"✓","✗")</f>
        <v/>
      </c>
    </row>
    <row r="16">
      <c r="A16" s="21" t="inlineStr">
        <is>
          <t>Bhilsa</t>
        </is>
      </c>
      <c r="B16" s="22" t="n"/>
      <c r="C16" s="22" t="n"/>
      <c r="D16" s="22" t="n"/>
      <c r="E16" s="22" t="n">
        <v>8607</v>
      </c>
      <c r="F16" s="22" t="n">
        <v>3445</v>
      </c>
      <c r="G16" s="22" t="n">
        <v>5162</v>
      </c>
      <c r="H16" s="22" t="n">
        <v>7317</v>
      </c>
      <c r="I16" s="22" t="n">
        <v>4571</v>
      </c>
      <c r="J16" s="22" t="n">
        <v>2746</v>
      </c>
      <c r="K16" s="22" t="n">
        <v>7048</v>
      </c>
      <c r="L16" s="22" t="n">
        <v>4242</v>
      </c>
      <c r="M16" s="22" t="n">
        <v>2806</v>
      </c>
      <c r="N16" s="22" t="n">
        <v>4277</v>
      </c>
      <c r="O16" s="22" t="n">
        <v>2797</v>
      </c>
      <c r="P16" s="22" t="n">
        <v>1480</v>
      </c>
      <c r="Q16" s="22" t="n">
        <v>4598</v>
      </c>
      <c r="R16" s="22" t="n">
        <v>3219</v>
      </c>
      <c r="S16" s="22" t="n">
        <v>1379</v>
      </c>
      <c r="T16" s="22" t="n">
        <v>1437</v>
      </c>
      <c r="U16" s="22" t="n">
        <v>1282</v>
      </c>
      <c r="V16" s="22" t="n">
        <v>155</v>
      </c>
      <c r="W16" s="22" t="n">
        <v>1707</v>
      </c>
      <c r="X16" s="22" t="n">
        <v>1187</v>
      </c>
      <c r="Y16" s="22" t="n">
        <v>520</v>
      </c>
      <c r="Z16" s="22" t="n">
        <v>426</v>
      </c>
      <c r="AA16" s="22" t="n">
        <v>326</v>
      </c>
      <c r="AB16" s="22" t="n">
        <v>100</v>
      </c>
      <c r="AC16" s="22" t="n">
        <v>4863</v>
      </c>
      <c r="AD16" s="22" t="n">
        <v>616</v>
      </c>
      <c r="AE16" s="22" t="n">
        <v>4247</v>
      </c>
      <c r="AF16" s="23">
        <f>IF(B16=C16+D16,"✓","✗")</f>
        <v/>
      </c>
    </row>
    <row r="17">
      <c r="A17" s="24" t="inlineStr">
        <is>
          <t>Narwar</t>
        </is>
      </c>
      <c r="B17" s="25" t="n"/>
      <c r="C17" s="25" t="n"/>
      <c r="D17" s="25" t="n"/>
      <c r="E17" s="25" t="n">
        <v>13367</v>
      </c>
      <c r="F17" s="25" t="n">
        <v>7090</v>
      </c>
      <c r="G17" s="25" t="n">
        <v>6277</v>
      </c>
      <c r="H17" s="25" t="n">
        <v>7715</v>
      </c>
      <c r="I17" s="25" t="n">
        <v>6197</v>
      </c>
      <c r="J17" s="25" t="n">
        <v>1518</v>
      </c>
      <c r="K17" s="25" t="n">
        <v>12229</v>
      </c>
      <c r="L17" s="25" t="n">
        <v>7077</v>
      </c>
      <c r="M17" s="25" t="n">
        <v>5152</v>
      </c>
      <c r="N17" s="25" t="n">
        <v>5594</v>
      </c>
      <c r="O17" s="25" t="n">
        <v>3175</v>
      </c>
      <c r="P17" s="25" t="n">
        <v>2419</v>
      </c>
      <c r="Q17" s="25" t="n">
        <v>4745</v>
      </c>
      <c r="R17" s="25" t="n">
        <v>2074</v>
      </c>
      <c r="S17" s="25" t="n">
        <v>2671</v>
      </c>
      <c r="T17" s="25" t="n">
        <v>2624</v>
      </c>
      <c r="U17" s="25" t="n">
        <v>1360</v>
      </c>
      <c r="V17" s="25" t="n">
        <v>1264</v>
      </c>
      <c r="W17" s="25" t="n">
        <v>2529</v>
      </c>
      <c r="X17" s="25" t="n">
        <v>1447</v>
      </c>
      <c r="Y17" s="25" t="n">
        <v>1082</v>
      </c>
      <c r="Z17" s="25" t="n">
        <v>926</v>
      </c>
      <c r="AA17" s="25" t="n">
        <v>474</v>
      </c>
      <c r="AB17" s="25" t="n">
        <v>452</v>
      </c>
      <c r="AC17" s="25" t="n">
        <v>1731</v>
      </c>
      <c r="AD17" s="25" t="n">
        <v>1057</v>
      </c>
      <c r="AE17" s="25" t="n">
        <v>674</v>
      </c>
      <c r="AF17" s="26">
        <f>IF(B17=C17+D17,"✓","✗")</f>
        <v/>
      </c>
    </row>
    <row r="18">
      <c r="A18" s="21" t="inlineStr">
        <is>
          <t>Sheopur</t>
        </is>
      </c>
      <c r="B18" s="22" t="n"/>
      <c r="C18" s="22" t="n"/>
      <c r="D18" s="22" t="n"/>
      <c r="E18" s="22" t="n">
        <v>8705</v>
      </c>
      <c r="F18" s="22" t="n">
        <v>2393</v>
      </c>
      <c r="G18" s="22" t="n">
        <v>6312</v>
      </c>
      <c r="H18" s="22" t="n">
        <v>9727</v>
      </c>
      <c r="I18" s="22" t="n">
        <v>3126</v>
      </c>
      <c r="J18" s="22" t="n">
        <v>6601</v>
      </c>
      <c r="K18" s="22" t="n">
        <v>6717</v>
      </c>
      <c r="L18" s="22" t="n">
        <v>3460</v>
      </c>
      <c r="M18" s="22" t="n">
        <v>3257</v>
      </c>
      <c r="N18" s="22" t="n">
        <v>3365</v>
      </c>
      <c r="O18" s="22" t="n">
        <v>2020</v>
      </c>
      <c r="P18" s="22" t="n">
        <v>1345</v>
      </c>
      <c r="Q18" s="22" t="n">
        <v>4104</v>
      </c>
      <c r="R18" s="22" t="n">
        <v>3136</v>
      </c>
      <c r="S18" s="22" t="n">
        <v>968</v>
      </c>
      <c r="T18" s="22" t="n">
        <v>1402</v>
      </c>
      <c r="U18" s="22" t="n">
        <v>1064</v>
      </c>
      <c r="V18" s="22" t="n">
        <v>338</v>
      </c>
      <c r="W18" s="22" t="n">
        <v>1848</v>
      </c>
      <c r="X18" s="22" t="n">
        <v>1618</v>
      </c>
      <c r="Y18" s="22" t="n">
        <v>230</v>
      </c>
      <c r="Z18" s="22" t="n">
        <v>590</v>
      </c>
      <c r="AA18" s="22" t="n">
        <v>300</v>
      </c>
      <c r="AB18" s="22" t="n">
        <v>290</v>
      </c>
      <c r="AC18" s="22" t="n">
        <v>1169</v>
      </c>
      <c r="AD18" s="22" t="n">
        <v>960</v>
      </c>
      <c r="AE18" s="22" t="n">
        <v>209</v>
      </c>
      <c r="AF18" s="23">
        <f>IF(B18=C18+D18,"✓","✗")</f>
        <v/>
      </c>
    </row>
    <row r="19">
      <c r="A19" s="24" t="inlineStr">
        <is>
          <t>Malwa Prant-Nimach</t>
        </is>
      </c>
      <c r="B19" s="25" t="n"/>
      <c r="C19" s="25" t="n"/>
      <c r="D19" s="25" t="n"/>
      <c r="E19" s="25" t="n">
        <v>7877</v>
      </c>
      <c r="F19" s="25" t="n">
        <v>3328</v>
      </c>
      <c r="G19" s="25" t="n">
        <v>4549</v>
      </c>
      <c r="H19" s="25" t="n">
        <v>7016</v>
      </c>
      <c r="I19" s="25" t="n">
        <v>3215</v>
      </c>
      <c r="J19" s="25" t="n">
        <v>3801</v>
      </c>
      <c r="K19" s="25" t="n">
        <v>6663</v>
      </c>
      <c r="L19" s="25" t="n">
        <v>3517</v>
      </c>
      <c r="M19" s="25" t="n">
        <v>3146</v>
      </c>
      <c r="N19" s="25" t="n">
        <v>4161</v>
      </c>
      <c r="O19" s="25" t="n">
        <v>2387</v>
      </c>
      <c r="P19" s="25" t="n">
        <v>1774</v>
      </c>
      <c r="Q19" s="25" t="n">
        <v>3910</v>
      </c>
      <c r="R19" s="25" t="n">
        <v>2331</v>
      </c>
      <c r="S19" s="25" t="n">
        <v>1579</v>
      </c>
      <c r="T19" s="25" t="n">
        <v>1937</v>
      </c>
      <c r="U19" s="25" t="n">
        <v>1408</v>
      </c>
      <c r="V19" s="25" t="n">
        <v>529</v>
      </c>
      <c r="W19" s="25" t="n">
        <v>1618</v>
      </c>
      <c r="X19" s="25" t="n">
        <v>1183</v>
      </c>
      <c r="Y19" s="25" t="n">
        <v>435</v>
      </c>
      <c r="Z19" s="25" t="n">
        <v>439</v>
      </c>
      <c r="AA19" s="25" t="n">
        <v>344</v>
      </c>
      <c r="AB19" s="25" t="n">
        <v>95</v>
      </c>
      <c r="AC19" s="25" t="n">
        <v>595</v>
      </c>
      <c r="AD19" s="25" t="n">
        <v>464</v>
      </c>
      <c r="AE19" s="25" t="n">
        <v>131</v>
      </c>
      <c r="AF19" s="26">
        <f>IF(B19=C19+D19,"✓","✗")</f>
        <v/>
      </c>
    </row>
    <row r="20">
      <c r="A20" s="21" t="inlineStr">
        <is>
          <t>Ujjain</t>
        </is>
      </c>
      <c r="B20" s="22" t="n"/>
      <c r="C20" s="22" t="n"/>
      <c r="D20" s="22" t="n"/>
      <c r="E20" s="22" t="n">
        <v>17014</v>
      </c>
      <c r="F20" s="22" t="n">
        <v>6997</v>
      </c>
      <c r="G20" s="22" t="n">
        <v>10017</v>
      </c>
      <c r="H20" s="22" t="n">
        <v>15183</v>
      </c>
      <c r="I20" s="22" t="n">
        <v>7716</v>
      </c>
      <c r="J20" s="22" t="n">
        <v>7467</v>
      </c>
      <c r="K20" s="22" t="n">
        <v>19015</v>
      </c>
      <c r="L20" s="22" t="n">
        <v>9835</v>
      </c>
      <c r="M20" s="22" t="n">
        <v>9180</v>
      </c>
      <c r="N20" s="22" t="n">
        <v>8368</v>
      </c>
      <c r="O20" s="22" t="n">
        <v>5411</v>
      </c>
      <c r="P20" s="22" t="n">
        <v>2957</v>
      </c>
      <c r="Q20" s="22" t="n">
        <v>10346</v>
      </c>
      <c r="R20" s="22" t="n">
        <v>6846</v>
      </c>
      <c r="S20" s="22" t="n">
        <v>3500</v>
      </c>
      <c r="T20" s="22" t="n">
        <v>2759</v>
      </c>
      <c r="U20" s="22" t="n">
        <v>1993</v>
      </c>
      <c r="V20" s="22" t="n">
        <v>766</v>
      </c>
      <c r="W20" s="22" t="n">
        <v>4620</v>
      </c>
      <c r="X20" s="22" t="n">
        <v>3433</v>
      </c>
      <c r="Y20" s="22" t="n">
        <v>1187</v>
      </c>
      <c r="Z20" s="22" t="n">
        <v>832</v>
      </c>
      <c r="AA20" s="22" t="n">
        <v>711</v>
      </c>
      <c r="AB20" s="22" t="n">
        <v>121</v>
      </c>
      <c r="AC20" s="22" t="n">
        <v>2563</v>
      </c>
      <c r="AD20" s="22" t="n">
        <v>2203</v>
      </c>
      <c r="AE20" s="22" t="n">
        <v>360</v>
      </c>
      <c r="AF20" s="23">
        <f>IF(B20=C20+D20,"✓","✗")</f>
        <v/>
      </c>
    </row>
    <row r="21">
      <c r="A21" s="24" t="inlineStr">
        <is>
          <t>Mandsaur</t>
        </is>
      </c>
      <c r="B21" s="25" t="n"/>
      <c r="C21" s="25" t="n"/>
      <c r="D21" s="25" t="n"/>
      <c r="E21" s="25" t="n">
        <v>5513</v>
      </c>
      <c r="F21" s="25" t="n">
        <v>3393</v>
      </c>
      <c r="G21" s="25" t="n">
        <v>2120</v>
      </c>
      <c r="H21" s="25" t="n">
        <v>5766</v>
      </c>
      <c r="I21" s="25" t="n">
        <v>3357</v>
      </c>
      <c r="J21" s="25" t="n">
        <v>2409</v>
      </c>
      <c r="K21" s="25" t="n">
        <v>5447</v>
      </c>
      <c r="L21" s="25" t="n">
        <v>4137</v>
      </c>
      <c r="M21" s="25" t="n">
        <v>1310</v>
      </c>
      <c r="N21" s="25" t="n">
        <v>4572</v>
      </c>
      <c r="O21" s="25" t="n">
        <v>2748</v>
      </c>
      <c r="P21" s="25" t="n">
        <v>1824</v>
      </c>
      <c r="Q21" s="25" t="n">
        <v>3615</v>
      </c>
      <c r="R21" s="25" t="n">
        <v>2813</v>
      </c>
      <c r="S21" s="25" t="n">
        <v>802</v>
      </c>
      <c r="T21" s="25" t="n">
        <v>1570</v>
      </c>
      <c r="U21" s="25" t="n">
        <v>1225</v>
      </c>
      <c r="V21" s="25" t="n">
        <v>345</v>
      </c>
      <c r="W21" s="25" t="n">
        <v>1804</v>
      </c>
      <c r="X21" s="25" t="n">
        <v>1352</v>
      </c>
      <c r="Y21" s="25" t="n">
        <v>452</v>
      </c>
      <c r="Z21" s="25" t="n">
        <v>884</v>
      </c>
      <c r="AA21" s="25" t="n">
        <v>308</v>
      </c>
      <c r="AB21" s="25" t="n">
        <v>576</v>
      </c>
      <c r="AC21" s="25" t="n">
        <v>838</v>
      </c>
      <c r="AD21" s="25" t="n">
        <v>618</v>
      </c>
      <c r="AE21" s="25" t="n">
        <v>220</v>
      </c>
      <c r="AF21" s="26">
        <f>IF(B21=C21+D21,"✓","✗")</f>
        <v/>
      </c>
    </row>
    <row r="22">
      <c r="A22" s="21" t="inlineStr">
        <is>
          <t>Agar</t>
        </is>
      </c>
      <c r="B22" s="22" t="n"/>
      <c r="C22" s="22" t="n"/>
      <c r="D22" s="22" t="n"/>
      <c r="E22" s="22" t="n">
        <v>10762</v>
      </c>
      <c r="F22" s="22" t="n">
        <v>4323</v>
      </c>
      <c r="G22" s="22" t="n">
        <v>6439</v>
      </c>
      <c r="H22" s="22" t="n">
        <v>8915</v>
      </c>
      <c r="I22" s="22" t="n">
        <v>4483</v>
      </c>
      <c r="J22" s="22" t="n">
        <v>4432</v>
      </c>
      <c r="K22" s="22" t="n">
        <v>9532</v>
      </c>
      <c r="L22" s="22" t="n">
        <v>5450</v>
      </c>
      <c r="M22" s="22" t="n">
        <v>4082</v>
      </c>
      <c r="N22" s="22" t="n">
        <v>5915</v>
      </c>
      <c r="O22" s="22" t="n">
        <v>3754</v>
      </c>
      <c r="P22" s="22" t="n">
        <v>2161</v>
      </c>
      <c r="Q22" s="22" t="n">
        <v>4978</v>
      </c>
      <c r="R22" s="22" t="n">
        <v>3716</v>
      </c>
      <c r="S22" s="22" t="n">
        <v>1262</v>
      </c>
      <c r="T22" s="22" t="n">
        <v>2126</v>
      </c>
      <c r="U22" s="22" t="n">
        <v>1637</v>
      </c>
      <c r="V22" s="22" t="n">
        <v>489</v>
      </c>
      <c r="W22" s="22" t="n">
        <v>1985</v>
      </c>
      <c r="X22" s="22" t="n">
        <v>1611</v>
      </c>
      <c r="Y22" s="22" t="n">
        <v>374</v>
      </c>
      <c r="Z22" s="22" t="n">
        <v>884</v>
      </c>
      <c r="AA22" s="22" t="n">
        <v>466</v>
      </c>
      <c r="AB22" s="22" t="n">
        <v>418</v>
      </c>
      <c r="AC22" s="22" t="n">
        <v>1458</v>
      </c>
      <c r="AD22" s="22" t="n">
        <v>1155</v>
      </c>
      <c r="AE22" s="22" t="n">
        <v>303</v>
      </c>
      <c r="AF22" s="23">
        <f>IF(B22=C22+D22,"✓","✗")</f>
        <v/>
      </c>
    </row>
    <row r="23">
      <c r="A23" s="24" t="inlineStr">
        <is>
          <t>Shajapur</t>
        </is>
      </c>
      <c r="B23" s="25" t="n"/>
      <c r="C23" s="25" t="n"/>
      <c r="D23" s="25" t="n"/>
      <c r="E23" s="25" t="n">
        <v>17627</v>
      </c>
      <c r="F23" s="25" t="n">
        <v>6192</v>
      </c>
      <c r="G23" s="25" t="n">
        <v>11435</v>
      </c>
      <c r="H23" s="25" t="n">
        <v>19529</v>
      </c>
      <c r="I23" s="25" t="n">
        <v>8825</v>
      </c>
      <c r="J23" s="25" t="n">
        <v>10704</v>
      </c>
      <c r="K23" s="25" t="n">
        <v>16768</v>
      </c>
      <c r="L23" s="25" t="n">
        <v>9384</v>
      </c>
      <c r="M23" s="25" t="n">
        <v>7384</v>
      </c>
      <c r="N23" s="25" t="n">
        <v>9790</v>
      </c>
      <c r="O23" s="25" t="n">
        <v>6230</v>
      </c>
      <c r="P23" s="25" t="n">
        <v>3560</v>
      </c>
      <c r="Q23" s="25" t="n">
        <v>9440</v>
      </c>
      <c r="R23" s="25" t="n">
        <v>6387</v>
      </c>
      <c r="S23" s="25" t="n">
        <v>3053</v>
      </c>
      <c r="T23" s="25" t="n">
        <v>3158</v>
      </c>
      <c r="U23" s="25" t="n">
        <v>2014</v>
      </c>
      <c r="V23" s="25" t="n">
        <v>1144</v>
      </c>
      <c r="W23" s="25" t="n">
        <v>3991</v>
      </c>
      <c r="X23" s="25" t="n">
        <v>3234</v>
      </c>
      <c r="Y23" s="25" t="n">
        <v>757</v>
      </c>
      <c r="Z23" s="25" t="n">
        <v>1222</v>
      </c>
      <c r="AA23" s="25" t="n">
        <v>774</v>
      </c>
      <c r="AB23" s="25" t="n">
        <v>448</v>
      </c>
      <c r="AC23" s="25" t="n">
        <v>2554</v>
      </c>
      <c r="AD23" s="25" t="n">
        <v>2217</v>
      </c>
      <c r="AE23" s="25" t="n">
        <v>337</v>
      </c>
      <c r="AF23" s="26">
        <f>IF(B23=C23+D23,"✓","✗")</f>
        <v/>
      </c>
    </row>
    <row r="24">
      <c r="A24" s="21" t="inlineStr">
        <is>
          <t>Amjhera</t>
        </is>
      </c>
      <c r="B24" s="22" t="n"/>
      <c r="C24" s="22" t="n"/>
      <c r="D24" s="22" t="n"/>
      <c r="E24" s="22" t="n">
        <v>10144</v>
      </c>
      <c r="F24" s="22" t="n">
        <v>2755</v>
      </c>
      <c r="G24" s="22" t="n">
        <v>7389</v>
      </c>
      <c r="H24" s="22" t="n">
        <v>5760</v>
      </c>
      <c r="I24" s="22" t="n">
        <v>3484</v>
      </c>
      <c r="J24" s="22" t="n">
        <v>2276</v>
      </c>
      <c r="K24" s="22" t="n">
        <v>6194</v>
      </c>
      <c r="L24" s="22" t="n">
        <v>4244</v>
      </c>
      <c r="M24" s="22" t="n">
        <v>1950</v>
      </c>
      <c r="N24" s="22" t="n">
        <v>3852</v>
      </c>
      <c r="O24" s="22" t="n">
        <v>2615</v>
      </c>
      <c r="P24" s="22" t="n">
        <v>1237</v>
      </c>
      <c r="Q24" s="22" t="n">
        <v>3517</v>
      </c>
      <c r="R24" s="22" t="n">
        <v>3005</v>
      </c>
      <c r="S24" s="22" t="n">
        <v>512</v>
      </c>
      <c r="T24" s="22" t="n">
        <v>2462</v>
      </c>
      <c r="U24" s="22" t="n">
        <v>1618</v>
      </c>
      <c r="V24" s="22" t="n">
        <v>844</v>
      </c>
      <c r="W24" s="22" t="n">
        <v>2098</v>
      </c>
      <c r="X24" s="22" t="n">
        <v>1283</v>
      </c>
      <c r="Y24" s="22" t="n">
        <v>815</v>
      </c>
      <c r="Z24" s="22" t="n">
        <v>492</v>
      </c>
      <c r="AA24" s="22" t="n">
        <v>424</v>
      </c>
      <c r="AB24" s="22" t="n">
        <v>68</v>
      </c>
      <c r="AC24" s="22" t="n">
        <v>941</v>
      </c>
      <c r="AD24" s="22" t="n">
        <v>827</v>
      </c>
      <c r="AE24" s="22" t="n">
        <v>114</v>
      </c>
      <c r="AF24" s="23">
        <f>IF(B24=C24+D24,"✓","✗")</f>
        <v/>
      </c>
    </row>
    <row r="25">
      <c r="A25" s="24" t="inlineStr">
        <is>
          <t>Total</t>
        </is>
      </c>
      <c r="B25" s="25" t="n">
        <v>76197</v>
      </c>
      <c r="C25" s="25" t="n">
        <v>31984</v>
      </c>
      <c r="D25" s="25" t="n">
        <v>44213</v>
      </c>
      <c r="E25" s="25" t="n">
        <v>68937</v>
      </c>
      <c r="F25" s="25" t="n">
        <v>26988</v>
      </c>
      <c r="G25" s="25" t="n">
        <v>41949</v>
      </c>
      <c r="H25" s="25" t="n">
        <v>62169</v>
      </c>
      <c r="I25" s="25" t="n">
        <v>31080</v>
      </c>
      <c r="J25" s="25" t="n">
        <v>31089</v>
      </c>
      <c r="K25" s="25" t="n">
        <v>63619</v>
      </c>
      <c r="L25" s="25" t="n">
        <v>36567</v>
      </c>
      <c r="M25" s="25" t="n">
        <v>27052</v>
      </c>
      <c r="N25" s="25" t="n">
        <v>36658</v>
      </c>
      <c r="O25" s="25" t="n">
        <v>23145</v>
      </c>
      <c r="P25" s="25" t="n">
        <v>13513</v>
      </c>
      <c r="Q25" s="25" t="n">
        <v>35836</v>
      </c>
      <c r="R25" s="25" t="n">
        <v>25128</v>
      </c>
      <c r="S25" s="25" t="n">
        <v>10708</v>
      </c>
      <c r="T25" s="25" t="n">
        <v>14000</v>
      </c>
      <c r="U25" s="25" t="n">
        <v>9895</v>
      </c>
      <c r="V25" s="25" t="n">
        <v>4105</v>
      </c>
      <c r="W25" s="25" t="n">
        <v>16116</v>
      </c>
      <c r="X25" s="25" t="n">
        <v>12096</v>
      </c>
      <c r="Y25" s="25" t="n">
        <v>4020</v>
      </c>
      <c r="Z25" s="25" t="n">
        <v>4753</v>
      </c>
      <c r="AA25" s="25" t="n">
        <v>3027</v>
      </c>
      <c r="AB25" s="25" t="n">
        <v>1726</v>
      </c>
      <c r="AC25" s="25" t="n">
        <v>8949</v>
      </c>
      <c r="AD25" s="25" t="n">
        <v>7484</v>
      </c>
      <c r="AE25" s="25" t="n">
        <v>1465</v>
      </c>
      <c r="AF25" s="26">
        <f>IF(B25=C25+D25,"✓","✗")</f>
        <v/>
      </c>
    </row>
    <row r="26">
      <c r="A26" s="21" t="inlineStr">
        <is>
          <t>Grand Total</t>
        </is>
      </c>
      <c r="B26" s="22" t="n"/>
      <c r="C26" s="22" t="n"/>
      <c r="D26" s="22" t="n"/>
      <c r="E26" s="22" t="n">
        <v>214994</v>
      </c>
      <c r="F26" s="22" t="n">
        <v>89364</v>
      </c>
      <c r="G26" s="22" t="n">
        <v>125630</v>
      </c>
      <c r="H26" s="22" t="n">
        <v>208957</v>
      </c>
      <c r="I26" s="22" t="n">
        <v>105185</v>
      </c>
      <c r="J26" s="22" t="n">
        <v>103772</v>
      </c>
      <c r="K26" s="22" t="n">
        <v>207107</v>
      </c>
      <c r="L26" s="22" t="n">
        <v>115508</v>
      </c>
      <c r="M26" s="22" t="n">
        <v>91599</v>
      </c>
      <c r="N26" s="22" t="n">
        <v>121284</v>
      </c>
      <c r="O26" s="22" t="n">
        <v>70069</v>
      </c>
      <c r="P26" s="22" t="n">
        <v>51215</v>
      </c>
      <c r="Q26" s="22" t="n">
        <v>120986</v>
      </c>
      <c r="R26" s="22" t="n">
        <v>73884</v>
      </c>
      <c r="S26" s="22" t="n">
        <v>47102</v>
      </c>
      <c r="T26" s="22" t="n">
        <v>73423</v>
      </c>
      <c r="U26" s="22" t="n">
        <v>32377</v>
      </c>
      <c r="V26" s="22" t="n">
        <v>41046</v>
      </c>
      <c r="W26" s="22" t="n">
        <v>55739</v>
      </c>
      <c r="X26" s="22" t="n">
        <v>39853</v>
      </c>
      <c r="Y26" s="22" t="n">
        <v>15886</v>
      </c>
      <c r="Z26" s="22" t="n">
        <v>20210</v>
      </c>
      <c r="AA26" s="22" t="n">
        <v>14098</v>
      </c>
      <c r="AB26" s="22" t="n">
        <v>6112</v>
      </c>
      <c r="AC26" s="22" t="n">
        <v>34269</v>
      </c>
      <c r="AD26" s="22" t="n">
        <v>23376</v>
      </c>
      <c r="AE26" s="22" t="n">
        <v>10893</v>
      </c>
      <c r="AF26" s="23">
        <f>IF(B26=C26+D26,"✓","✗")</f>
        <v/>
      </c>
    </row>
    <row r="27">
      <c r="A27" s="27" t="inlineStr">
        <is>
          <t>Verify: Sum</t>
        </is>
      </c>
      <c r="B27" s="28">
        <f>IF(SUM(B6:B26)=B5,"✓",SUM(B6:B26)-B5)</f>
        <v/>
      </c>
      <c r="C27" s="28">
        <f>IF(SUM(C6:C26)=C5,"✓",SUM(C6:C26)-C5)</f>
        <v/>
      </c>
      <c r="D27" s="28">
        <f>IF(SUM(D6:D26)=D5,"✓",SUM(D6:D26)-D5)</f>
        <v/>
      </c>
      <c r="E27" s="28">
        <f>IF(SUM(E6:E26)=E5,"✓",SUM(E6:E26)-E5)</f>
        <v/>
      </c>
      <c r="F27" s="28">
        <f>IF(SUM(F6:F26)=F5,"✓",SUM(F6:F26)-F5)</f>
        <v/>
      </c>
      <c r="G27" s="28">
        <f>IF(SUM(G6:G26)=G5,"✓",SUM(G6:G26)-G5)</f>
        <v/>
      </c>
      <c r="H27" s="28">
        <f>IF(SUM(H6:H26)=H5,"✓",SUM(H6:H26)-H5)</f>
        <v/>
      </c>
      <c r="I27" s="28">
        <f>IF(SUM(I6:I26)=I5,"✓",SUM(I6:I26)-I5)</f>
        <v/>
      </c>
      <c r="J27" s="28">
        <f>IF(SUM(J6:J26)=J5,"✓",SUM(J6:J26)-J5)</f>
        <v/>
      </c>
      <c r="K27" s="28">
        <f>IF(SUM(K6:K26)=K5,"✓",SUM(K6:K26)-K5)</f>
        <v/>
      </c>
      <c r="L27" s="28">
        <f>IF(SUM(L6:L26)=L5,"✓",SUM(L6:L26)-L5)</f>
        <v/>
      </c>
      <c r="M27" s="28">
        <f>IF(SUM(M6:M26)=M5,"✓",SUM(M6:M26)-M5)</f>
        <v/>
      </c>
      <c r="N27" s="28">
        <f>IF(SUM(N6:N26)=N5,"✓",SUM(N6:N26)-N5)</f>
        <v/>
      </c>
      <c r="O27" s="28">
        <f>IF(SUM(O6:O26)=O5,"✓",SUM(O6:O26)-O5)</f>
        <v/>
      </c>
      <c r="P27" s="28">
        <f>IF(SUM(P6:P26)=P5,"✓",SUM(P6:P26)-P5)</f>
        <v/>
      </c>
      <c r="Q27" s="28">
        <f>IF(SUM(Q6:Q26)=Q5,"✓",SUM(Q6:Q26)-Q5)</f>
        <v/>
      </c>
      <c r="R27" s="28">
        <f>IF(SUM(R6:R26)=R5,"✓",SUM(R6:R26)-R5)</f>
        <v/>
      </c>
      <c r="S27" s="28">
        <f>IF(SUM(S6:S26)=S5,"✓",SUM(S6:S26)-S5)</f>
        <v/>
      </c>
      <c r="T27" s="28">
        <f>IF(SUM(T6:T26)=T5,"✓",SUM(T6:T26)-T5)</f>
        <v/>
      </c>
      <c r="U27" s="28">
        <f>IF(SUM(U6:U26)=U5,"✓",SUM(U6:U26)-U5)</f>
        <v/>
      </c>
      <c r="V27" s="28">
        <f>IF(SUM(V6:V26)=V5,"✓",SUM(V6:V26)-V5)</f>
        <v/>
      </c>
      <c r="W27" s="28">
        <f>IF(SUM(W6:W26)=W5,"✓",SUM(W6:W26)-W5)</f>
        <v/>
      </c>
      <c r="X27" s="28">
        <f>IF(SUM(X6:X26)=X5,"✓",SUM(X6:X26)-X5)</f>
        <v/>
      </c>
      <c r="Y27" s="28">
        <f>IF(SUM(Y6:Y26)=Y5,"✓",SUM(Y6:Y26)-Y5)</f>
        <v/>
      </c>
      <c r="Z27" s="28">
        <f>IF(SUM(Z6:Z26)=Z5,"✓",SUM(Z6:Z26)-Z5)</f>
        <v/>
      </c>
      <c r="AA27" s="28">
        <f>IF(SUM(AA6:AA26)=AA5,"✓",SUM(AA6:AA26)-AA5)</f>
        <v/>
      </c>
      <c r="AB27" s="28">
        <f>IF(SUM(AB6:AB26)=AB5,"✓",SUM(AB6:AB26)-AB5)</f>
        <v/>
      </c>
      <c r="AC27" s="28">
        <f>IF(SUM(AC6:AC26)=AC5,"✓",SUM(AC6:AC26)-AC5)</f>
        <v/>
      </c>
      <c r="AD27" s="28">
        <f>IF(SUM(AD6:AD26)=AD5,"✓",SUM(AD6:AD26)-AD5)</f>
        <v/>
      </c>
      <c r="AE27" s="28">
        <f>IF(SUM(AE6:AE26)=AE5,"✓",SUM(AE6:AE26)-AE5)</f>
        <v/>
      </c>
    </row>
  </sheetData>
  <mergeCells count="10">
    <mergeCell ref="B3:D3"/>
    <mergeCell ref="W3:Y3"/>
    <mergeCell ref="T3:V3"/>
    <mergeCell ref="AC3:AE3"/>
    <mergeCell ref="E3:G3"/>
    <mergeCell ref="K3:M3"/>
    <mergeCell ref="H3:J3"/>
    <mergeCell ref="Z3:AB3"/>
    <mergeCell ref="N3:P3"/>
    <mergeCell ref="Q3:S3"/>
  </mergeCells>
  <conditionalFormatting sqref="AF5:AF2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2026-03-23T21:20:06Z</dcterms:created>
  <dcterms:modified xmlns:dcterms="http://purl.org/dc/terms/" xmlns:xsi="http://www.w3.org/2001/XMLSchema-instance" xsi:type="dcterms:W3CDTF">2026-03-23T21:20:06Z</dcterms:modified>
</cp:coreProperties>
</file>