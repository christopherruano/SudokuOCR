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Imperial Table No. VII. Age, 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1" t="inlineStr">
        <is>
          <t>Imperial Table No. VII. Age, Sex and Civil Condition. All Religions.</t>
        </is>
      </c>
    </row>
    <row r="2">
      <c r="A2" s="2" t="inlineStr">
        <is>
          <t>Source: Imperial Table No. VII. Age, Sex and Civil Condition. All Religions.</t>
        </is>
      </c>
    </row>
    <row r="3">
      <c r="A3" s="3" t="inlineStr">
        <is>
          <t>Imperial Table No. VII. Age, Sex and Civil Condition. All Religions.</t>
        </is>
      </c>
    </row>
    <row r="4">
      <c r="A4" s="4" t="inlineStr">
        <is>
          <t>Districts.</t>
        </is>
      </c>
      <c r="B4" s="5" t="inlineStr">
        <is>
          <t>TOTAL POPULATION.</t>
        </is>
      </c>
      <c r="C4" s="6" t="n"/>
      <c r="D4" s="6" t="n"/>
      <c r="E4" s="7" t="inlineStr">
        <is>
          <t>0-1.</t>
        </is>
      </c>
      <c r="F4" s="8" t="n"/>
      <c r="G4" s="8" t="n"/>
      <c r="H4" s="9" t="inlineStr">
        <is>
          <t>1-2.</t>
        </is>
      </c>
      <c r="I4" s="10" t="n"/>
      <c r="J4" s="10" t="n"/>
      <c r="K4" s="11" t="inlineStr">
        <is>
          <t>2-3.</t>
        </is>
      </c>
      <c r="L4" s="12" t="n"/>
      <c r="M4" s="12" t="n"/>
      <c r="N4" s="13" t="inlineStr">
        <is>
          <t>3-4.</t>
        </is>
      </c>
      <c r="O4" s="14" t="n"/>
      <c r="P4" s="14" t="n"/>
      <c r="Q4" s="5" t="inlineStr">
        <is>
          <t>4-5.</t>
        </is>
      </c>
      <c r="R4" s="6" t="n"/>
      <c r="S4" s="6" t="n"/>
      <c r="T4" s="7" t="inlineStr">
        <is>
          <t>Total 0-5.</t>
        </is>
      </c>
      <c r="U4" s="8" t="n"/>
      <c r="V4" s="8" t="n"/>
      <c r="W4" s="9" t="inlineStr">
        <is>
          <t>5-10.</t>
        </is>
      </c>
      <c r="X4" s="10" t="n"/>
      <c r="Y4" s="10" t="n"/>
      <c r="Z4" s="11" t="inlineStr">
        <is>
          <t>10-15.</t>
        </is>
      </c>
      <c r="AA4" s="12" t="n"/>
      <c r="AB4" s="12" t="n"/>
      <c r="AC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M+F=P</t>
        </is>
      </c>
    </row>
    <row r="6">
      <c r="A6" s="18" t="inlineStr">
        <is>
          <t>Total</t>
        </is>
      </c>
      <c r="B6" s="19" t="n">
        <v>861589</v>
      </c>
      <c r="C6" s="19" t="n">
        <v>439031</v>
      </c>
      <c r="D6" s="19" t="n">
        <v>422558</v>
      </c>
      <c r="E6" s="19" t="n">
        <v>11253</v>
      </c>
      <c r="F6" s="19" t="n">
        <v>5941</v>
      </c>
      <c r="G6" s="19" t="n">
        <v>5312</v>
      </c>
      <c r="H6" s="19" t="n">
        <v>12107</v>
      </c>
      <c r="I6" s="19" t="n">
        <v>5862</v>
      </c>
      <c r="J6" s="19" t="n">
        <v>6245</v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20">
        <f>IF(B6=C6+D6,"✓","✗")</f>
        <v/>
      </c>
    </row>
    <row r="7">
      <c r="A7" s="21" t="inlineStr">
        <is>
          <t>Gwalior Prant-Gwalior</t>
        </is>
      </c>
      <c r="B7" s="22" t="n">
        <v>299417</v>
      </c>
      <c r="C7" s="22" t="n">
        <v>160555</v>
      </c>
      <c r="D7" s="22" t="n">
        <v>138862</v>
      </c>
      <c r="E7" s="22" t="n">
        <v>6103</v>
      </c>
      <c r="F7" s="22" t="n">
        <v>3441</v>
      </c>
      <c r="G7" s="22" t="n">
        <v>2662</v>
      </c>
      <c r="H7" s="22" t="n">
        <v>5339</v>
      </c>
      <c r="I7" s="22" t="n">
        <v>2914</v>
      </c>
      <c r="J7" s="22" t="n">
        <v>2425</v>
      </c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3">
        <f>IF(B7=C7+D7,"✓","✗")</f>
        <v/>
      </c>
    </row>
    <row r="8">
      <c r="A8" s="24" t="inlineStr">
        <is>
          <t>Susera</t>
        </is>
      </c>
      <c r="B8" s="25" t="n">
        <v>3938</v>
      </c>
      <c r="C8" s="25" t="n">
        <v>2097</v>
      </c>
      <c r="D8" s="25" t="n">
        <v>1841</v>
      </c>
      <c r="E8" s="25" t="n">
        <v>71</v>
      </c>
      <c r="F8" s="25" t="n">
        <v>42</v>
      </c>
      <c r="G8" s="25" t="n">
        <v>29</v>
      </c>
      <c r="H8" s="25" t="n">
        <v>87</v>
      </c>
      <c r="I8" s="25" t="n">
        <v>40</v>
      </c>
      <c r="J8" s="25" t="n">
        <v>47</v>
      </c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6">
        <f>IF(B8=C8+D8,"✓","✗")</f>
        <v/>
      </c>
    </row>
    <row r="9">
      <c r="A9" s="21" t="inlineStr">
        <is>
          <t>Sikarwari</t>
        </is>
      </c>
      <c r="B9" s="22" t="n">
        <v>183467</v>
      </c>
      <c r="C9" s="22" t="n">
        <v>100610</v>
      </c>
      <c r="D9" s="22" t="n">
        <v>82857</v>
      </c>
      <c r="E9" s="22" t="n">
        <v>3657</v>
      </c>
      <c r="F9" s="22" t="n">
        <v>2013</v>
      </c>
      <c r="G9" s="22" t="n">
        <v>1644</v>
      </c>
      <c r="H9" s="22" t="n">
        <v>4328</v>
      </c>
      <c r="I9" s="22" t="n">
        <v>2320</v>
      </c>
      <c r="J9" s="22" t="n">
        <v>2008</v>
      </c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3">
        <f>IF(B9=C9+D9,"✓","✗")</f>
        <v/>
      </c>
    </row>
    <row r="10">
      <c r="A10" s="24" t="inlineStr">
        <is>
          <t>Subalgarh</t>
        </is>
      </c>
      <c r="B10" s="25" t="n">
        <v>122430</v>
      </c>
      <c r="C10" s="25" t="n">
        <v>65689</v>
      </c>
      <c r="D10" s="25" t="n">
        <v>56741</v>
      </c>
      <c r="E10" s="25" t="n">
        <v>2123</v>
      </c>
      <c r="F10" s="25" t="n">
        <v>1183</v>
      </c>
      <c r="G10" s="25" t="n">
        <v>940</v>
      </c>
      <c r="H10" s="25" t="n">
        <v>2088</v>
      </c>
      <c r="I10" s="25" t="n">
        <v>1067</v>
      </c>
      <c r="J10" s="25" t="n">
        <v>1021</v>
      </c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6">
        <f>IF(B10=C10+D10,"✓","✗")</f>
        <v/>
      </c>
    </row>
    <row r="11">
      <c r="A11" s="21" t="inlineStr">
        <is>
          <t>Tawarghar</t>
        </is>
      </c>
      <c r="B11" s="22" t="n">
        <v>180933</v>
      </c>
      <c r="C11" s="22" t="n">
        <v>98785</v>
      </c>
      <c r="D11" s="22" t="n">
        <v>82148</v>
      </c>
      <c r="E11" s="22" t="n">
        <v>2731</v>
      </c>
      <c r="F11" s="22" t="n">
        <v>1581</v>
      </c>
      <c r="G11" s="22" t="n">
        <v>1150</v>
      </c>
      <c r="H11" s="22" t="n">
        <v>5015</v>
      </c>
      <c r="I11" s="22" t="n">
        <v>2578</v>
      </c>
      <c r="J11" s="22" t="n">
        <v>2437</v>
      </c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3">
        <f>IF(B11=C11+D11,"✓","✗")</f>
        <v/>
      </c>
    </row>
    <row r="12">
      <c r="A12" s="24" t="inlineStr">
        <is>
          <t>Bhind</t>
        </is>
      </c>
      <c r="B12" s="25" t="n">
        <v>229736</v>
      </c>
      <c r="C12" s="25" t="n">
        <v>123782</v>
      </c>
      <c r="D12" s="25" t="n">
        <v>105954</v>
      </c>
      <c r="E12" s="25" t="n">
        <v>4974</v>
      </c>
      <c r="F12" s="25" t="n">
        <v>3167</v>
      </c>
      <c r="G12" s="25" t="n">
        <v>1807</v>
      </c>
      <c r="H12" s="25" t="n">
        <v>4736</v>
      </c>
      <c r="I12" s="25" t="n">
        <v>2817</v>
      </c>
      <c r="J12" s="25" t="n">
        <v>1919</v>
      </c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6">
        <f>IF(B12=C12+D12,"✓","✗")</f>
        <v/>
      </c>
    </row>
    <row r="13">
      <c r="A13" s="21" t="inlineStr">
        <is>
          <t>Bhander</t>
        </is>
      </c>
      <c r="B13" s="22" t="n">
        <v>164725</v>
      </c>
      <c r="C13" s="22" t="n">
        <v>86245</v>
      </c>
      <c r="D13" s="22" t="n">
        <v>78480</v>
      </c>
      <c r="E13" s="22" t="n">
        <v>3329</v>
      </c>
      <c r="F13" s="22" t="n">
        <v>1764</v>
      </c>
      <c r="G13" s="22" t="n">
        <v>1565</v>
      </c>
      <c r="H13" s="22" t="n">
        <v>4034</v>
      </c>
      <c r="I13" s="22" t="n">
        <v>2103</v>
      </c>
      <c r="J13" s="22" t="n">
        <v>1931</v>
      </c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3">
        <f>IF(B13=C13+D13,"✓","✗")</f>
        <v/>
      </c>
    </row>
    <row r="14">
      <c r="A14" s="24" t="inlineStr">
        <is>
          <t>Isagarh Prant-Isagarh</t>
        </is>
      </c>
      <c r="B14" s="25" t="n">
        <v>151753</v>
      </c>
      <c r="C14" s="25" t="n">
        <v>78363</v>
      </c>
      <c r="D14" s="25" t="n">
        <v>73390</v>
      </c>
      <c r="E14" s="25" t="n">
        <v>2371</v>
      </c>
      <c r="F14" s="25" t="n">
        <v>1410</v>
      </c>
      <c r="G14" s="25" t="n">
        <v>961</v>
      </c>
      <c r="H14" s="25" t="n">
        <v>2818</v>
      </c>
      <c r="I14" s="25" t="n">
        <v>2319</v>
      </c>
      <c r="J14" s="25" t="n">
        <v>499</v>
      </c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6">
        <f>IF(B14=C14+D14,"✓","✗")</f>
        <v/>
      </c>
    </row>
    <row r="15">
      <c r="A15" s="21" t="inlineStr">
        <is>
          <t>Pichhor</t>
        </is>
      </c>
      <c r="B15" s="22" t="n">
        <v>240292</v>
      </c>
      <c r="C15" s="22" t="n">
        <v>125795</v>
      </c>
      <c r="D15" s="22" t="n">
        <v>114497</v>
      </c>
      <c r="E15" s="22" t="n">
        <v>2724</v>
      </c>
      <c r="F15" s="22" t="n">
        <v>2340</v>
      </c>
      <c r="G15" s="22" t="n">
        <v>384</v>
      </c>
      <c r="H15" s="22" t="n">
        <v>2654</v>
      </c>
      <c r="I15" s="22" t="n">
        <v>1757</v>
      </c>
      <c r="J15" s="22" t="n">
        <v>897</v>
      </c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3">
        <f>IF(B15=C15+D15,"✓","✗")</f>
        <v/>
      </c>
    </row>
    <row r="16">
      <c r="A16" s="24" t="inlineStr">
        <is>
          <t>Bajrangarh</t>
        </is>
      </c>
      <c r="B16" s="25" t="n">
        <v>119736</v>
      </c>
      <c r="C16" s="25" t="n">
        <v>62684</v>
      </c>
      <c r="D16" s="25" t="n">
        <v>57052</v>
      </c>
      <c r="E16" s="25" t="n">
        <v>1610</v>
      </c>
      <c r="F16" s="25" t="n">
        <v>816</v>
      </c>
      <c r="G16" s="25" t="n">
        <v>794</v>
      </c>
      <c r="H16" s="25" t="n">
        <v>2530</v>
      </c>
      <c r="I16" s="25" t="n">
        <v>1354</v>
      </c>
      <c r="J16" s="25" t="n">
        <v>1176</v>
      </c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6">
        <f>IF(B16=C16+D16,"✓","✗")</f>
        <v/>
      </c>
    </row>
    <row r="17">
      <c r="A17" s="21" t="inlineStr">
        <is>
          <t>Bhilsa</t>
        </is>
      </c>
      <c r="B17" s="22" t="n">
        <v>119895</v>
      </c>
      <c r="C17" s="22" t="n">
        <v>60943</v>
      </c>
      <c r="D17" s="22" t="n">
        <v>58952</v>
      </c>
      <c r="E17" s="22" t="n">
        <v>1828</v>
      </c>
      <c r="F17" s="22" t="n">
        <v>1013</v>
      </c>
      <c r="G17" s="22" t="n">
        <v>815</v>
      </c>
      <c r="H17" s="22" t="n">
        <v>2424</v>
      </c>
      <c r="I17" s="22" t="n">
        <v>1185</v>
      </c>
      <c r="J17" s="22" t="n">
        <v>1239</v>
      </c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3">
        <f>IF(B17=C17+D17,"✓","✗")</f>
        <v/>
      </c>
    </row>
    <row r="18">
      <c r="A18" s="24" t="inlineStr">
        <is>
          <t>Narwar</t>
        </is>
      </c>
      <c r="B18" s="25" t="n">
        <v>157737</v>
      </c>
      <c r="C18" s="25" t="n">
        <v>82846</v>
      </c>
      <c r="D18" s="25" t="n">
        <v>74891</v>
      </c>
      <c r="E18" s="25" t="n">
        <v>2085</v>
      </c>
      <c r="F18" s="25" t="n">
        <v>1500</v>
      </c>
      <c r="G18" s="25" t="n">
        <v>585</v>
      </c>
      <c r="H18" s="25" t="n">
        <v>2451</v>
      </c>
      <c r="I18" s="25" t="n">
        <v>1735</v>
      </c>
      <c r="J18" s="25" t="n">
        <v>716</v>
      </c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6">
        <f>IF(B18=C18+D18,"✓","✗")</f>
        <v/>
      </c>
    </row>
    <row r="19">
      <c r="A19" s="21" t="inlineStr">
        <is>
          <t>Sheopur</t>
        </is>
      </c>
      <c r="B19" s="22" t="n">
        <v>93973</v>
      </c>
      <c r="C19" s="22" t="n">
        <v>49238</v>
      </c>
      <c r="D19" s="22" t="n">
        <v>44735</v>
      </c>
      <c r="E19" s="22" t="n">
        <v>1504</v>
      </c>
      <c r="F19" s="22" t="n">
        <v>853</v>
      </c>
      <c r="G19" s="22" t="n">
        <v>651</v>
      </c>
      <c r="H19" s="22" t="n">
        <v>964</v>
      </c>
      <c r="I19" s="22" t="n">
        <v>626</v>
      </c>
      <c r="J19" s="22" t="n">
        <v>338</v>
      </c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3">
        <f>IF(B19=C19+D19,"✓","✗")</f>
        <v/>
      </c>
    </row>
    <row r="20">
      <c r="A20" s="24" t="inlineStr">
        <is>
          <t>Malwa Prant-Nimach</t>
        </is>
      </c>
      <c r="B20" s="25" t="n">
        <v>96506</v>
      </c>
      <c r="C20" s="25" t="n">
        <v>49328</v>
      </c>
      <c r="D20" s="25" t="n">
        <v>47178</v>
      </c>
      <c r="E20" s="25" t="n">
        <v>1141</v>
      </c>
      <c r="F20" s="25" t="n">
        <v>897</v>
      </c>
      <c r="G20" s="25" t="n">
        <v>244</v>
      </c>
      <c r="H20" s="25" t="n">
        <v>1317</v>
      </c>
      <c r="I20" s="25" t="n">
        <v>992</v>
      </c>
      <c r="J20" s="25" t="n">
        <v>325</v>
      </c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6">
        <f>IF(B20=C20+D20,"✓","✗")</f>
        <v/>
      </c>
    </row>
    <row r="21">
      <c r="A21" s="21" t="inlineStr">
        <is>
          <t>Ujjain</t>
        </is>
      </c>
      <c r="B21" s="22" t="n">
        <v>208458</v>
      </c>
      <c r="C21" s="22" t="n">
        <v>106200</v>
      </c>
      <c r="D21" s="22" t="n">
        <v>102258</v>
      </c>
      <c r="E21" s="22" t="n">
        <v>2894</v>
      </c>
      <c r="F21" s="22" t="n">
        <v>1474</v>
      </c>
      <c r="G21" s="22" t="n">
        <v>1420</v>
      </c>
      <c r="H21" s="22" t="n">
        <v>2924</v>
      </c>
      <c r="I21" s="22" t="n">
        <v>1335</v>
      </c>
      <c r="J21" s="22" t="n">
        <v>1589</v>
      </c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3">
        <f>IF(B21=C21+D21,"✓","✗")</f>
        <v/>
      </c>
    </row>
    <row r="22">
      <c r="A22" s="24" t="inlineStr">
        <is>
          <t>Mandsaur</t>
        </is>
      </c>
      <c r="B22" s="25" t="n">
        <v>99435</v>
      </c>
      <c r="C22" s="25" t="n">
        <v>50593</v>
      </c>
      <c r="D22" s="25" t="n">
        <v>48842</v>
      </c>
      <c r="E22" s="25" t="n">
        <v>1006</v>
      </c>
      <c r="F22" s="25" t="n">
        <v>511</v>
      </c>
      <c r="G22" s="25" t="n">
        <v>495</v>
      </c>
      <c r="H22" s="25" t="n">
        <v>1095</v>
      </c>
      <c r="I22" s="25" t="n">
        <v>518</v>
      </c>
      <c r="J22" s="25" t="n">
        <v>577</v>
      </c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6">
        <f>IF(B22=C22+D22,"✓","✗")</f>
        <v/>
      </c>
    </row>
    <row r="23">
      <c r="A23" s="21" t="inlineStr">
        <is>
          <t>Agar</t>
        </is>
      </c>
      <c r="B23" s="22" t="n">
        <v>133944</v>
      </c>
      <c r="C23" s="22" t="n">
        <v>69329</v>
      </c>
      <c r="D23" s="22" t="n">
        <v>64615</v>
      </c>
      <c r="E23" s="22" t="n">
        <v>1112</v>
      </c>
      <c r="F23" s="22" t="n">
        <v>529</v>
      </c>
      <c r="G23" s="22" t="n">
        <v>583</v>
      </c>
      <c r="H23" s="22" t="n">
        <v>1601</v>
      </c>
      <c r="I23" s="22" t="n">
        <v>742</v>
      </c>
      <c r="J23" s="22" t="n">
        <v>859</v>
      </c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3">
        <f>IF(B23=C23+D23,"✓","✗")</f>
        <v/>
      </c>
    </row>
    <row r="24">
      <c r="A24" s="24" t="inlineStr">
        <is>
          <t>Shajapur</t>
        </is>
      </c>
      <c r="B24" s="25" t="n">
        <v>226820</v>
      </c>
      <c r="C24" s="25" t="n">
        <v>114973</v>
      </c>
      <c r="D24" s="25" t="n">
        <v>111847</v>
      </c>
      <c r="E24" s="25" t="n">
        <v>3552</v>
      </c>
      <c r="F24" s="25" t="n">
        <v>1819</v>
      </c>
      <c r="G24" s="25" t="n">
        <v>1733</v>
      </c>
      <c r="H24" s="25" t="n">
        <v>3207</v>
      </c>
      <c r="I24" s="25" t="n">
        <v>1663</v>
      </c>
      <c r="J24" s="25" t="n">
        <v>1544</v>
      </c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6">
        <f>IF(B24=C24+D24,"✓","✗")</f>
        <v/>
      </c>
    </row>
    <row r="25">
      <c r="A25" s="21" t="inlineStr">
        <is>
          <t>Amjhera</t>
        </is>
      </c>
      <c r="B25" s="22" t="n">
        <v>96426</v>
      </c>
      <c r="C25" s="22" t="n">
        <v>48608</v>
      </c>
      <c r="D25" s="22" t="n">
        <v>47818</v>
      </c>
      <c r="E25" s="22" t="n">
        <v>1548</v>
      </c>
      <c r="F25" s="22" t="n">
        <v>711</v>
      </c>
      <c r="G25" s="22" t="n">
        <v>837</v>
      </c>
      <c r="H25" s="22" t="n">
        <v>2013</v>
      </c>
      <c r="I25" s="22" t="n">
        <v>612</v>
      </c>
      <c r="J25" s="22" t="n">
        <v>1401</v>
      </c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3">
        <f>IF(B25=C25+D25,"✓","✗")</f>
        <v/>
      </c>
    </row>
    <row r="26">
      <c r="A26" s="24" t="inlineStr">
        <is>
          <t>Total</t>
        </is>
      </c>
      <c r="B26" s="25" t="n">
        <v>861589</v>
      </c>
      <c r="C26" s="25" t="n">
        <v>439031</v>
      </c>
      <c r="D26" s="25" t="n">
        <v>422558</v>
      </c>
      <c r="E26" s="25" t="n">
        <v>11253</v>
      </c>
      <c r="F26" s="25" t="n">
        <v>5941</v>
      </c>
      <c r="G26" s="25" t="n">
        <v>5312</v>
      </c>
      <c r="H26" s="25" t="n">
        <v>12107</v>
      </c>
      <c r="I26" s="25" t="n">
        <v>5862</v>
      </c>
      <c r="J26" s="25" t="n">
        <v>6245</v>
      </c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6">
        <f>IF(B26=C26+D26,"✓","✗")</f>
        <v/>
      </c>
    </row>
    <row r="27">
      <c r="A27" s="21" t="inlineStr">
        <is>
          <t>Grand Total</t>
        </is>
      </c>
      <c r="B27" s="22" t="n">
        <v>2929621</v>
      </c>
      <c r="C27" s="22" t="n">
        <v>1536663</v>
      </c>
      <c r="D27" s="22" t="n">
        <v>1392958</v>
      </c>
      <c r="E27" s="22" t="n">
        <v>46363</v>
      </c>
      <c r="F27" s="22" t="n">
        <v>27064</v>
      </c>
      <c r="G27" s="22" t="n">
        <v>19299</v>
      </c>
      <c r="H27" s="22" t="n">
        <v>51635</v>
      </c>
      <c r="I27" s="22" t="n">
        <v>28677</v>
      </c>
      <c r="J27" s="22" t="n">
        <v>22958</v>
      </c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</row>
  </sheetData>
  <mergeCells count="9">
    <mergeCell ref="K4:M4"/>
    <mergeCell ref="B4:D4"/>
    <mergeCell ref="H4:J4"/>
    <mergeCell ref="Q4:S4"/>
    <mergeCell ref="T4:V4"/>
    <mergeCell ref="W4:Y4"/>
    <mergeCell ref="E4:G4"/>
    <mergeCell ref="Z4:AB4"/>
    <mergeCell ref="N4:P4"/>
  </mergeCells>
  <conditionalFormatting sqref="AC6:AC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29" t="inlineStr">
        <is>
          <t>Imperial Table No. VII. Age, Sex and Civil Condition. All Religions.</t>
        </is>
      </c>
    </row>
    <row r="2">
      <c r="A2" s="3" t="inlineStr">
        <is>
          <t>Imperial Table No. VII. Age, Sex and Civil Condition. All Religions.</t>
        </is>
      </c>
    </row>
    <row r="3">
      <c r="A3" s="4" t="inlineStr">
        <is>
          <t>Districts.</t>
        </is>
      </c>
      <c r="B3" s="5" t="inlineStr">
        <is>
          <t>TOTAL POPULATION.</t>
        </is>
      </c>
      <c r="C3" s="6" t="n"/>
      <c r="D3" s="6" t="n"/>
      <c r="E3" s="7" t="inlineStr">
        <is>
          <t>0-1.</t>
        </is>
      </c>
      <c r="F3" s="8" t="n"/>
      <c r="G3" s="8" t="n"/>
      <c r="H3" s="9" t="inlineStr">
        <is>
          <t>1-2.</t>
        </is>
      </c>
      <c r="I3" s="10" t="n"/>
      <c r="J3" s="10" t="n"/>
      <c r="K3" s="11" t="inlineStr">
        <is>
          <t>2-3.</t>
        </is>
      </c>
      <c r="L3" s="12" t="n"/>
      <c r="M3" s="12" t="n"/>
      <c r="N3" s="13" t="inlineStr">
        <is>
          <t>3-4.</t>
        </is>
      </c>
      <c r="O3" s="14" t="n"/>
      <c r="P3" s="14" t="n"/>
      <c r="Q3" s="5" t="inlineStr">
        <is>
          <t>4-5.</t>
        </is>
      </c>
      <c r="R3" s="6" t="n"/>
      <c r="S3" s="6" t="n"/>
      <c r="T3" s="7" t="inlineStr">
        <is>
          <t>Total 0-5.</t>
        </is>
      </c>
      <c r="U3" s="8" t="n"/>
      <c r="V3" s="8" t="n"/>
      <c r="W3" s="9" t="inlineStr">
        <is>
          <t>5-10.</t>
        </is>
      </c>
      <c r="X3" s="10" t="n"/>
      <c r="Y3" s="10" t="n"/>
      <c r="Z3" s="11" t="inlineStr">
        <is>
          <t>10-15.</t>
        </is>
      </c>
      <c r="AA3" s="12" t="n"/>
      <c r="AB3" s="12" t="n"/>
      <c r="AC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M+F=P</t>
        </is>
      </c>
    </row>
    <row r="5">
      <c r="A5" s="18" t="inlineStr">
        <is>
          <t>Total</t>
        </is>
      </c>
      <c r="B5" s="19" t="n">
        <v>861589</v>
      </c>
      <c r="C5" s="19" t="n">
        <v>439031</v>
      </c>
      <c r="D5" s="19" t="n">
        <v>422558</v>
      </c>
      <c r="E5" s="19" t="n">
        <v>11253</v>
      </c>
      <c r="F5" s="19" t="n">
        <v>5941</v>
      </c>
      <c r="G5" s="19" t="n">
        <v>5312</v>
      </c>
      <c r="H5" s="19" t="n">
        <v>12107</v>
      </c>
      <c r="I5" s="19" t="n">
        <v>5862</v>
      </c>
      <c r="J5" s="19" t="n">
        <v>6245</v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20">
        <f>IF(B5=C5+D5,"✓","✗")</f>
        <v/>
      </c>
    </row>
    <row r="6">
      <c r="A6" s="21" t="inlineStr">
        <is>
          <t>Gwalior Prant-Gwalior</t>
        </is>
      </c>
      <c r="B6" s="22" t="n">
        <v>299417</v>
      </c>
      <c r="C6" s="22" t="n">
        <v>160555</v>
      </c>
      <c r="D6" s="22" t="n">
        <v>138862</v>
      </c>
      <c r="E6" s="22" t="n">
        <v>6103</v>
      </c>
      <c r="F6" s="22" t="n">
        <v>3441</v>
      </c>
      <c r="G6" s="22" t="n">
        <v>2662</v>
      </c>
      <c r="H6" s="22" t="n">
        <v>5339</v>
      </c>
      <c r="I6" s="22" t="n">
        <v>2914</v>
      </c>
      <c r="J6" s="22" t="n">
        <v>2425</v>
      </c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3">
        <f>IF(B6=C6+D6,"✓","✗")</f>
        <v/>
      </c>
    </row>
    <row r="7">
      <c r="A7" s="24" t="inlineStr">
        <is>
          <t>Susera</t>
        </is>
      </c>
      <c r="B7" s="25" t="n">
        <v>3938</v>
      </c>
      <c r="C7" s="25" t="n">
        <v>2097</v>
      </c>
      <c r="D7" s="25" t="n">
        <v>1841</v>
      </c>
      <c r="E7" s="25" t="n">
        <v>71</v>
      </c>
      <c r="F7" s="25" t="n">
        <v>42</v>
      </c>
      <c r="G7" s="25" t="n">
        <v>29</v>
      </c>
      <c r="H7" s="25" t="n">
        <v>87</v>
      </c>
      <c r="I7" s="25" t="n">
        <v>40</v>
      </c>
      <c r="J7" s="25" t="n">
        <v>47</v>
      </c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6">
        <f>IF(B7=C7+D7,"✓","✗")</f>
        <v/>
      </c>
    </row>
    <row r="8">
      <c r="A8" s="21" t="inlineStr">
        <is>
          <t>Sikarwari</t>
        </is>
      </c>
      <c r="B8" s="22" t="n">
        <v>183467</v>
      </c>
      <c r="C8" s="22" t="n">
        <v>100610</v>
      </c>
      <c r="D8" s="22" t="n">
        <v>82857</v>
      </c>
      <c r="E8" s="22" t="n">
        <v>3657</v>
      </c>
      <c r="F8" s="22" t="n">
        <v>2013</v>
      </c>
      <c r="G8" s="22" t="n">
        <v>1644</v>
      </c>
      <c r="H8" s="22" t="n">
        <v>4328</v>
      </c>
      <c r="I8" s="22" t="n">
        <v>2320</v>
      </c>
      <c r="J8" s="22" t="n">
        <v>2008</v>
      </c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3">
        <f>IF(B8=C8+D8,"✓","✗")</f>
        <v/>
      </c>
    </row>
    <row r="9">
      <c r="A9" s="24" t="inlineStr">
        <is>
          <t>Subalgarh</t>
        </is>
      </c>
      <c r="B9" s="25" t="n">
        <v>122430</v>
      </c>
      <c r="C9" s="25" t="n">
        <v>65689</v>
      </c>
      <c r="D9" s="25" t="n">
        <v>56741</v>
      </c>
      <c r="E9" s="25" t="n">
        <v>2123</v>
      </c>
      <c r="F9" s="25" t="n">
        <v>1183</v>
      </c>
      <c r="G9" s="25" t="n">
        <v>940</v>
      </c>
      <c r="H9" s="25" t="n">
        <v>2088</v>
      </c>
      <c r="I9" s="25" t="n">
        <v>1067</v>
      </c>
      <c r="J9" s="25" t="n">
        <v>1021</v>
      </c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6">
        <f>IF(B9=C9+D9,"✓","✗")</f>
        <v/>
      </c>
    </row>
    <row r="10">
      <c r="A10" s="21" t="inlineStr">
        <is>
          <t>Tawarghar</t>
        </is>
      </c>
      <c r="B10" s="22" t="n">
        <v>180933</v>
      </c>
      <c r="C10" s="22" t="n">
        <v>98785</v>
      </c>
      <c r="D10" s="22" t="n">
        <v>82148</v>
      </c>
      <c r="E10" s="22" t="n">
        <v>2731</v>
      </c>
      <c r="F10" s="22" t="n">
        <v>1581</v>
      </c>
      <c r="G10" s="22" t="n">
        <v>1150</v>
      </c>
      <c r="H10" s="22" t="n">
        <v>5015</v>
      </c>
      <c r="I10" s="22" t="n">
        <v>2578</v>
      </c>
      <c r="J10" s="22" t="n">
        <v>2437</v>
      </c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3">
        <f>IF(B10=C10+D10,"✓","✗")</f>
        <v/>
      </c>
    </row>
    <row r="11">
      <c r="A11" s="24" t="inlineStr">
        <is>
          <t>Bhind</t>
        </is>
      </c>
      <c r="B11" s="25" t="n">
        <v>229736</v>
      </c>
      <c r="C11" s="25" t="n">
        <v>123782</v>
      </c>
      <c r="D11" s="25" t="n">
        <v>105954</v>
      </c>
      <c r="E11" s="25" t="n">
        <v>4974</v>
      </c>
      <c r="F11" s="25" t="n">
        <v>3167</v>
      </c>
      <c r="G11" s="25" t="n">
        <v>1807</v>
      </c>
      <c r="H11" s="25" t="n">
        <v>4736</v>
      </c>
      <c r="I11" s="25" t="n">
        <v>2817</v>
      </c>
      <c r="J11" s="25" t="n">
        <v>1919</v>
      </c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6">
        <f>IF(B11=C11+D11,"✓","✗")</f>
        <v/>
      </c>
    </row>
    <row r="12">
      <c r="A12" s="21" t="inlineStr">
        <is>
          <t>Bhander</t>
        </is>
      </c>
      <c r="B12" s="22" t="n">
        <v>164725</v>
      </c>
      <c r="C12" s="22" t="n">
        <v>86245</v>
      </c>
      <c r="D12" s="22" t="n">
        <v>78480</v>
      </c>
      <c r="E12" s="22" t="n">
        <v>3329</v>
      </c>
      <c r="F12" s="22" t="n">
        <v>1764</v>
      </c>
      <c r="G12" s="22" t="n">
        <v>1565</v>
      </c>
      <c r="H12" s="22" t="n">
        <v>4034</v>
      </c>
      <c r="I12" s="22" t="n">
        <v>2103</v>
      </c>
      <c r="J12" s="22" t="n">
        <v>1931</v>
      </c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3">
        <f>IF(B12=C12+D12,"✓","✗")</f>
        <v/>
      </c>
    </row>
    <row r="13">
      <c r="A13" s="24" t="inlineStr">
        <is>
          <t>Isagarh Prant-Isagarh</t>
        </is>
      </c>
      <c r="B13" s="25" t="n">
        <v>151753</v>
      </c>
      <c r="C13" s="25" t="n">
        <v>78363</v>
      </c>
      <c r="D13" s="25" t="n">
        <v>73390</v>
      </c>
      <c r="E13" s="25" t="n">
        <v>2371</v>
      </c>
      <c r="F13" s="25" t="n">
        <v>1410</v>
      </c>
      <c r="G13" s="25" t="n">
        <v>961</v>
      </c>
      <c r="H13" s="25" t="n">
        <v>2818</v>
      </c>
      <c r="I13" s="25" t="n">
        <v>2319</v>
      </c>
      <c r="J13" s="25" t="n">
        <v>499</v>
      </c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6">
        <f>IF(B13=C13+D13,"✓","✗")</f>
        <v/>
      </c>
    </row>
    <row r="14">
      <c r="A14" s="21" t="inlineStr">
        <is>
          <t>Pichhor</t>
        </is>
      </c>
      <c r="B14" s="22" t="n">
        <v>240292</v>
      </c>
      <c r="C14" s="22" t="n">
        <v>125795</v>
      </c>
      <c r="D14" s="22" t="n">
        <v>114497</v>
      </c>
      <c r="E14" s="22" t="n">
        <v>2724</v>
      </c>
      <c r="F14" s="22" t="n">
        <v>2340</v>
      </c>
      <c r="G14" s="22" t="n">
        <v>384</v>
      </c>
      <c r="H14" s="22" t="n">
        <v>2654</v>
      </c>
      <c r="I14" s="22" t="n">
        <v>1757</v>
      </c>
      <c r="J14" s="22" t="n">
        <v>897</v>
      </c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3">
        <f>IF(B14=C14+D14,"✓","✗")</f>
        <v/>
      </c>
    </row>
    <row r="15">
      <c r="A15" s="24" t="inlineStr">
        <is>
          <t>Bajrangarh</t>
        </is>
      </c>
      <c r="B15" s="25" t="n">
        <v>119736</v>
      </c>
      <c r="C15" s="25" t="n">
        <v>62684</v>
      </c>
      <c r="D15" s="25" t="n">
        <v>57052</v>
      </c>
      <c r="E15" s="25" t="n">
        <v>1610</v>
      </c>
      <c r="F15" s="25" t="n">
        <v>816</v>
      </c>
      <c r="G15" s="25" t="n">
        <v>794</v>
      </c>
      <c r="H15" s="25" t="n">
        <v>2530</v>
      </c>
      <c r="I15" s="25" t="n">
        <v>1354</v>
      </c>
      <c r="J15" s="25" t="n">
        <v>1176</v>
      </c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6">
        <f>IF(B15=C15+D15,"✓","✗")</f>
        <v/>
      </c>
    </row>
    <row r="16">
      <c r="A16" s="21" t="inlineStr">
        <is>
          <t>Bhilsa</t>
        </is>
      </c>
      <c r="B16" s="22" t="n">
        <v>119895</v>
      </c>
      <c r="C16" s="22" t="n">
        <v>60943</v>
      </c>
      <c r="D16" s="22" t="n">
        <v>58952</v>
      </c>
      <c r="E16" s="22" t="n">
        <v>1828</v>
      </c>
      <c r="F16" s="22" t="n">
        <v>1013</v>
      </c>
      <c r="G16" s="22" t="n">
        <v>815</v>
      </c>
      <c r="H16" s="22" t="n">
        <v>2424</v>
      </c>
      <c r="I16" s="22" t="n">
        <v>1185</v>
      </c>
      <c r="J16" s="22" t="n">
        <v>1239</v>
      </c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3">
        <f>IF(B16=C16+D16,"✓","✗")</f>
        <v/>
      </c>
    </row>
    <row r="17">
      <c r="A17" s="24" t="inlineStr">
        <is>
          <t>Narwar</t>
        </is>
      </c>
      <c r="B17" s="25" t="n">
        <v>157737</v>
      </c>
      <c r="C17" s="25" t="n">
        <v>82846</v>
      </c>
      <c r="D17" s="25" t="n">
        <v>74891</v>
      </c>
      <c r="E17" s="25" t="n">
        <v>2085</v>
      </c>
      <c r="F17" s="25" t="n">
        <v>1500</v>
      </c>
      <c r="G17" s="25" t="n">
        <v>585</v>
      </c>
      <c r="H17" s="25" t="n">
        <v>2451</v>
      </c>
      <c r="I17" s="25" t="n">
        <v>1735</v>
      </c>
      <c r="J17" s="25" t="n">
        <v>716</v>
      </c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6">
        <f>IF(B17=C17+D17,"✓","✗")</f>
        <v/>
      </c>
    </row>
    <row r="18">
      <c r="A18" s="21" t="inlineStr">
        <is>
          <t>Sheopur</t>
        </is>
      </c>
      <c r="B18" s="22" t="n">
        <v>93973</v>
      </c>
      <c r="C18" s="22" t="n">
        <v>49238</v>
      </c>
      <c r="D18" s="22" t="n">
        <v>44735</v>
      </c>
      <c r="E18" s="22" t="n">
        <v>1504</v>
      </c>
      <c r="F18" s="22" t="n">
        <v>853</v>
      </c>
      <c r="G18" s="22" t="n">
        <v>651</v>
      </c>
      <c r="H18" s="22" t="n">
        <v>964</v>
      </c>
      <c r="I18" s="22" t="n">
        <v>626</v>
      </c>
      <c r="J18" s="22" t="n">
        <v>338</v>
      </c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3">
        <f>IF(B18=C18+D18,"✓","✗")</f>
        <v/>
      </c>
    </row>
    <row r="19">
      <c r="A19" s="24" t="inlineStr">
        <is>
          <t>Malwa Prant-Nimach</t>
        </is>
      </c>
      <c r="B19" s="25" t="n">
        <v>96506</v>
      </c>
      <c r="C19" s="25" t="n">
        <v>49328</v>
      </c>
      <c r="D19" s="25" t="n">
        <v>47178</v>
      </c>
      <c r="E19" s="25" t="n">
        <v>1141</v>
      </c>
      <c r="F19" s="25" t="n">
        <v>897</v>
      </c>
      <c r="G19" s="25" t="n">
        <v>244</v>
      </c>
      <c r="H19" s="25" t="n">
        <v>1317</v>
      </c>
      <c r="I19" s="25" t="n">
        <v>992</v>
      </c>
      <c r="J19" s="25" t="n">
        <v>325</v>
      </c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6">
        <f>IF(B19=C19+D19,"✓","✗")</f>
        <v/>
      </c>
    </row>
    <row r="20">
      <c r="A20" s="21" t="inlineStr">
        <is>
          <t>Ujjain</t>
        </is>
      </c>
      <c r="B20" s="22" t="n">
        <v>208458</v>
      </c>
      <c r="C20" s="22" t="n">
        <v>106200</v>
      </c>
      <c r="D20" s="22" t="n">
        <v>102258</v>
      </c>
      <c r="E20" s="22" t="n">
        <v>2894</v>
      </c>
      <c r="F20" s="22" t="n">
        <v>1474</v>
      </c>
      <c r="G20" s="22" t="n">
        <v>1420</v>
      </c>
      <c r="H20" s="22" t="n">
        <v>2924</v>
      </c>
      <c r="I20" s="22" t="n">
        <v>1335</v>
      </c>
      <c r="J20" s="22" t="n">
        <v>1589</v>
      </c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3">
        <f>IF(B20=C20+D20,"✓","✗")</f>
        <v/>
      </c>
    </row>
    <row r="21">
      <c r="A21" s="24" t="inlineStr">
        <is>
          <t>Mandsaur</t>
        </is>
      </c>
      <c r="B21" s="25" t="n">
        <v>99435</v>
      </c>
      <c r="C21" s="25" t="n">
        <v>50593</v>
      </c>
      <c r="D21" s="25" t="n">
        <v>48842</v>
      </c>
      <c r="E21" s="25" t="n">
        <v>1006</v>
      </c>
      <c r="F21" s="25" t="n">
        <v>511</v>
      </c>
      <c r="G21" s="25" t="n">
        <v>495</v>
      </c>
      <c r="H21" s="25" t="n">
        <v>1095</v>
      </c>
      <c r="I21" s="25" t="n">
        <v>518</v>
      </c>
      <c r="J21" s="25" t="n">
        <v>577</v>
      </c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6">
        <f>IF(B21=C21+D21,"✓","✗")</f>
        <v/>
      </c>
    </row>
    <row r="22">
      <c r="A22" s="21" t="inlineStr">
        <is>
          <t>Agar</t>
        </is>
      </c>
      <c r="B22" s="22" t="n">
        <v>133944</v>
      </c>
      <c r="C22" s="22" t="n">
        <v>69329</v>
      </c>
      <c r="D22" s="22" t="n">
        <v>64615</v>
      </c>
      <c r="E22" s="22" t="n">
        <v>1112</v>
      </c>
      <c r="F22" s="22" t="n">
        <v>529</v>
      </c>
      <c r="G22" s="22" t="n">
        <v>583</v>
      </c>
      <c r="H22" s="22" t="n">
        <v>1601</v>
      </c>
      <c r="I22" s="22" t="n">
        <v>742</v>
      </c>
      <c r="J22" s="22" t="n">
        <v>859</v>
      </c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3">
        <f>IF(B22=C22+D22,"✓","✗")</f>
        <v/>
      </c>
    </row>
    <row r="23">
      <c r="A23" s="24" t="inlineStr">
        <is>
          <t>Shajapur</t>
        </is>
      </c>
      <c r="B23" s="25" t="n">
        <v>226820</v>
      </c>
      <c r="C23" s="25" t="n">
        <v>114973</v>
      </c>
      <c r="D23" s="25" t="n">
        <v>111847</v>
      </c>
      <c r="E23" s="25" t="n">
        <v>3552</v>
      </c>
      <c r="F23" s="25" t="n">
        <v>1819</v>
      </c>
      <c r="G23" s="25" t="n">
        <v>1733</v>
      </c>
      <c r="H23" s="25" t="n">
        <v>3207</v>
      </c>
      <c r="I23" s="25" t="n">
        <v>1663</v>
      </c>
      <c r="J23" s="25" t="n">
        <v>1544</v>
      </c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6">
        <f>IF(B23=C23+D23,"✓","✗")</f>
        <v/>
      </c>
    </row>
    <row r="24">
      <c r="A24" s="21" t="inlineStr">
        <is>
          <t>Amjhera</t>
        </is>
      </c>
      <c r="B24" s="22" t="n">
        <v>96426</v>
      </c>
      <c r="C24" s="22" t="n">
        <v>48608</v>
      </c>
      <c r="D24" s="22" t="n">
        <v>47818</v>
      </c>
      <c r="E24" s="22" t="n">
        <v>1548</v>
      </c>
      <c r="F24" s="22" t="n">
        <v>711</v>
      </c>
      <c r="G24" s="22" t="n">
        <v>837</v>
      </c>
      <c r="H24" s="22" t="n">
        <v>2013</v>
      </c>
      <c r="I24" s="22" t="n">
        <v>612</v>
      </c>
      <c r="J24" s="22" t="n">
        <v>1401</v>
      </c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3">
        <f>IF(B24=C24+D24,"✓","✗")</f>
        <v/>
      </c>
    </row>
    <row r="25">
      <c r="A25" s="24" t="inlineStr">
        <is>
          <t>Total</t>
        </is>
      </c>
      <c r="B25" s="25" t="n">
        <v>861589</v>
      </c>
      <c r="C25" s="25" t="n">
        <v>439031</v>
      </c>
      <c r="D25" s="25" t="n">
        <v>422558</v>
      </c>
      <c r="E25" s="25" t="n">
        <v>11253</v>
      </c>
      <c r="F25" s="25" t="n">
        <v>5941</v>
      </c>
      <c r="G25" s="25" t="n">
        <v>5312</v>
      </c>
      <c r="H25" s="25" t="n">
        <v>12107</v>
      </c>
      <c r="I25" s="25" t="n">
        <v>5862</v>
      </c>
      <c r="J25" s="25" t="n">
        <v>6245</v>
      </c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6">
        <f>IF(B25=C25+D25,"✓","✗")</f>
        <v/>
      </c>
    </row>
    <row r="26">
      <c r="A26" s="21" t="inlineStr">
        <is>
          <t>Grand Total</t>
        </is>
      </c>
      <c r="B26" s="22" t="n">
        <v>2929621</v>
      </c>
      <c r="C26" s="22" t="n">
        <v>1536663</v>
      </c>
      <c r="D26" s="22" t="n">
        <v>1392958</v>
      </c>
      <c r="E26" s="22" t="n">
        <v>46363</v>
      </c>
      <c r="F26" s="22" t="n">
        <v>27064</v>
      </c>
      <c r="G26" s="22" t="n">
        <v>19299</v>
      </c>
      <c r="H26" s="22" t="n">
        <v>51635</v>
      </c>
      <c r="I26" s="22" t="n">
        <v>28677</v>
      </c>
      <c r="J26" s="22" t="n">
        <v>22958</v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</row>
  </sheetData>
  <mergeCells count="9">
    <mergeCell ref="B3:D3"/>
    <mergeCell ref="W3:Y3"/>
    <mergeCell ref="T3:V3"/>
    <mergeCell ref="E3:G3"/>
    <mergeCell ref="K3:M3"/>
    <mergeCell ref="H3:J3"/>
    <mergeCell ref="Z3:AB3"/>
    <mergeCell ref="N3:P3"/>
    <mergeCell ref="Q3:S3"/>
  </mergeCells>
  <conditionalFormatting sqref="AC5:AC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2026-03-19T15:01:48Z</dcterms:created>
  <dcterms:modified xmlns:dcterms="http://purl.org/dc/terms/" xmlns:xsi="http://www.w3.org/2001/XMLSchema-instance" xsi:type="dcterms:W3CDTF">2026-03-19T15:01:48Z</dcterms:modified>
</cp:coreProperties>
</file>