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ctions" sheetId="1" state="visible" r:id="rId1"/>
    <sheet xmlns:r="http://schemas.openxmlformats.org/officeDocument/2006/relationships" name="Imperial Table No. VII. Age, 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3"/>
    </font>
    <font>
      <b val="1"/>
      <i val="1"/>
      <sz val="12"/>
    </font>
    <font>
      <b val="1"/>
      <color rgb="00FFFFFF"/>
      <sz val="11"/>
    </font>
    <font>
      <b val="1"/>
      <sz val="10"/>
    </font>
    <font>
      <b val="1"/>
      <color rgb="00FFFFFF"/>
      <sz val="10"/>
    </font>
    <font>
      <b val="1"/>
      <sz val="11"/>
    </font>
    <font>
      <sz val="10"/>
    </font>
    <font>
      <b val="1"/>
      <i val="1"/>
      <color rgb="00666666"/>
      <sz val="9"/>
    </font>
    <font>
      <i val="1"/>
      <color rgb="00666666"/>
      <sz val="9"/>
    </font>
    <font>
      <b val="1"/>
      <sz val="14"/>
    </font>
    <font>
      <i val="1"/>
      <color rgb="00666666"/>
      <sz val="10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843C0C"/>
        <bgColor rgb="00843C0C"/>
      </patternFill>
    </fill>
    <fill>
      <patternFill patternType="solid">
        <fgColor rgb="007030A0"/>
        <bgColor rgb="007030A0"/>
      </patternFill>
    </fill>
    <fill>
      <patternFill patternType="solid">
        <fgColor rgb="00808080"/>
        <bgColor rgb="00808080"/>
      </patternFill>
    </fill>
    <fill>
      <patternFill patternType="solid">
        <fgColor rgb="00B4C6E7"/>
        <bgColor rgb="00B4C6E7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3" fillId="4" borderId="0" applyAlignment="1" pivotButton="0" quotePrefix="0" xfId="0">
      <alignment horizontal="center"/>
    </xf>
    <xf numFmtId="0" fontId="0" fillId="4" borderId="0" pivotButton="0" quotePrefix="0" xfId="0"/>
    <xf numFmtId="0" fontId="3" fillId="5" borderId="0" applyAlignment="1" pivotButton="0" quotePrefix="0" xfId="0">
      <alignment horizontal="center"/>
    </xf>
    <xf numFmtId="0" fontId="0" fillId="5" borderId="0" pivotButton="0" quotePrefix="0" xfId="0"/>
    <xf numFmtId="0" fontId="3" fillId="6" borderId="0" applyAlignment="1" pivotButton="0" quotePrefix="0" xfId="0">
      <alignment horizontal="center"/>
    </xf>
    <xf numFmtId="0" fontId="0" fillId="6" borderId="0" pivotButton="0" quotePrefix="0" xfId="0"/>
    <xf numFmtId="0" fontId="5" fillId="7" borderId="0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6" fillId="8" borderId="2" pivotButton="0" quotePrefix="0" xfId="0"/>
    <xf numFmtId="3" fontId="6" fillId="8" borderId="2" pivotButton="0" quotePrefix="0" xfId="0"/>
    <xf numFmtId="0" fontId="6" fillId="8" borderId="2" applyAlignment="1" pivotButton="0" quotePrefix="0" xfId="0">
      <alignment horizontal="center"/>
    </xf>
    <xf numFmtId="0" fontId="7" fillId="9" borderId="2" pivotButton="0" quotePrefix="0" xfId="0"/>
    <xf numFmtId="3" fontId="7" fillId="9" borderId="2" pivotButton="0" quotePrefix="0" xfId="0"/>
    <xf numFmtId="0" fontId="7" fillId="9" borderId="2" applyAlignment="1" pivotButton="0" quotePrefix="0" xfId="0">
      <alignment horizontal="center"/>
    </xf>
    <xf numFmtId="0" fontId="7" fillId="0" borderId="2" pivotButton="0" quotePrefix="0" xfId="0"/>
    <xf numFmtId="3" fontId="7" fillId="0" borderId="2" pivotButton="0" quotePrefix="0" xfId="0"/>
    <xf numFmtId="0" fontId="7" fillId="0" borderId="2" applyAlignment="1" pivotButton="0" quotePrefix="0" xfId="0">
      <alignment horizontal="center"/>
    </xf>
    <xf numFmtId="0" fontId="8" fillId="0" borderId="2" pivotButton="0" quotePrefix="0" xfId="0"/>
    <xf numFmtId="0" fontId="9" fillId="0" borderId="2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7" customWidth="1" min="29" max="29"/>
  </cols>
  <sheetData>
    <row r="1">
      <c r="A1" s="1" t="inlineStr">
        <is>
          <t>All Religions.</t>
        </is>
      </c>
    </row>
    <row r="2">
      <c r="A2" s="2" t="inlineStr">
        <is>
          <t>Source: Imperial Table No. VII. Age, Sex and Civil Condition.</t>
        </is>
      </c>
    </row>
    <row r="3">
      <c r="A3" s="3" t="inlineStr">
        <is>
          <t>Imperial Table No. VII. Age, Sex and Civil Condition.</t>
        </is>
      </c>
    </row>
    <row r="4">
      <c r="A4" s="4" t="inlineStr">
        <is>
          <t>Districts.</t>
        </is>
      </c>
      <c r="B4" s="5" t="inlineStr">
        <is>
          <t>TOTAL UNMARRIED.</t>
        </is>
      </c>
      <c r="C4" s="6" t="n"/>
      <c r="D4" s="6" t="n"/>
      <c r="E4" s="7" t="inlineStr">
        <is>
          <t>0-1.</t>
        </is>
      </c>
      <c r="F4" s="8" t="n"/>
      <c r="G4" s="8" t="n"/>
      <c r="H4" s="9" t="inlineStr">
        <is>
          <t>1-2.</t>
        </is>
      </c>
      <c r="I4" s="10" t="n"/>
      <c r="J4" s="10" t="n"/>
      <c r="K4" s="11" t="inlineStr">
        <is>
          <t>2-3.</t>
        </is>
      </c>
      <c r="L4" s="12" t="n"/>
      <c r="M4" s="12" t="n"/>
      <c r="N4" s="13" t="inlineStr">
        <is>
          <t>3-4.</t>
        </is>
      </c>
      <c r="O4" s="14" t="n"/>
      <c r="P4" s="14" t="n"/>
      <c r="Q4" s="5" t="inlineStr">
        <is>
          <t>4-5.</t>
        </is>
      </c>
      <c r="R4" s="6" t="n"/>
      <c r="S4" s="6" t="n"/>
      <c r="T4" s="7" t="inlineStr">
        <is>
          <t>Total 0-5.</t>
        </is>
      </c>
      <c r="U4" s="8" t="n"/>
      <c r="V4" s="8" t="n"/>
      <c r="W4" s="9" t="inlineStr">
        <is>
          <t>5-10.</t>
        </is>
      </c>
      <c r="X4" s="10" t="n"/>
      <c r="Y4" s="10" t="n"/>
      <c r="Z4" s="11" t="inlineStr">
        <is>
          <t>10-15.</t>
        </is>
      </c>
      <c r="AA4" s="12" t="n"/>
      <c r="AB4" s="12" t="n"/>
      <c r="AC4" s="15" t="inlineStr">
        <is>
          <t>Check</t>
        </is>
      </c>
    </row>
    <row r="5">
      <c r="A5" s="16" t="inlineStr"/>
      <c r="B5" s="17" t="inlineStr">
        <is>
          <t>Persons</t>
        </is>
      </c>
      <c r="C5" s="17" t="inlineStr">
        <is>
          <t>Males</t>
        </is>
      </c>
      <c r="D5" s="17" t="inlineStr">
        <is>
          <t>Females</t>
        </is>
      </c>
      <c r="E5" s="17" t="inlineStr">
        <is>
          <t>Persons</t>
        </is>
      </c>
      <c r="F5" s="17" t="inlineStr">
        <is>
          <t>Males</t>
        </is>
      </c>
      <c r="G5" s="17" t="inlineStr">
        <is>
          <t>Females</t>
        </is>
      </c>
      <c r="H5" s="17" t="inlineStr">
        <is>
          <t>Persons</t>
        </is>
      </c>
      <c r="I5" s="17" t="inlineStr">
        <is>
          <t>Males</t>
        </is>
      </c>
      <c r="J5" s="17" t="inlineStr">
        <is>
          <t>Females</t>
        </is>
      </c>
      <c r="K5" s="17" t="inlineStr">
        <is>
          <t>Persons</t>
        </is>
      </c>
      <c r="L5" s="17" t="inlineStr">
        <is>
          <t>Males</t>
        </is>
      </c>
      <c r="M5" s="17" t="inlineStr">
        <is>
          <t>Females</t>
        </is>
      </c>
      <c r="N5" s="17" t="inlineStr">
        <is>
          <t>Persons</t>
        </is>
      </c>
      <c r="O5" s="17" t="inlineStr">
        <is>
          <t>Males</t>
        </is>
      </c>
      <c r="P5" s="17" t="inlineStr">
        <is>
          <t>Females</t>
        </is>
      </c>
      <c r="Q5" s="17" t="inlineStr">
        <is>
          <t>Persons</t>
        </is>
      </c>
      <c r="R5" s="17" t="inlineStr">
        <is>
          <t>Males</t>
        </is>
      </c>
      <c r="S5" s="17" t="inlineStr">
        <is>
          <t>Females</t>
        </is>
      </c>
      <c r="T5" s="17" t="inlineStr">
        <is>
          <t>Persons</t>
        </is>
      </c>
      <c r="U5" s="17" t="inlineStr">
        <is>
          <t>Males</t>
        </is>
      </c>
      <c r="V5" s="17" t="inlineStr">
        <is>
          <t>Females</t>
        </is>
      </c>
      <c r="W5" s="17" t="inlineStr">
        <is>
          <t>Persons</t>
        </is>
      </c>
      <c r="X5" s="17" t="inlineStr">
        <is>
          <t>Males</t>
        </is>
      </c>
      <c r="Y5" s="17" t="inlineStr">
        <is>
          <t>Females</t>
        </is>
      </c>
      <c r="Z5" s="17" t="inlineStr">
        <is>
          <t>Persons</t>
        </is>
      </c>
      <c r="AA5" s="17" t="inlineStr">
        <is>
          <t>Males</t>
        </is>
      </c>
      <c r="AB5" s="17" t="inlineStr">
        <is>
          <t>Females</t>
        </is>
      </c>
      <c r="AC5" s="17" t="inlineStr">
        <is>
          <t>M+F=P</t>
        </is>
      </c>
    </row>
    <row r="6">
      <c r="A6" s="18" t="inlineStr">
        <is>
          <t>Total</t>
        </is>
      </c>
      <c r="B6" s="19" t="n">
        <v>1128185</v>
      </c>
      <c r="C6" s="19" t="n">
        <v>716288</v>
      </c>
      <c r="D6" s="19" t="n">
        <v>411897</v>
      </c>
      <c r="E6" s="19" t="n">
        <v>11112</v>
      </c>
      <c r="F6" s="19" t="n">
        <v>5919</v>
      </c>
      <c r="G6" s="19" t="n">
        <v>5193</v>
      </c>
      <c r="H6" s="19" t="n">
        <v>11544</v>
      </c>
      <c r="I6" s="19" t="n">
        <v>5846</v>
      </c>
      <c r="J6" s="19" t="n">
        <v>5698</v>
      </c>
      <c r="K6" s="19" t="n">
        <v>18025</v>
      </c>
      <c r="L6" s="19" t="n">
        <v>7860</v>
      </c>
      <c r="M6" s="19" t="n">
        <v>10165</v>
      </c>
      <c r="N6" s="19" t="n">
        <v>16258</v>
      </c>
      <c r="O6" s="19" t="n">
        <v>7923</v>
      </c>
      <c r="P6" s="19" t="n">
        <v>8335</v>
      </c>
      <c r="Q6" s="19" t="n">
        <v>18497</v>
      </c>
      <c r="R6" s="19" t="n">
        <v>9266</v>
      </c>
      <c r="S6" s="19" t="n">
        <v>9231</v>
      </c>
      <c r="T6" s="19" t="n">
        <v>75436</v>
      </c>
      <c r="U6" s="19" t="n">
        <v>36814</v>
      </c>
      <c r="V6" s="19" t="n">
        <v>38622</v>
      </c>
      <c r="W6" s="19" t="n">
        <v>91451</v>
      </c>
      <c r="X6" s="19" t="n">
        <v>49401</v>
      </c>
      <c r="Y6" s="19" t="n">
        <v>42050</v>
      </c>
      <c r="Z6" s="19" t="n">
        <v>65564</v>
      </c>
      <c r="AA6" s="19" t="n">
        <v>44635</v>
      </c>
      <c r="AB6" s="19" t="n">
        <v>20929</v>
      </c>
      <c r="AC6" s="20">
        <f>IF(B6=C6+D6,"✓","✗")</f>
        <v/>
      </c>
    </row>
    <row r="7">
      <c r="A7" s="21" t="inlineStr">
        <is>
          <t>Gwalior Prant-Gwalior</t>
        </is>
      </c>
      <c r="B7" s="22" t="n">
        <v>108116</v>
      </c>
      <c r="C7" s="22" t="n">
        <v>72156</v>
      </c>
      <c r="D7" s="22" t="n">
        <v>35960</v>
      </c>
      <c r="E7" s="22" t="n">
        <v>6063</v>
      </c>
      <c r="F7" s="22" t="n">
        <v>3430</v>
      </c>
      <c r="G7" s="22" t="n">
        <v>2633</v>
      </c>
      <c r="H7" s="22" t="n">
        <v>5306</v>
      </c>
      <c r="I7" s="22" t="n">
        <v>2903</v>
      </c>
      <c r="J7" s="22" t="n">
        <v>2403</v>
      </c>
      <c r="K7" s="22" t="n">
        <v>7152</v>
      </c>
      <c r="L7" s="22" t="n">
        <v>3814</v>
      </c>
      <c r="M7" s="22" t="n">
        <v>3338</v>
      </c>
      <c r="N7" s="22" t="n">
        <v>4538</v>
      </c>
      <c r="O7" s="22" t="n">
        <v>1743</v>
      </c>
      <c r="P7" s="22" t="n">
        <v>2795</v>
      </c>
      <c r="Q7" s="22" t="n">
        <v>5773</v>
      </c>
      <c r="R7" s="22" t="n">
        <v>2923</v>
      </c>
      <c r="S7" s="22" t="n">
        <v>2850</v>
      </c>
      <c r="T7" s="22" t="n">
        <v>28832</v>
      </c>
      <c r="U7" s="22" t="n">
        <v>14813</v>
      </c>
      <c r="V7" s="22" t="n">
        <v>14019</v>
      </c>
      <c r="W7" s="22" t="n">
        <v>31419</v>
      </c>
      <c r="X7" s="22" t="n">
        <v>18224</v>
      </c>
      <c r="Y7" s="22" t="n">
        <v>13195</v>
      </c>
      <c r="Z7" s="22" t="n">
        <v>21258</v>
      </c>
      <c r="AA7" s="22" t="n">
        <v>15133</v>
      </c>
      <c r="AB7" s="22" t="n">
        <v>6125</v>
      </c>
      <c r="AC7" s="23">
        <f>IF(B7=C7+D7,"✓","✗")</f>
        <v/>
      </c>
    </row>
    <row r="8">
      <c r="A8" s="24" t="inlineStr">
        <is>
          <t>Susera</t>
        </is>
      </c>
      <c r="B8" s="25" t="n">
        <v>1361</v>
      </c>
      <c r="C8" s="25" t="n">
        <v>886</v>
      </c>
      <c r="D8" s="25" t="n">
        <v>475</v>
      </c>
      <c r="E8" s="25" t="n">
        <v>70</v>
      </c>
      <c r="F8" s="25" t="n">
        <v>42</v>
      </c>
      <c r="G8" s="25" t="n">
        <v>28</v>
      </c>
      <c r="H8" s="25" t="n">
        <v>86</v>
      </c>
      <c r="I8" s="25" t="n">
        <v>40</v>
      </c>
      <c r="J8" s="25" t="n">
        <v>46</v>
      </c>
      <c r="K8" s="25" t="n">
        <v>101</v>
      </c>
      <c r="L8" s="25" t="n">
        <v>59</v>
      </c>
      <c r="M8" s="25" t="n">
        <v>42</v>
      </c>
      <c r="N8" s="25" t="n">
        <v>70</v>
      </c>
      <c r="O8" s="25" t="n">
        <v>27</v>
      </c>
      <c r="P8" s="25" t="n">
        <v>43</v>
      </c>
      <c r="Q8" s="25" t="n">
        <v>73</v>
      </c>
      <c r="R8" s="25" t="n">
        <v>46</v>
      </c>
      <c r="S8" s="25" t="n">
        <v>27</v>
      </c>
      <c r="T8" s="25" t="n">
        <v>400</v>
      </c>
      <c r="U8" s="25" t="n">
        <v>214</v>
      </c>
      <c r="V8" s="25" t="n">
        <v>186</v>
      </c>
      <c r="W8" s="25" t="n">
        <v>424</v>
      </c>
      <c r="X8" s="25" t="n">
        <v>215</v>
      </c>
      <c r="Y8" s="25" t="n">
        <v>209</v>
      </c>
      <c r="Z8" s="25" t="n">
        <v>280</v>
      </c>
      <c r="AA8" s="25" t="n">
        <v>210</v>
      </c>
      <c r="AB8" s="25" t="n">
        <v>70</v>
      </c>
      <c r="AC8" s="26">
        <f>IF(B8=C8+D8,"✓","✗")</f>
        <v/>
      </c>
    </row>
    <row r="9">
      <c r="A9" s="21" t="inlineStr">
        <is>
          <t>Sikarwari</t>
        </is>
      </c>
      <c r="B9" s="22" t="n">
        <v>74377</v>
      </c>
      <c r="C9" s="22" t="n">
        <v>50001</v>
      </c>
      <c r="D9" s="22" t="n">
        <v>24376</v>
      </c>
      <c r="E9" s="22" t="n">
        <v>3632</v>
      </c>
      <c r="F9" s="22" t="n">
        <v>2008</v>
      </c>
      <c r="G9" s="22" t="n">
        <v>1624</v>
      </c>
      <c r="H9" s="22" t="n">
        <v>4366</v>
      </c>
      <c r="I9" s="22" t="n">
        <v>2314</v>
      </c>
      <c r="J9" s="22" t="n">
        <v>2052</v>
      </c>
      <c r="K9" s="22" t="n">
        <v>4523</v>
      </c>
      <c r="L9" s="22" t="n">
        <v>2236</v>
      </c>
      <c r="M9" s="22" t="n">
        <v>2287</v>
      </c>
      <c r="N9" s="22" t="n">
        <v>3308</v>
      </c>
      <c r="O9" s="22" t="n">
        <v>1591</v>
      </c>
      <c r="P9" s="22" t="n">
        <v>1717</v>
      </c>
      <c r="Q9" s="22" t="n">
        <v>4174</v>
      </c>
      <c r="R9" s="22" t="n">
        <v>2396</v>
      </c>
      <c r="S9" s="22" t="n">
        <v>1778</v>
      </c>
      <c r="T9" s="22" t="n">
        <v>20003</v>
      </c>
      <c r="U9" s="22" t="n">
        <v>10545</v>
      </c>
      <c r="V9" s="22" t="n">
        <v>9458</v>
      </c>
      <c r="W9" s="22" t="n">
        <v>22013</v>
      </c>
      <c r="X9" s="22" t="n">
        <v>12367</v>
      </c>
      <c r="Y9" s="22" t="n">
        <v>9646</v>
      </c>
      <c r="Z9" s="22" t="n">
        <v>15924</v>
      </c>
      <c r="AA9" s="22" t="n">
        <v>11764</v>
      </c>
      <c r="AB9" s="22" t="n">
        <v>4160</v>
      </c>
      <c r="AC9" s="23">
        <f>IF(B9=C9+D9,"✓","✗")</f>
        <v/>
      </c>
    </row>
    <row r="10">
      <c r="A10" s="24" t="inlineStr">
        <is>
          <t>Sabalgarh</t>
        </is>
      </c>
      <c r="B10" s="25" t="n">
        <v>52604</v>
      </c>
      <c r="C10" s="25" t="n">
        <v>33665</v>
      </c>
      <c r="D10" s="25" t="n">
        <v>18939</v>
      </c>
      <c r="E10" s="25" t="n">
        <v>2115</v>
      </c>
      <c r="F10" s="25" t="n">
        <v>1183</v>
      </c>
      <c r="G10" s="25" t="n">
        <v>932</v>
      </c>
      <c r="H10" s="25" t="n">
        <v>2082</v>
      </c>
      <c r="I10" s="25" t="n">
        <v>1067</v>
      </c>
      <c r="J10" s="25" t="n">
        <v>1015</v>
      </c>
      <c r="K10" s="25" t="n">
        <v>3318</v>
      </c>
      <c r="L10" s="25" t="n">
        <v>1831</v>
      </c>
      <c r="M10" s="25" t="n">
        <v>1487</v>
      </c>
      <c r="N10" s="25" t="n">
        <v>2638</v>
      </c>
      <c r="O10" s="25" t="n">
        <v>1443</v>
      </c>
      <c r="P10" s="25" t="n">
        <v>1195</v>
      </c>
      <c r="Q10" s="25" t="n">
        <v>3227</v>
      </c>
      <c r="R10" s="25" t="n">
        <v>1516</v>
      </c>
      <c r="S10" s="25" t="n">
        <v>1711</v>
      </c>
      <c r="T10" s="25" t="n">
        <v>13380</v>
      </c>
      <c r="U10" s="25" t="n">
        <v>7040</v>
      </c>
      <c r="V10" s="25" t="n">
        <v>6340</v>
      </c>
      <c r="W10" s="25" t="n">
        <v>18422</v>
      </c>
      <c r="X10" s="25" t="n">
        <v>8340</v>
      </c>
      <c r="Y10" s="25" t="n">
        <v>10082</v>
      </c>
      <c r="Z10" s="25" t="n">
        <v>8087</v>
      </c>
      <c r="AA10" s="25" t="n">
        <v>6323</v>
      </c>
      <c r="AB10" s="25" t="n">
        <v>1764</v>
      </c>
      <c r="AC10" s="26">
        <f>IF(B10=C10+D10,"✓","✗")</f>
        <v/>
      </c>
    </row>
    <row r="11">
      <c r="A11" s="21" t="inlineStr">
        <is>
          <t>Tawarghar</t>
        </is>
      </c>
      <c r="B11" s="22" t="n">
        <v>69081</v>
      </c>
      <c r="C11" s="22" t="n">
        <v>47313</v>
      </c>
      <c r="D11" s="22" t="n">
        <v>21768</v>
      </c>
      <c r="E11" s="22" t="n">
        <v>2690</v>
      </c>
      <c r="F11" s="22" t="n">
        <v>1576</v>
      </c>
      <c r="G11" s="22" t="n">
        <v>1114</v>
      </c>
      <c r="H11" s="22" t="n">
        <v>4968</v>
      </c>
      <c r="I11" s="22" t="n">
        <v>2561</v>
      </c>
      <c r="J11" s="22" t="n">
        <v>2407</v>
      </c>
      <c r="K11" s="22" t="n">
        <v>4455</v>
      </c>
      <c r="L11" s="22" t="n">
        <v>2176</v>
      </c>
      <c r="M11" s="22" t="n">
        <v>2279</v>
      </c>
      <c r="N11" s="22" t="n">
        <v>3442</v>
      </c>
      <c r="O11" s="22" t="n">
        <v>1751</v>
      </c>
      <c r="P11" s="22" t="n">
        <v>1691</v>
      </c>
      <c r="Q11" s="22" t="n">
        <v>4364</v>
      </c>
      <c r="R11" s="22" t="n">
        <v>2434</v>
      </c>
      <c r="S11" s="22" t="n">
        <v>1930</v>
      </c>
      <c r="T11" s="22" t="n">
        <v>19919</v>
      </c>
      <c r="U11" s="22" t="n">
        <v>10498</v>
      </c>
      <c r="V11" s="22" t="n">
        <v>9421</v>
      </c>
      <c r="W11" s="22" t="n">
        <v>21159</v>
      </c>
      <c r="X11" s="22" t="n">
        <v>12088</v>
      </c>
      <c r="Y11" s="22" t="n">
        <v>9071</v>
      </c>
      <c r="Z11" s="22" t="n">
        <v>13237</v>
      </c>
      <c r="AA11" s="22" t="n">
        <v>10734</v>
      </c>
      <c r="AB11" s="22" t="n">
        <v>2503</v>
      </c>
      <c r="AC11" s="23">
        <f>IF(B11=C11+D11,"✓","✗")</f>
        <v/>
      </c>
    </row>
    <row r="12">
      <c r="A12" s="24" t="inlineStr">
        <is>
          <t>Bhind</t>
        </is>
      </c>
      <c r="B12" s="25" t="n">
        <v>89182</v>
      </c>
      <c r="C12" s="25" t="n">
        <v>60249</v>
      </c>
      <c r="D12" s="25" t="n">
        <v>28933</v>
      </c>
      <c r="E12" s="25" t="n">
        <v>4947</v>
      </c>
      <c r="F12" s="25" t="n">
        <v>3145</v>
      </c>
      <c r="G12" s="25" t="n">
        <v>1802</v>
      </c>
      <c r="H12" s="25" t="n">
        <v>4717</v>
      </c>
      <c r="I12" s="25" t="n">
        <v>2807</v>
      </c>
      <c r="J12" s="25" t="n">
        <v>1910</v>
      </c>
      <c r="K12" s="25" t="n">
        <v>5233</v>
      </c>
      <c r="L12" s="25" t="n">
        <v>3156</v>
      </c>
      <c r="M12" s="25" t="n">
        <v>2077</v>
      </c>
      <c r="N12" s="25" t="n">
        <v>5233</v>
      </c>
      <c r="O12" s="25" t="n">
        <v>2893</v>
      </c>
      <c r="P12" s="25" t="n">
        <v>2340</v>
      </c>
      <c r="Q12" s="25" t="n">
        <v>5777</v>
      </c>
      <c r="R12" s="25" t="n">
        <v>2562</v>
      </c>
      <c r="S12" s="25" t="n">
        <v>3215</v>
      </c>
      <c r="T12" s="25" t="n">
        <v>25907</v>
      </c>
      <c r="U12" s="25" t="n">
        <v>14563</v>
      </c>
      <c r="V12" s="25" t="n">
        <v>11344</v>
      </c>
      <c r="W12" s="25" t="n">
        <v>28197</v>
      </c>
      <c r="X12" s="25" t="n">
        <v>15323</v>
      </c>
      <c r="Y12" s="25" t="n">
        <v>12874</v>
      </c>
      <c r="Z12" s="25" t="n">
        <v>11593</v>
      </c>
      <c r="AA12" s="25" t="n">
        <v>9010</v>
      </c>
      <c r="AB12" s="25" t="n">
        <v>2583</v>
      </c>
      <c r="AC12" s="26">
        <f>IF(B12=C12+D12,"✓","✗")</f>
        <v/>
      </c>
    </row>
    <row r="13">
      <c r="A13" s="21" t="inlineStr">
        <is>
          <t>Bhander</t>
        </is>
      </c>
      <c r="B13" s="22" t="n">
        <v>62207</v>
      </c>
      <c r="C13" s="22" t="n">
        <v>40505</v>
      </c>
      <c r="D13" s="22" t="n">
        <v>21702</v>
      </c>
      <c r="E13" s="22" t="n">
        <v>3319</v>
      </c>
      <c r="F13" s="22" t="n">
        <v>1762</v>
      </c>
      <c r="G13" s="22" t="n">
        <v>1557</v>
      </c>
      <c r="H13" s="22" t="n">
        <v>4018</v>
      </c>
      <c r="I13" s="22" t="n">
        <v>2096</v>
      </c>
      <c r="J13" s="22" t="n">
        <v>1922</v>
      </c>
      <c r="K13" s="22" t="n">
        <v>3391</v>
      </c>
      <c r="L13" s="22" t="n">
        <v>1285</v>
      </c>
      <c r="M13" s="22" t="n">
        <v>2106</v>
      </c>
      <c r="N13" s="22" t="n">
        <v>3541</v>
      </c>
      <c r="O13" s="22" t="n">
        <v>1808</v>
      </c>
      <c r="P13" s="22" t="n">
        <v>1733</v>
      </c>
      <c r="Q13" s="22" t="n">
        <v>3901</v>
      </c>
      <c r="R13" s="22" t="n">
        <v>1971</v>
      </c>
      <c r="S13" s="22" t="n">
        <v>1930</v>
      </c>
      <c r="T13" s="22" t="n">
        <v>18170</v>
      </c>
      <c r="U13" s="22" t="n">
        <v>8922</v>
      </c>
      <c r="V13" s="22" t="n">
        <v>9248</v>
      </c>
      <c r="W13" s="22" t="n">
        <v>18950</v>
      </c>
      <c r="X13" s="22" t="n">
        <v>10284</v>
      </c>
      <c r="Y13" s="22" t="n">
        <v>8666</v>
      </c>
      <c r="Z13" s="22" t="n">
        <v>11361</v>
      </c>
      <c r="AA13" s="22" t="n">
        <v>8426</v>
      </c>
      <c r="AB13" s="22" t="n">
        <v>2935</v>
      </c>
      <c r="AC13" s="23">
        <f>IF(B13=C13+D13,"✓","✗")</f>
        <v/>
      </c>
    </row>
    <row r="14">
      <c r="A14" s="24" t="inlineStr">
        <is>
          <t>Isagarh Prant-Isagarh</t>
        </is>
      </c>
      <c r="B14" s="25" t="n">
        <v>68020</v>
      </c>
      <c r="C14" s="25" t="n">
        <v>37735</v>
      </c>
      <c r="D14" s="25" t="n">
        <v>30285</v>
      </c>
      <c r="E14" s="25" t="n">
        <v>2347</v>
      </c>
      <c r="F14" s="25" t="n">
        <v>1402</v>
      </c>
      <c r="G14" s="25" t="n">
        <v>945</v>
      </c>
      <c r="H14" s="25" t="n">
        <v>2797</v>
      </c>
      <c r="I14" s="25" t="n">
        <v>2314</v>
      </c>
      <c r="J14" s="25" t="n">
        <v>483</v>
      </c>
      <c r="K14" s="25" t="n">
        <v>3519</v>
      </c>
      <c r="L14" s="25" t="n">
        <v>2473</v>
      </c>
      <c r="M14" s="25" t="n">
        <v>1046</v>
      </c>
      <c r="N14" s="25" t="n">
        <v>2143</v>
      </c>
      <c r="O14" s="25" t="n">
        <v>1593</v>
      </c>
      <c r="P14" s="25" t="n">
        <v>550</v>
      </c>
      <c r="Q14" s="25" t="n">
        <v>2167</v>
      </c>
      <c r="R14" s="25" t="n">
        <v>1725</v>
      </c>
      <c r="S14" s="25" t="n">
        <v>442</v>
      </c>
      <c r="T14" s="25" t="n">
        <v>12973</v>
      </c>
      <c r="U14" s="25" t="n">
        <v>9507</v>
      </c>
      <c r="V14" s="25" t="n">
        <v>3466</v>
      </c>
      <c r="W14" s="25" t="n">
        <v>10963</v>
      </c>
      <c r="X14" s="25" t="n">
        <v>9829</v>
      </c>
      <c r="Y14" s="25" t="n">
        <v>1134</v>
      </c>
      <c r="Z14" s="25" t="n">
        <v>10065</v>
      </c>
      <c r="AA14" s="25" t="n">
        <v>9109</v>
      </c>
      <c r="AB14" s="25" t="n">
        <v>956</v>
      </c>
      <c r="AC14" s="26">
        <f>IF(B14=C14+D14,"✓","✗")</f>
        <v/>
      </c>
    </row>
    <row r="15">
      <c r="A15" s="21" t="inlineStr">
        <is>
          <t>Pichhor</t>
        </is>
      </c>
      <c r="B15" s="22" t="n">
        <v>102964</v>
      </c>
      <c r="C15" s="22" t="n">
        <v>61213</v>
      </c>
      <c r="D15" s="22" t="n">
        <v>41751</v>
      </c>
      <c r="E15" s="22" t="n">
        <v>2722</v>
      </c>
      <c r="F15" s="22" t="n">
        <v>2339</v>
      </c>
      <c r="G15" s="22" t="n">
        <v>383</v>
      </c>
      <c r="H15" s="22" t="n">
        <v>2645</v>
      </c>
      <c r="I15" s="22" t="n">
        <v>1748</v>
      </c>
      <c r="J15" s="22" t="n">
        <v>897</v>
      </c>
      <c r="K15" s="22" t="n">
        <v>3955</v>
      </c>
      <c r="L15" s="22" t="n">
        <v>2756</v>
      </c>
      <c r="M15" s="22" t="n">
        <v>1199</v>
      </c>
      <c r="N15" s="22" t="n">
        <v>1899</v>
      </c>
      <c r="O15" s="22" t="n">
        <v>1374</v>
      </c>
      <c r="P15" s="22" t="n">
        <v>525</v>
      </c>
      <c r="Q15" s="22" t="n">
        <v>2961</v>
      </c>
      <c r="R15" s="22" t="n">
        <v>2502</v>
      </c>
      <c r="S15" s="22" t="n">
        <v>459</v>
      </c>
      <c r="T15" s="22" t="n">
        <v>14182</v>
      </c>
      <c r="U15" s="22" t="n">
        <v>10719</v>
      </c>
      <c r="V15" s="22" t="n">
        <v>3463</v>
      </c>
      <c r="W15" s="22" t="n">
        <v>16333</v>
      </c>
      <c r="X15" s="22" t="n">
        <v>13771</v>
      </c>
      <c r="Y15" s="22" t="n">
        <v>2562</v>
      </c>
      <c r="Z15" s="22" t="n">
        <v>14739</v>
      </c>
      <c r="AA15" s="22" t="n">
        <v>12959</v>
      </c>
      <c r="AB15" s="22" t="n">
        <v>1780</v>
      </c>
      <c r="AC15" s="23">
        <f>IF(B15=C15+D15,"✓","✗")</f>
        <v/>
      </c>
    </row>
    <row r="16">
      <c r="A16" s="24" t="inlineStr">
        <is>
          <t>Bajrangarh</t>
        </is>
      </c>
      <c r="B16" s="25" t="n">
        <v>45065</v>
      </c>
      <c r="C16" s="25" t="n">
        <v>29641</v>
      </c>
      <c r="D16" s="25" t="n">
        <v>15424</v>
      </c>
      <c r="E16" s="25" t="n">
        <v>1595</v>
      </c>
      <c r="F16" s="25" t="n">
        <v>806</v>
      </c>
      <c r="G16" s="25" t="n">
        <v>789</v>
      </c>
      <c r="H16" s="25" t="n">
        <v>2521</v>
      </c>
      <c r="I16" s="25" t="n">
        <v>1351</v>
      </c>
      <c r="J16" s="25" t="n">
        <v>1170</v>
      </c>
      <c r="K16" s="25" t="n">
        <v>2765</v>
      </c>
      <c r="L16" s="25" t="n">
        <v>1562</v>
      </c>
      <c r="M16" s="25" t="n">
        <v>1203</v>
      </c>
      <c r="N16" s="25" t="n">
        <v>2357</v>
      </c>
      <c r="O16" s="25" t="n">
        <v>1312</v>
      </c>
      <c r="P16" s="25" t="n">
        <v>1045</v>
      </c>
      <c r="Q16" s="25" t="n">
        <v>2465</v>
      </c>
      <c r="R16" s="25" t="n">
        <v>1298</v>
      </c>
      <c r="S16" s="25" t="n">
        <v>1167</v>
      </c>
      <c r="T16" s="25" t="n">
        <v>11703</v>
      </c>
      <c r="U16" s="25" t="n">
        <v>6329</v>
      </c>
      <c r="V16" s="25" t="n">
        <v>5374</v>
      </c>
      <c r="W16" s="25" t="n">
        <v>14419</v>
      </c>
      <c r="X16" s="25" t="n">
        <v>8519</v>
      </c>
      <c r="Y16" s="25" t="n">
        <v>5900</v>
      </c>
      <c r="Z16" s="25" t="n">
        <v>9828</v>
      </c>
      <c r="AA16" s="25" t="n">
        <v>7009</v>
      </c>
      <c r="AB16" s="25" t="n">
        <v>2819</v>
      </c>
      <c r="AC16" s="26">
        <f>IF(B16=C16+D16,"✓","✗")</f>
        <v/>
      </c>
    </row>
    <row r="17">
      <c r="A17" s="21" t="inlineStr">
        <is>
          <t>Bhilsa</t>
        </is>
      </c>
      <c r="B17" s="22" t="n">
        <v>46076</v>
      </c>
      <c r="C17" s="22" t="n">
        <v>28132</v>
      </c>
      <c r="D17" s="22" t="n">
        <v>17944</v>
      </c>
      <c r="E17" s="22" t="n">
        <v>1809</v>
      </c>
      <c r="F17" s="22" t="n">
        <v>1011</v>
      </c>
      <c r="G17" s="22" t="n">
        <v>798</v>
      </c>
      <c r="H17" s="22" t="n">
        <v>2402</v>
      </c>
      <c r="I17" s="22" t="n">
        <v>1177</v>
      </c>
      <c r="J17" s="22" t="n">
        <v>1225</v>
      </c>
      <c r="K17" s="22" t="n">
        <v>2961</v>
      </c>
      <c r="L17" s="22" t="n">
        <v>1541</v>
      </c>
      <c r="M17" s="22" t="n">
        <v>1420</v>
      </c>
      <c r="N17" s="22" t="n">
        <v>2543</v>
      </c>
      <c r="O17" s="22" t="n">
        <v>1341</v>
      </c>
      <c r="P17" s="22" t="n">
        <v>1202</v>
      </c>
      <c r="Q17" s="22" t="n">
        <v>2525</v>
      </c>
      <c r="R17" s="22" t="n">
        <v>1174</v>
      </c>
      <c r="S17" s="22" t="n">
        <v>1351</v>
      </c>
      <c r="T17" s="22" t="n">
        <v>12240</v>
      </c>
      <c r="U17" s="22" t="n">
        <v>6244</v>
      </c>
      <c r="V17" s="22" t="n">
        <v>5996</v>
      </c>
      <c r="W17" s="22" t="n">
        <v>14323</v>
      </c>
      <c r="X17" s="22" t="n">
        <v>7231</v>
      </c>
      <c r="Y17" s="22" t="n">
        <v>7092</v>
      </c>
      <c r="Z17" s="22" t="n">
        <v>10384</v>
      </c>
      <c r="AA17" s="22" t="n">
        <v>6880</v>
      </c>
      <c r="AB17" s="22" t="n">
        <v>3504</v>
      </c>
      <c r="AC17" s="23">
        <f>IF(B17=C17+D17,"✓","✗")</f>
        <v/>
      </c>
    </row>
    <row r="18">
      <c r="A18" s="24" t="inlineStr">
        <is>
          <t>Narwar</t>
        </is>
      </c>
      <c r="B18" s="25" t="n">
        <v>67908</v>
      </c>
      <c r="C18" s="25" t="n">
        <v>37461</v>
      </c>
      <c r="D18" s="25" t="n">
        <v>30447</v>
      </c>
      <c r="E18" s="25" t="n">
        <v>2044</v>
      </c>
      <c r="F18" s="25" t="n">
        <v>1463</v>
      </c>
      <c r="G18" s="25" t="n">
        <v>581</v>
      </c>
      <c r="H18" s="25" t="n">
        <v>2371</v>
      </c>
      <c r="I18" s="25" t="n">
        <v>1669</v>
      </c>
      <c r="J18" s="25" t="n">
        <v>702</v>
      </c>
      <c r="K18" s="25" t="n">
        <v>1976</v>
      </c>
      <c r="L18" s="25" t="n">
        <v>851</v>
      </c>
      <c r="M18" s="25" t="n">
        <v>1125</v>
      </c>
      <c r="N18" s="25" t="n">
        <v>1891</v>
      </c>
      <c r="O18" s="25" t="n">
        <v>890</v>
      </c>
      <c r="P18" s="25" t="n">
        <v>1001</v>
      </c>
      <c r="Q18" s="25" t="n">
        <v>3380</v>
      </c>
      <c r="R18" s="25" t="n">
        <v>1948</v>
      </c>
      <c r="S18" s="25" t="n">
        <v>1432</v>
      </c>
      <c r="T18" s="25" t="n">
        <v>11632</v>
      </c>
      <c r="U18" s="25" t="n">
        <v>6791</v>
      </c>
      <c r="V18" s="25" t="n">
        <v>4841</v>
      </c>
      <c r="W18" s="25" t="n">
        <v>14566</v>
      </c>
      <c r="X18" s="25" t="n">
        <v>10773</v>
      </c>
      <c r="Y18" s="25" t="n">
        <v>3793</v>
      </c>
      <c r="Z18" s="25" t="n">
        <v>11280</v>
      </c>
      <c r="AA18" s="25" t="n">
        <v>9466</v>
      </c>
      <c r="AB18" s="25" t="n">
        <v>1814</v>
      </c>
      <c r="AC18" s="26">
        <f>IF(B18=C18+D18,"✓","✗")</f>
        <v/>
      </c>
    </row>
    <row r="19">
      <c r="A19" s="21" t="inlineStr">
        <is>
          <t>Sheopur</t>
        </is>
      </c>
      <c r="B19" s="22" t="n">
        <v>35558</v>
      </c>
      <c r="C19" s="22" t="n">
        <v>24075</v>
      </c>
      <c r="D19" s="22" t="n">
        <v>11483</v>
      </c>
      <c r="E19" s="22" t="n">
        <v>1495</v>
      </c>
      <c r="F19" s="22" t="n">
        <v>849</v>
      </c>
      <c r="G19" s="22" t="n">
        <v>646</v>
      </c>
      <c r="H19" s="22" t="n">
        <v>946</v>
      </c>
      <c r="I19" s="22" t="n">
        <v>620</v>
      </c>
      <c r="J19" s="22" t="n">
        <v>326</v>
      </c>
      <c r="K19" s="22" t="n">
        <v>1683</v>
      </c>
      <c r="L19" s="22" t="n">
        <v>1018</v>
      </c>
      <c r="M19" s="22" t="n">
        <v>665</v>
      </c>
      <c r="N19" s="22" t="n">
        <v>1899</v>
      </c>
      <c r="O19" s="22" t="n">
        <v>966</v>
      </c>
      <c r="P19" s="22" t="n">
        <v>933</v>
      </c>
      <c r="Q19" s="22" t="n">
        <v>2100</v>
      </c>
      <c r="R19" s="22" t="n">
        <v>1174</v>
      </c>
      <c r="S19" s="22" t="n">
        <v>926</v>
      </c>
      <c r="T19" s="22" t="n">
        <v>8153</v>
      </c>
      <c r="U19" s="22" t="n">
        <v>4657</v>
      </c>
      <c r="V19" s="22" t="n">
        <v>3496</v>
      </c>
      <c r="W19" s="22" t="n">
        <v>9578</v>
      </c>
      <c r="X19" s="22" t="n">
        <v>6384</v>
      </c>
      <c r="Y19" s="22" t="n">
        <v>3194</v>
      </c>
      <c r="Z19" s="22" t="n">
        <v>8270</v>
      </c>
      <c r="AA19" s="22" t="n">
        <v>5653</v>
      </c>
      <c r="AB19" s="22" t="n">
        <v>2617</v>
      </c>
      <c r="AC19" s="23">
        <f>IF(B19=C19+D19,"✓","✗")</f>
        <v/>
      </c>
    </row>
    <row r="20">
      <c r="A20" s="24" t="inlineStr">
        <is>
          <t>Malwa Prant-Nimach</t>
        </is>
      </c>
      <c r="B20" s="25" t="n">
        <v>32183</v>
      </c>
      <c r="C20" s="25" t="n">
        <v>20746</v>
      </c>
      <c r="D20" s="25" t="n">
        <v>11437</v>
      </c>
      <c r="E20" s="25" t="n">
        <v>1141</v>
      </c>
      <c r="F20" s="25" t="n">
        <v>897</v>
      </c>
      <c r="G20" s="25" t="n">
        <v>244</v>
      </c>
      <c r="H20" s="25" t="n">
        <v>1316</v>
      </c>
      <c r="I20" s="25" t="n">
        <v>992</v>
      </c>
      <c r="J20" s="25" t="n">
        <v>324</v>
      </c>
      <c r="K20" s="25" t="n">
        <v>1709</v>
      </c>
      <c r="L20" s="25" t="n">
        <v>1183</v>
      </c>
      <c r="M20" s="25" t="n">
        <v>526</v>
      </c>
      <c r="N20" s="25" t="n">
        <v>1804</v>
      </c>
      <c r="O20" s="25" t="n">
        <v>1142</v>
      </c>
      <c r="P20" s="25" t="n">
        <v>662</v>
      </c>
      <c r="Q20" s="25" t="n">
        <v>1812</v>
      </c>
      <c r="R20" s="25" t="n">
        <v>1086</v>
      </c>
      <c r="S20" s="25" t="n">
        <v>726</v>
      </c>
      <c r="T20" s="25" t="n">
        <v>7782</v>
      </c>
      <c r="U20" s="25" t="n">
        <v>5300</v>
      </c>
      <c r="V20" s="25" t="n">
        <v>2482</v>
      </c>
      <c r="W20" s="25" t="n">
        <v>9581</v>
      </c>
      <c r="X20" s="25" t="n">
        <v>4737</v>
      </c>
      <c r="Y20" s="25" t="n">
        <v>4844</v>
      </c>
      <c r="Z20" s="25" t="n">
        <v>7488</v>
      </c>
      <c r="AA20" s="25" t="n">
        <v>4476</v>
      </c>
      <c r="AB20" s="25" t="n">
        <v>3012</v>
      </c>
      <c r="AC20" s="26">
        <f>IF(B20=C20+D20,"✓","✗")</f>
        <v/>
      </c>
    </row>
    <row r="21">
      <c r="A21" s="21" t="inlineStr">
        <is>
          <t>Ujjain</t>
        </is>
      </c>
      <c r="B21" s="22" t="n">
        <v>70615</v>
      </c>
      <c r="C21" s="22" t="n">
        <v>44820</v>
      </c>
      <c r="D21" s="22" t="n">
        <v>25795</v>
      </c>
      <c r="E21" s="22" t="n">
        <v>2877</v>
      </c>
      <c r="F21" s="22" t="n">
        <v>1471</v>
      </c>
      <c r="G21" s="22" t="n">
        <v>1406</v>
      </c>
      <c r="H21" s="22" t="n">
        <v>2831</v>
      </c>
      <c r="I21" s="22" t="n">
        <v>1326</v>
      </c>
      <c r="J21" s="22" t="n">
        <v>1505</v>
      </c>
      <c r="K21" s="22" t="n">
        <v>3589</v>
      </c>
      <c r="L21" s="22" t="n">
        <v>1753</v>
      </c>
      <c r="M21" s="22" t="n">
        <v>1836</v>
      </c>
      <c r="N21" s="22" t="n">
        <v>3802</v>
      </c>
      <c r="O21" s="22" t="n">
        <v>1818</v>
      </c>
      <c r="P21" s="22" t="n">
        <v>1984</v>
      </c>
      <c r="Q21" s="22" t="n">
        <v>4048</v>
      </c>
      <c r="R21" s="22" t="n">
        <v>2136</v>
      </c>
      <c r="S21" s="22" t="n">
        <v>1912</v>
      </c>
      <c r="T21" s="22" t="n">
        <v>17147</v>
      </c>
      <c r="U21" s="22" t="n">
        <v>8504</v>
      </c>
      <c r="V21" s="22" t="n">
        <v>8643</v>
      </c>
      <c r="W21" s="22" t="n">
        <v>22378</v>
      </c>
      <c r="X21" s="22" t="n">
        <v>11824</v>
      </c>
      <c r="Y21" s="22" t="n">
        <v>10554</v>
      </c>
      <c r="Z21" s="22" t="n">
        <v>14616</v>
      </c>
      <c r="AA21" s="22" t="n">
        <v>10192</v>
      </c>
      <c r="AB21" s="22" t="n">
        <v>4424</v>
      </c>
      <c r="AC21" s="23">
        <f>IF(B21=C21+D21,"✓","✗")</f>
        <v/>
      </c>
    </row>
    <row r="22">
      <c r="A22" s="24" t="inlineStr">
        <is>
          <t>Mandsaur</t>
        </is>
      </c>
      <c r="B22" s="25" t="n">
        <v>32183</v>
      </c>
      <c r="C22" s="25" t="n">
        <v>21957</v>
      </c>
      <c r="D22" s="25" t="n">
        <v>10226</v>
      </c>
      <c r="E22" s="25" t="n">
        <v>992</v>
      </c>
      <c r="F22" s="25" t="n">
        <v>507</v>
      </c>
      <c r="G22" s="25" t="n">
        <v>485</v>
      </c>
      <c r="H22" s="25" t="n">
        <v>1074</v>
      </c>
      <c r="I22" s="25" t="n">
        <v>517</v>
      </c>
      <c r="J22" s="25" t="n">
        <v>557</v>
      </c>
      <c r="K22" s="25" t="n">
        <v>1607</v>
      </c>
      <c r="L22" s="25" t="n">
        <v>854</v>
      </c>
      <c r="M22" s="25" t="n">
        <v>753</v>
      </c>
      <c r="N22" s="25" t="n">
        <v>1601</v>
      </c>
      <c r="O22" s="25" t="n">
        <v>795</v>
      </c>
      <c r="P22" s="25" t="n">
        <v>806</v>
      </c>
      <c r="Q22" s="25" t="n">
        <v>1951</v>
      </c>
      <c r="R22" s="25" t="n">
        <v>988</v>
      </c>
      <c r="S22" s="25" t="n">
        <v>963</v>
      </c>
      <c r="T22" s="25" t="n">
        <v>7225</v>
      </c>
      <c r="U22" s="25" t="n">
        <v>3661</v>
      </c>
      <c r="V22" s="25" t="n">
        <v>3564</v>
      </c>
      <c r="W22" s="25" t="n">
        <v>8660</v>
      </c>
      <c r="X22" s="25" t="n">
        <v>5638</v>
      </c>
      <c r="Y22" s="25" t="n">
        <v>3022</v>
      </c>
      <c r="Z22" s="25" t="n">
        <v>7805</v>
      </c>
      <c r="AA22" s="25" t="n">
        <v>5195</v>
      </c>
      <c r="AB22" s="25" t="n">
        <v>2610</v>
      </c>
      <c r="AC22" s="26">
        <f>IF(B22=C22+D22,"✓","✗")</f>
        <v/>
      </c>
    </row>
    <row r="23">
      <c r="A23" s="21" t="inlineStr">
        <is>
          <t>Agar</t>
        </is>
      </c>
      <c r="B23" s="22" t="n">
        <v>85782</v>
      </c>
      <c r="C23" s="22" t="n">
        <v>53199</v>
      </c>
      <c r="D23" s="22" t="n">
        <v>32583</v>
      </c>
      <c r="E23" s="22" t="n">
        <v>3514</v>
      </c>
      <c r="F23" s="22" t="n">
        <v>1804</v>
      </c>
      <c r="G23" s="22" t="n">
        <v>1710</v>
      </c>
      <c r="H23" s="22" t="n">
        <v>3162</v>
      </c>
      <c r="I23" s="22" t="n">
        <v>1657</v>
      </c>
      <c r="J23" s="22" t="n">
        <v>1505</v>
      </c>
      <c r="K23" s="22" t="n">
        <v>4506</v>
      </c>
      <c r="L23" s="22" t="n">
        <v>2166</v>
      </c>
      <c r="M23" s="22" t="n">
        <v>2340</v>
      </c>
      <c r="N23" s="22" t="n">
        <v>4332</v>
      </c>
      <c r="O23" s="22" t="n">
        <v>2090</v>
      </c>
      <c r="P23" s="22" t="n">
        <v>2242</v>
      </c>
      <c r="Q23" s="22" t="n">
        <v>4936</v>
      </c>
      <c r="R23" s="22" t="n">
        <v>2482</v>
      </c>
      <c r="S23" s="22" t="n">
        <v>2454</v>
      </c>
      <c r="T23" s="22" t="n">
        <v>20450</v>
      </c>
      <c r="U23" s="22" t="n">
        <v>10199</v>
      </c>
      <c r="V23" s="22" t="n">
        <v>10251</v>
      </c>
      <c r="W23" s="22" t="n">
        <v>28091</v>
      </c>
      <c r="X23" s="22" t="n">
        <v>13939</v>
      </c>
      <c r="Y23" s="22" t="n">
        <v>14152</v>
      </c>
      <c r="Z23" s="22" t="n">
        <v>18473</v>
      </c>
      <c r="AA23" s="22" t="n">
        <v>12764</v>
      </c>
      <c r="AB23" s="22" t="n">
        <v>5709</v>
      </c>
      <c r="AC23" s="23">
        <f>IF(B23=C23+D23,"✓","✗")</f>
        <v/>
      </c>
    </row>
    <row r="24">
      <c r="A24" s="24" t="inlineStr">
        <is>
          <t>Shajapur</t>
        </is>
      </c>
      <c r="B24" s="25" t="n">
        <v>48873</v>
      </c>
      <c r="C24" s="25" t="n">
        <v>31412</v>
      </c>
      <c r="D24" s="25" t="n">
        <v>17461</v>
      </c>
      <c r="E24" s="25" t="n">
        <v>1107</v>
      </c>
      <c r="F24" s="25" t="n">
        <v>529</v>
      </c>
      <c r="G24" s="25" t="n">
        <v>578</v>
      </c>
      <c r="H24" s="25" t="n">
        <v>1587</v>
      </c>
      <c r="I24" s="25" t="n">
        <v>742</v>
      </c>
      <c r="J24" s="25" t="n">
        <v>845</v>
      </c>
      <c r="K24" s="25" t="n">
        <v>2122</v>
      </c>
      <c r="L24" s="25" t="n">
        <v>1047</v>
      </c>
      <c r="M24" s="25" t="n">
        <v>1075</v>
      </c>
      <c r="N24" s="25" t="n">
        <v>2248</v>
      </c>
      <c r="O24" s="25" t="n">
        <v>1073</v>
      </c>
      <c r="P24" s="25" t="n">
        <v>1175</v>
      </c>
      <c r="Q24" s="25" t="n">
        <v>3361</v>
      </c>
      <c r="R24" s="25" t="n">
        <v>1392</v>
      </c>
      <c r="S24" s="25" t="n">
        <v>1969</v>
      </c>
      <c r="T24" s="25" t="n">
        <v>10425</v>
      </c>
      <c r="U24" s="25" t="n">
        <v>4783</v>
      </c>
      <c r="V24" s="25" t="n">
        <v>5642</v>
      </c>
      <c r="W24" s="25" t="n">
        <v>15053</v>
      </c>
      <c r="X24" s="25" t="n">
        <v>7978</v>
      </c>
      <c r="Y24" s="25" t="n">
        <v>7075</v>
      </c>
      <c r="Z24" s="25" t="n">
        <v>10643</v>
      </c>
      <c r="AA24" s="25" t="n">
        <v>7405</v>
      </c>
      <c r="AB24" s="25" t="n">
        <v>3238</v>
      </c>
      <c r="AC24" s="26">
        <f>IF(B24=C24+D24,"✓","✗")</f>
        <v/>
      </c>
    </row>
    <row r="25">
      <c r="A25" s="21" t="inlineStr">
        <is>
          <t>Amjhera</t>
        </is>
      </c>
      <c r="B25" s="22" t="n">
        <v>36030</v>
      </c>
      <c r="C25" s="22" t="n">
        <v>21122</v>
      </c>
      <c r="D25" s="22" t="n">
        <v>14908</v>
      </c>
      <c r="E25" s="22" t="n">
        <v>1481</v>
      </c>
      <c r="F25" s="22" t="n">
        <v>711</v>
      </c>
      <c r="G25" s="22" t="n">
        <v>770</v>
      </c>
      <c r="H25" s="22" t="n">
        <v>1574</v>
      </c>
      <c r="I25" s="22" t="n">
        <v>612</v>
      </c>
      <c r="J25" s="22" t="n">
        <v>962</v>
      </c>
      <c r="K25" s="22" t="n">
        <v>4492</v>
      </c>
      <c r="L25" s="22" t="n">
        <v>857</v>
      </c>
      <c r="M25" s="22" t="n">
        <v>3635</v>
      </c>
      <c r="N25" s="22" t="n">
        <v>2471</v>
      </c>
      <c r="O25" s="22" t="n">
        <v>1005</v>
      </c>
      <c r="P25" s="22" t="n">
        <v>1466</v>
      </c>
      <c r="Q25" s="22" t="n">
        <v>2389</v>
      </c>
      <c r="R25" s="22" t="n">
        <v>1182</v>
      </c>
      <c r="S25" s="22" t="n">
        <v>1207</v>
      </c>
      <c r="T25" s="22" t="n">
        <v>12407</v>
      </c>
      <c r="U25" s="22" t="n">
        <v>4367</v>
      </c>
      <c r="V25" s="22" t="n">
        <v>8040</v>
      </c>
      <c r="W25" s="22" t="n">
        <v>7688</v>
      </c>
      <c r="X25" s="22" t="n">
        <v>5285</v>
      </c>
      <c r="Y25" s="22" t="n">
        <v>2403</v>
      </c>
      <c r="Z25" s="22" t="n">
        <v>6539</v>
      </c>
      <c r="AA25" s="22" t="n">
        <v>4603</v>
      </c>
      <c r="AB25" s="22" t="n">
        <v>1936</v>
      </c>
      <c r="AC25" s="23">
        <f>IF(B25=C25+D25,"✓","✗")</f>
        <v/>
      </c>
    </row>
    <row r="26">
      <c r="A26" s="24" t="inlineStr">
        <is>
          <t>Total</t>
        </is>
      </c>
      <c r="B26" s="25" t="n">
        <v>1128185</v>
      </c>
      <c r="C26" s="25" t="n">
        <v>716288</v>
      </c>
      <c r="D26" s="25" t="n">
        <v>411897</v>
      </c>
      <c r="E26" s="25" t="n">
        <v>11112</v>
      </c>
      <c r="F26" s="25" t="n">
        <v>5919</v>
      </c>
      <c r="G26" s="25" t="n">
        <v>5193</v>
      </c>
      <c r="H26" s="25" t="n">
        <v>11544</v>
      </c>
      <c r="I26" s="25" t="n">
        <v>5846</v>
      </c>
      <c r="J26" s="25" t="n">
        <v>5698</v>
      </c>
      <c r="K26" s="25" t="n">
        <v>18025</v>
      </c>
      <c r="L26" s="25" t="n">
        <v>7860</v>
      </c>
      <c r="M26" s="25" t="n">
        <v>10165</v>
      </c>
      <c r="N26" s="25" t="n">
        <v>16258</v>
      </c>
      <c r="O26" s="25" t="n">
        <v>7923</v>
      </c>
      <c r="P26" s="25" t="n">
        <v>8335</v>
      </c>
      <c r="Q26" s="25" t="n">
        <v>18497</v>
      </c>
      <c r="R26" s="25" t="n">
        <v>9266</v>
      </c>
      <c r="S26" s="25" t="n">
        <v>9231</v>
      </c>
      <c r="T26" s="25" t="n">
        <v>75436</v>
      </c>
      <c r="U26" s="25" t="n">
        <v>36814</v>
      </c>
      <c r="V26" s="25" t="n">
        <v>38622</v>
      </c>
      <c r="W26" s="25" t="n">
        <v>91451</v>
      </c>
      <c r="X26" s="25" t="n">
        <v>49401</v>
      </c>
      <c r="Y26" s="25" t="n">
        <v>42050</v>
      </c>
      <c r="Z26" s="25" t="n">
        <v>65564</v>
      </c>
      <c r="AA26" s="25" t="n">
        <v>44635</v>
      </c>
      <c r="AB26" s="25" t="n">
        <v>20929</v>
      </c>
      <c r="AC26" s="26">
        <f>IF(B26=C26+D26,"✓","✗")</f>
        <v/>
      </c>
    </row>
    <row r="27">
      <c r="A27" s="21" t="inlineStr">
        <is>
          <t>Grand Total</t>
        </is>
      </c>
      <c r="B27" s="22" t="n">
        <v>1128185</v>
      </c>
      <c r="C27" s="22" t="n">
        <v>716288</v>
      </c>
      <c r="D27" s="22" t="n">
        <v>411897</v>
      </c>
      <c r="E27" s="22" t="n">
        <v>45960</v>
      </c>
      <c r="F27" s="22" t="n">
        <v>26935</v>
      </c>
      <c r="G27" s="22" t="n">
        <v>19025</v>
      </c>
      <c r="H27" s="22" t="n">
        <v>50769</v>
      </c>
      <c r="I27" s="22" t="n">
        <v>28513</v>
      </c>
      <c r="J27" s="22" t="n">
        <v>22256</v>
      </c>
      <c r="K27" s="22" t="n">
        <v>63057</v>
      </c>
      <c r="L27" s="22" t="n">
        <v>32618</v>
      </c>
      <c r="M27" s="22" t="n">
        <v>30439</v>
      </c>
      <c r="N27" s="22" t="n">
        <v>51760</v>
      </c>
      <c r="O27" s="22" t="n">
        <v>26655</v>
      </c>
      <c r="P27" s="22" t="n">
        <v>25105</v>
      </c>
      <c r="Q27" s="22" t="n">
        <v>61384</v>
      </c>
      <c r="R27" s="22" t="n">
        <v>32935</v>
      </c>
      <c r="S27" s="22" t="n">
        <v>28449</v>
      </c>
      <c r="T27" s="22" t="n">
        <v>272930</v>
      </c>
      <c r="U27" s="22" t="n">
        <v>147656</v>
      </c>
      <c r="V27" s="22" t="n">
        <v>125274</v>
      </c>
      <c r="W27" s="22" t="n">
        <v>312217</v>
      </c>
      <c r="X27" s="22" t="n">
        <v>182749</v>
      </c>
      <c r="Y27" s="22" t="n">
        <v>129468</v>
      </c>
      <c r="Z27" s="22" t="n">
        <v>211870</v>
      </c>
      <c r="AA27" s="22" t="n">
        <v>157311</v>
      </c>
      <c r="AB27" s="22" t="n">
        <v>54559</v>
      </c>
      <c r="AC27" s="23">
        <f>IF(B27=C27+D27,"✓","✗")</f>
        <v/>
      </c>
    </row>
    <row r="28">
      <c r="A28" s="27" t="inlineStr">
        <is>
          <t>Verify: Sum</t>
        </is>
      </c>
      <c r="B28" s="28">
        <f>IF(SUM(B7:B27)=B6,"✓",SUM(B7:B27)-B6)</f>
        <v/>
      </c>
      <c r="C28" s="28">
        <f>IF(SUM(C7:C27)=C6,"✓",SUM(C7:C27)-C6)</f>
        <v/>
      </c>
      <c r="D28" s="28">
        <f>IF(SUM(D7:D27)=D6,"✓",SUM(D7:D27)-D6)</f>
        <v/>
      </c>
      <c r="E28" s="28">
        <f>IF(SUM(E7:E27)=E6,"✓",SUM(E7:E27)-E6)</f>
        <v/>
      </c>
      <c r="F28" s="28">
        <f>IF(SUM(F7:F27)=F6,"✓",SUM(F7:F27)-F6)</f>
        <v/>
      </c>
      <c r="G28" s="28">
        <f>IF(SUM(G7:G27)=G6,"✓",SUM(G7:G27)-G6)</f>
        <v/>
      </c>
      <c r="H28" s="28">
        <f>IF(SUM(H7:H27)=H6,"✓",SUM(H7:H27)-H6)</f>
        <v/>
      </c>
      <c r="I28" s="28">
        <f>IF(SUM(I7:I27)=I6,"✓",SUM(I7:I27)-I6)</f>
        <v/>
      </c>
      <c r="J28" s="28">
        <f>IF(SUM(J7:J27)=J6,"✓",SUM(J7:J27)-J6)</f>
        <v/>
      </c>
      <c r="K28" s="28">
        <f>IF(SUM(K7:K27)=K6,"✓",SUM(K7:K27)-K6)</f>
        <v/>
      </c>
      <c r="L28" s="28">
        <f>IF(SUM(L7:L27)=L6,"✓",SUM(L7:L27)-L6)</f>
        <v/>
      </c>
      <c r="M28" s="28">
        <f>IF(SUM(M7:M27)=M6,"✓",SUM(M7:M27)-M6)</f>
        <v/>
      </c>
      <c r="N28" s="28">
        <f>IF(SUM(N7:N27)=N6,"✓",SUM(N7:N27)-N6)</f>
        <v/>
      </c>
      <c r="O28" s="28">
        <f>IF(SUM(O7:O27)=O6,"✓",SUM(O7:O27)-O6)</f>
        <v/>
      </c>
      <c r="P28" s="28">
        <f>IF(SUM(P7:P27)=P6,"✓",SUM(P7:P27)-P6)</f>
        <v/>
      </c>
      <c r="Q28" s="28">
        <f>IF(SUM(Q7:Q27)=Q6,"✓",SUM(Q7:Q27)-Q6)</f>
        <v/>
      </c>
      <c r="R28" s="28">
        <f>IF(SUM(R7:R27)=R6,"✓",SUM(R7:R27)-R6)</f>
        <v/>
      </c>
      <c r="S28" s="28">
        <f>IF(SUM(S7:S27)=S6,"✓",SUM(S7:S27)-S6)</f>
        <v/>
      </c>
      <c r="T28" s="28">
        <f>IF(SUM(T7:T27)=T6,"✓",SUM(T7:T27)-T6)</f>
        <v/>
      </c>
      <c r="U28" s="28">
        <f>IF(SUM(U7:U27)=U6,"✓",SUM(U7:U27)-U6)</f>
        <v/>
      </c>
      <c r="V28" s="28">
        <f>IF(SUM(V7:V27)=V6,"✓",SUM(V7:V27)-V6)</f>
        <v/>
      </c>
      <c r="W28" s="28">
        <f>IF(SUM(W7:W27)=W6,"✓",SUM(W7:W27)-W6)</f>
        <v/>
      </c>
      <c r="X28" s="28">
        <f>IF(SUM(X7:X27)=X6,"✓",SUM(X7:X27)-X6)</f>
        <v/>
      </c>
      <c r="Y28" s="28">
        <f>IF(SUM(Y7:Y27)=Y6,"✓",SUM(Y7:Y27)-Y6)</f>
        <v/>
      </c>
      <c r="Z28" s="28">
        <f>IF(SUM(Z7:Z27)=Z6,"✓",SUM(Z7:Z27)-Z6)</f>
        <v/>
      </c>
      <c r="AA28" s="28">
        <f>IF(SUM(AA7:AA27)=AA6,"✓",SUM(AA7:AA27)-AA6)</f>
        <v/>
      </c>
      <c r="AB28" s="28">
        <f>IF(SUM(AB7:AB27)=AB6,"✓",SUM(AB7:AB27)-AB6)</f>
        <v/>
      </c>
    </row>
  </sheetData>
  <mergeCells count="9">
    <mergeCell ref="K4:M4"/>
    <mergeCell ref="B4:D4"/>
    <mergeCell ref="H4:J4"/>
    <mergeCell ref="Q4:S4"/>
    <mergeCell ref="T4:V4"/>
    <mergeCell ref="W4:Y4"/>
    <mergeCell ref="E4:G4"/>
    <mergeCell ref="Z4:AB4"/>
    <mergeCell ref="N4:P4"/>
  </mergeCells>
  <conditionalFormatting sqref="AC6:AC28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7" customWidth="1" min="29" max="29"/>
  </cols>
  <sheetData>
    <row r="1">
      <c r="A1" s="29" t="inlineStr">
        <is>
          <t>All Religions.</t>
        </is>
      </c>
    </row>
    <row r="2">
      <c r="A2" s="3" t="inlineStr">
        <is>
          <t>Imperial Table No. VII. Age, Sex and Civil Condition.</t>
        </is>
      </c>
    </row>
    <row r="3">
      <c r="A3" s="4" t="inlineStr">
        <is>
          <t>Districts.</t>
        </is>
      </c>
      <c r="B3" s="5" t="inlineStr">
        <is>
          <t>TOTAL UNMARRIED.</t>
        </is>
      </c>
      <c r="C3" s="6" t="n"/>
      <c r="D3" s="6" t="n"/>
      <c r="E3" s="7" t="inlineStr">
        <is>
          <t>0-1.</t>
        </is>
      </c>
      <c r="F3" s="8" t="n"/>
      <c r="G3" s="8" t="n"/>
      <c r="H3" s="9" t="inlineStr">
        <is>
          <t>1-2.</t>
        </is>
      </c>
      <c r="I3" s="10" t="n"/>
      <c r="J3" s="10" t="n"/>
      <c r="K3" s="11" t="inlineStr">
        <is>
          <t>2-3.</t>
        </is>
      </c>
      <c r="L3" s="12" t="n"/>
      <c r="M3" s="12" t="n"/>
      <c r="N3" s="13" t="inlineStr">
        <is>
          <t>3-4.</t>
        </is>
      </c>
      <c r="O3" s="14" t="n"/>
      <c r="P3" s="14" t="n"/>
      <c r="Q3" s="5" t="inlineStr">
        <is>
          <t>4-5.</t>
        </is>
      </c>
      <c r="R3" s="6" t="n"/>
      <c r="S3" s="6" t="n"/>
      <c r="T3" s="7" t="inlineStr">
        <is>
          <t>Total 0-5.</t>
        </is>
      </c>
      <c r="U3" s="8" t="n"/>
      <c r="V3" s="8" t="n"/>
      <c r="W3" s="9" t="inlineStr">
        <is>
          <t>5-10.</t>
        </is>
      </c>
      <c r="X3" s="10" t="n"/>
      <c r="Y3" s="10" t="n"/>
      <c r="Z3" s="11" t="inlineStr">
        <is>
          <t>10-15.</t>
        </is>
      </c>
      <c r="AA3" s="12" t="n"/>
      <c r="AB3" s="12" t="n"/>
      <c r="AC3" s="15" t="inlineStr">
        <is>
          <t>Check</t>
        </is>
      </c>
    </row>
    <row r="4">
      <c r="A4" s="16" t="inlineStr"/>
      <c r="B4" s="17" t="inlineStr">
        <is>
          <t>Persons</t>
        </is>
      </c>
      <c r="C4" s="17" t="inlineStr">
        <is>
          <t>Males</t>
        </is>
      </c>
      <c r="D4" s="17" t="inlineStr">
        <is>
          <t>Females</t>
        </is>
      </c>
      <c r="E4" s="17" t="inlineStr">
        <is>
          <t>Persons</t>
        </is>
      </c>
      <c r="F4" s="17" t="inlineStr">
        <is>
          <t>Males</t>
        </is>
      </c>
      <c r="G4" s="17" t="inlineStr">
        <is>
          <t>Females</t>
        </is>
      </c>
      <c r="H4" s="17" t="inlineStr">
        <is>
          <t>Persons</t>
        </is>
      </c>
      <c r="I4" s="17" t="inlineStr">
        <is>
          <t>Males</t>
        </is>
      </c>
      <c r="J4" s="17" t="inlineStr">
        <is>
          <t>Females</t>
        </is>
      </c>
      <c r="K4" s="17" t="inlineStr">
        <is>
          <t>Persons</t>
        </is>
      </c>
      <c r="L4" s="17" t="inlineStr">
        <is>
          <t>Males</t>
        </is>
      </c>
      <c r="M4" s="17" t="inlineStr">
        <is>
          <t>Females</t>
        </is>
      </c>
      <c r="N4" s="17" t="inlineStr">
        <is>
          <t>Persons</t>
        </is>
      </c>
      <c r="O4" s="17" t="inlineStr">
        <is>
          <t>Males</t>
        </is>
      </c>
      <c r="P4" s="17" t="inlineStr">
        <is>
          <t>Females</t>
        </is>
      </c>
      <c r="Q4" s="17" t="inlineStr">
        <is>
          <t>Persons</t>
        </is>
      </c>
      <c r="R4" s="17" t="inlineStr">
        <is>
          <t>Males</t>
        </is>
      </c>
      <c r="S4" s="17" t="inlineStr">
        <is>
          <t>Females</t>
        </is>
      </c>
      <c r="T4" s="17" t="inlineStr">
        <is>
          <t>Persons</t>
        </is>
      </c>
      <c r="U4" s="17" t="inlineStr">
        <is>
          <t>Males</t>
        </is>
      </c>
      <c r="V4" s="17" t="inlineStr">
        <is>
          <t>Females</t>
        </is>
      </c>
      <c r="W4" s="17" t="inlineStr">
        <is>
          <t>Persons</t>
        </is>
      </c>
      <c r="X4" s="17" t="inlineStr">
        <is>
          <t>Males</t>
        </is>
      </c>
      <c r="Y4" s="17" t="inlineStr">
        <is>
          <t>Females</t>
        </is>
      </c>
      <c r="Z4" s="17" t="inlineStr">
        <is>
          <t>Persons</t>
        </is>
      </c>
      <c r="AA4" s="17" t="inlineStr">
        <is>
          <t>Males</t>
        </is>
      </c>
      <c r="AB4" s="17" t="inlineStr">
        <is>
          <t>Females</t>
        </is>
      </c>
      <c r="AC4" s="17" t="inlineStr">
        <is>
          <t>M+F=P</t>
        </is>
      </c>
    </row>
    <row r="5">
      <c r="A5" s="18" t="inlineStr">
        <is>
          <t>Total</t>
        </is>
      </c>
      <c r="B5" s="19" t="n">
        <v>1128185</v>
      </c>
      <c r="C5" s="19" t="n">
        <v>716288</v>
      </c>
      <c r="D5" s="19" t="n">
        <v>411897</v>
      </c>
      <c r="E5" s="19" t="n">
        <v>11112</v>
      </c>
      <c r="F5" s="19" t="n">
        <v>5919</v>
      </c>
      <c r="G5" s="19" t="n">
        <v>5193</v>
      </c>
      <c r="H5" s="19" t="n">
        <v>11544</v>
      </c>
      <c r="I5" s="19" t="n">
        <v>5846</v>
      </c>
      <c r="J5" s="19" t="n">
        <v>5698</v>
      </c>
      <c r="K5" s="19" t="n">
        <v>18025</v>
      </c>
      <c r="L5" s="19" t="n">
        <v>7860</v>
      </c>
      <c r="M5" s="19" t="n">
        <v>10165</v>
      </c>
      <c r="N5" s="19" t="n">
        <v>16258</v>
      </c>
      <c r="O5" s="19" t="n">
        <v>7923</v>
      </c>
      <c r="P5" s="19" t="n">
        <v>8335</v>
      </c>
      <c r="Q5" s="19" t="n">
        <v>18497</v>
      </c>
      <c r="R5" s="19" t="n">
        <v>9266</v>
      </c>
      <c r="S5" s="19" t="n">
        <v>9231</v>
      </c>
      <c r="T5" s="19" t="n">
        <v>75436</v>
      </c>
      <c r="U5" s="19" t="n">
        <v>36814</v>
      </c>
      <c r="V5" s="19" t="n">
        <v>38622</v>
      </c>
      <c r="W5" s="19" t="n">
        <v>91451</v>
      </c>
      <c r="X5" s="19" t="n">
        <v>49401</v>
      </c>
      <c r="Y5" s="19" t="n">
        <v>42050</v>
      </c>
      <c r="Z5" s="19" t="n">
        <v>65564</v>
      </c>
      <c r="AA5" s="19" t="n">
        <v>44635</v>
      </c>
      <c r="AB5" s="19" t="n">
        <v>20929</v>
      </c>
      <c r="AC5" s="20">
        <f>IF(B5=C5+D5,"✓","✗")</f>
        <v/>
      </c>
    </row>
    <row r="6">
      <c r="A6" s="21" t="inlineStr">
        <is>
          <t>Gwalior Prant-Gwalior</t>
        </is>
      </c>
      <c r="B6" s="22" t="n">
        <v>108116</v>
      </c>
      <c r="C6" s="22" t="n">
        <v>72156</v>
      </c>
      <c r="D6" s="22" t="n">
        <v>35960</v>
      </c>
      <c r="E6" s="22" t="n">
        <v>6063</v>
      </c>
      <c r="F6" s="22" t="n">
        <v>3430</v>
      </c>
      <c r="G6" s="22" t="n">
        <v>2633</v>
      </c>
      <c r="H6" s="22" t="n">
        <v>5306</v>
      </c>
      <c r="I6" s="22" t="n">
        <v>2903</v>
      </c>
      <c r="J6" s="22" t="n">
        <v>2403</v>
      </c>
      <c r="K6" s="22" t="n">
        <v>7152</v>
      </c>
      <c r="L6" s="22" t="n">
        <v>3814</v>
      </c>
      <c r="M6" s="22" t="n">
        <v>3338</v>
      </c>
      <c r="N6" s="22" t="n">
        <v>4538</v>
      </c>
      <c r="O6" s="22" t="n">
        <v>1743</v>
      </c>
      <c r="P6" s="22" t="n">
        <v>2795</v>
      </c>
      <c r="Q6" s="22" t="n">
        <v>5773</v>
      </c>
      <c r="R6" s="22" t="n">
        <v>2923</v>
      </c>
      <c r="S6" s="22" t="n">
        <v>2850</v>
      </c>
      <c r="T6" s="22" t="n">
        <v>28832</v>
      </c>
      <c r="U6" s="22" t="n">
        <v>14813</v>
      </c>
      <c r="V6" s="22" t="n">
        <v>14019</v>
      </c>
      <c r="W6" s="22" t="n">
        <v>31419</v>
      </c>
      <c r="X6" s="22" t="n">
        <v>18224</v>
      </c>
      <c r="Y6" s="22" t="n">
        <v>13195</v>
      </c>
      <c r="Z6" s="22" t="n">
        <v>21258</v>
      </c>
      <c r="AA6" s="22" t="n">
        <v>15133</v>
      </c>
      <c r="AB6" s="22" t="n">
        <v>6125</v>
      </c>
      <c r="AC6" s="23">
        <f>IF(B6=C6+D6,"✓","✗")</f>
        <v/>
      </c>
    </row>
    <row r="7">
      <c r="A7" s="24" t="inlineStr">
        <is>
          <t>Susera</t>
        </is>
      </c>
      <c r="B7" s="25" t="n">
        <v>1361</v>
      </c>
      <c r="C7" s="25" t="n">
        <v>886</v>
      </c>
      <c r="D7" s="25" t="n">
        <v>475</v>
      </c>
      <c r="E7" s="25" t="n">
        <v>70</v>
      </c>
      <c r="F7" s="25" t="n">
        <v>42</v>
      </c>
      <c r="G7" s="25" t="n">
        <v>28</v>
      </c>
      <c r="H7" s="25" t="n">
        <v>86</v>
      </c>
      <c r="I7" s="25" t="n">
        <v>40</v>
      </c>
      <c r="J7" s="25" t="n">
        <v>46</v>
      </c>
      <c r="K7" s="25" t="n">
        <v>101</v>
      </c>
      <c r="L7" s="25" t="n">
        <v>59</v>
      </c>
      <c r="M7" s="25" t="n">
        <v>42</v>
      </c>
      <c r="N7" s="25" t="n">
        <v>70</v>
      </c>
      <c r="O7" s="25" t="n">
        <v>27</v>
      </c>
      <c r="P7" s="25" t="n">
        <v>43</v>
      </c>
      <c r="Q7" s="25" t="n">
        <v>73</v>
      </c>
      <c r="R7" s="25" t="n">
        <v>46</v>
      </c>
      <c r="S7" s="25" t="n">
        <v>27</v>
      </c>
      <c r="T7" s="25" t="n">
        <v>400</v>
      </c>
      <c r="U7" s="25" t="n">
        <v>214</v>
      </c>
      <c r="V7" s="25" t="n">
        <v>186</v>
      </c>
      <c r="W7" s="25" t="n">
        <v>424</v>
      </c>
      <c r="X7" s="25" t="n">
        <v>215</v>
      </c>
      <c r="Y7" s="25" t="n">
        <v>209</v>
      </c>
      <c r="Z7" s="25" t="n">
        <v>280</v>
      </c>
      <c r="AA7" s="25" t="n">
        <v>210</v>
      </c>
      <c r="AB7" s="25" t="n">
        <v>70</v>
      </c>
      <c r="AC7" s="26">
        <f>IF(B7=C7+D7,"✓","✗")</f>
        <v/>
      </c>
    </row>
    <row r="8">
      <c r="A8" s="21" t="inlineStr">
        <is>
          <t>Sikarwari</t>
        </is>
      </c>
      <c r="B8" s="22" t="n">
        <v>74377</v>
      </c>
      <c r="C8" s="22" t="n">
        <v>50001</v>
      </c>
      <c r="D8" s="22" t="n">
        <v>24376</v>
      </c>
      <c r="E8" s="22" t="n">
        <v>3632</v>
      </c>
      <c r="F8" s="22" t="n">
        <v>2008</v>
      </c>
      <c r="G8" s="22" t="n">
        <v>1624</v>
      </c>
      <c r="H8" s="22" t="n">
        <v>4366</v>
      </c>
      <c r="I8" s="22" t="n">
        <v>2314</v>
      </c>
      <c r="J8" s="22" t="n">
        <v>2052</v>
      </c>
      <c r="K8" s="22" t="n">
        <v>4523</v>
      </c>
      <c r="L8" s="22" t="n">
        <v>2236</v>
      </c>
      <c r="M8" s="22" t="n">
        <v>2287</v>
      </c>
      <c r="N8" s="22" t="n">
        <v>3308</v>
      </c>
      <c r="O8" s="22" t="n">
        <v>1591</v>
      </c>
      <c r="P8" s="22" t="n">
        <v>1717</v>
      </c>
      <c r="Q8" s="22" t="n">
        <v>4174</v>
      </c>
      <c r="R8" s="22" t="n">
        <v>2396</v>
      </c>
      <c r="S8" s="22" t="n">
        <v>1778</v>
      </c>
      <c r="T8" s="22" t="n">
        <v>20003</v>
      </c>
      <c r="U8" s="22" t="n">
        <v>10545</v>
      </c>
      <c r="V8" s="22" t="n">
        <v>9458</v>
      </c>
      <c r="W8" s="22" t="n">
        <v>22013</v>
      </c>
      <c r="X8" s="22" t="n">
        <v>12367</v>
      </c>
      <c r="Y8" s="22" t="n">
        <v>9646</v>
      </c>
      <c r="Z8" s="22" t="n">
        <v>15924</v>
      </c>
      <c r="AA8" s="22" t="n">
        <v>11764</v>
      </c>
      <c r="AB8" s="22" t="n">
        <v>4160</v>
      </c>
      <c r="AC8" s="23">
        <f>IF(B8=C8+D8,"✓","✗")</f>
        <v/>
      </c>
    </row>
    <row r="9">
      <c r="A9" s="24" t="inlineStr">
        <is>
          <t>Sabalgarh</t>
        </is>
      </c>
      <c r="B9" s="25" t="n">
        <v>52604</v>
      </c>
      <c r="C9" s="25" t="n">
        <v>33665</v>
      </c>
      <c r="D9" s="25" t="n">
        <v>18939</v>
      </c>
      <c r="E9" s="25" t="n">
        <v>2115</v>
      </c>
      <c r="F9" s="25" t="n">
        <v>1183</v>
      </c>
      <c r="G9" s="25" t="n">
        <v>932</v>
      </c>
      <c r="H9" s="25" t="n">
        <v>2082</v>
      </c>
      <c r="I9" s="25" t="n">
        <v>1067</v>
      </c>
      <c r="J9" s="25" t="n">
        <v>1015</v>
      </c>
      <c r="K9" s="25" t="n">
        <v>3318</v>
      </c>
      <c r="L9" s="25" t="n">
        <v>1831</v>
      </c>
      <c r="M9" s="25" t="n">
        <v>1487</v>
      </c>
      <c r="N9" s="25" t="n">
        <v>2638</v>
      </c>
      <c r="O9" s="25" t="n">
        <v>1443</v>
      </c>
      <c r="P9" s="25" t="n">
        <v>1195</v>
      </c>
      <c r="Q9" s="25" t="n">
        <v>3227</v>
      </c>
      <c r="R9" s="25" t="n">
        <v>1516</v>
      </c>
      <c r="S9" s="25" t="n">
        <v>1711</v>
      </c>
      <c r="T9" s="25" t="n">
        <v>13380</v>
      </c>
      <c r="U9" s="25" t="n">
        <v>7040</v>
      </c>
      <c r="V9" s="25" t="n">
        <v>6340</v>
      </c>
      <c r="W9" s="25" t="n">
        <v>18422</v>
      </c>
      <c r="X9" s="25" t="n">
        <v>8340</v>
      </c>
      <c r="Y9" s="25" t="n">
        <v>10082</v>
      </c>
      <c r="Z9" s="25" t="n">
        <v>8087</v>
      </c>
      <c r="AA9" s="25" t="n">
        <v>6323</v>
      </c>
      <c r="AB9" s="25" t="n">
        <v>1764</v>
      </c>
      <c r="AC9" s="26">
        <f>IF(B9=C9+D9,"✓","✗")</f>
        <v/>
      </c>
    </row>
    <row r="10">
      <c r="A10" s="21" t="inlineStr">
        <is>
          <t>Tawarghar</t>
        </is>
      </c>
      <c r="B10" s="22" t="n">
        <v>69081</v>
      </c>
      <c r="C10" s="22" t="n">
        <v>47313</v>
      </c>
      <c r="D10" s="22" t="n">
        <v>21768</v>
      </c>
      <c r="E10" s="22" t="n">
        <v>2690</v>
      </c>
      <c r="F10" s="22" t="n">
        <v>1576</v>
      </c>
      <c r="G10" s="22" t="n">
        <v>1114</v>
      </c>
      <c r="H10" s="22" t="n">
        <v>4968</v>
      </c>
      <c r="I10" s="22" t="n">
        <v>2561</v>
      </c>
      <c r="J10" s="22" t="n">
        <v>2407</v>
      </c>
      <c r="K10" s="22" t="n">
        <v>4455</v>
      </c>
      <c r="L10" s="22" t="n">
        <v>2176</v>
      </c>
      <c r="M10" s="22" t="n">
        <v>2279</v>
      </c>
      <c r="N10" s="22" t="n">
        <v>3442</v>
      </c>
      <c r="O10" s="22" t="n">
        <v>1751</v>
      </c>
      <c r="P10" s="22" t="n">
        <v>1691</v>
      </c>
      <c r="Q10" s="22" t="n">
        <v>4364</v>
      </c>
      <c r="R10" s="22" t="n">
        <v>2434</v>
      </c>
      <c r="S10" s="22" t="n">
        <v>1930</v>
      </c>
      <c r="T10" s="22" t="n">
        <v>19919</v>
      </c>
      <c r="U10" s="22" t="n">
        <v>10498</v>
      </c>
      <c r="V10" s="22" t="n">
        <v>9421</v>
      </c>
      <c r="W10" s="22" t="n">
        <v>21159</v>
      </c>
      <c r="X10" s="22" t="n">
        <v>12088</v>
      </c>
      <c r="Y10" s="22" t="n">
        <v>9071</v>
      </c>
      <c r="Z10" s="22" t="n">
        <v>13237</v>
      </c>
      <c r="AA10" s="22" t="n">
        <v>10734</v>
      </c>
      <c r="AB10" s="22" t="n">
        <v>2503</v>
      </c>
      <c r="AC10" s="23">
        <f>IF(B10=C10+D10,"✓","✗")</f>
        <v/>
      </c>
    </row>
    <row r="11">
      <c r="A11" s="24" t="inlineStr">
        <is>
          <t>Bhind</t>
        </is>
      </c>
      <c r="B11" s="25" t="n">
        <v>89182</v>
      </c>
      <c r="C11" s="25" t="n">
        <v>60249</v>
      </c>
      <c r="D11" s="25" t="n">
        <v>28933</v>
      </c>
      <c r="E11" s="25" t="n">
        <v>4947</v>
      </c>
      <c r="F11" s="25" t="n">
        <v>3145</v>
      </c>
      <c r="G11" s="25" t="n">
        <v>1802</v>
      </c>
      <c r="H11" s="25" t="n">
        <v>4717</v>
      </c>
      <c r="I11" s="25" t="n">
        <v>2807</v>
      </c>
      <c r="J11" s="25" t="n">
        <v>1910</v>
      </c>
      <c r="K11" s="25" t="n">
        <v>5233</v>
      </c>
      <c r="L11" s="25" t="n">
        <v>3156</v>
      </c>
      <c r="M11" s="25" t="n">
        <v>2077</v>
      </c>
      <c r="N11" s="25" t="n">
        <v>5233</v>
      </c>
      <c r="O11" s="25" t="n">
        <v>2893</v>
      </c>
      <c r="P11" s="25" t="n">
        <v>2340</v>
      </c>
      <c r="Q11" s="25" t="n">
        <v>5777</v>
      </c>
      <c r="R11" s="25" t="n">
        <v>2562</v>
      </c>
      <c r="S11" s="25" t="n">
        <v>3215</v>
      </c>
      <c r="T11" s="25" t="n">
        <v>25907</v>
      </c>
      <c r="U11" s="25" t="n">
        <v>14563</v>
      </c>
      <c r="V11" s="25" t="n">
        <v>11344</v>
      </c>
      <c r="W11" s="25" t="n">
        <v>28197</v>
      </c>
      <c r="X11" s="25" t="n">
        <v>15323</v>
      </c>
      <c r="Y11" s="25" t="n">
        <v>12874</v>
      </c>
      <c r="Z11" s="25" t="n">
        <v>11593</v>
      </c>
      <c r="AA11" s="25" t="n">
        <v>9010</v>
      </c>
      <c r="AB11" s="25" t="n">
        <v>2583</v>
      </c>
      <c r="AC11" s="26">
        <f>IF(B11=C11+D11,"✓","✗")</f>
        <v/>
      </c>
    </row>
    <row r="12">
      <c r="A12" s="21" t="inlineStr">
        <is>
          <t>Bhander</t>
        </is>
      </c>
      <c r="B12" s="22" t="n">
        <v>62207</v>
      </c>
      <c r="C12" s="22" t="n">
        <v>40505</v>
      </c>
      <c r="D12" s="22" t="n">
        <v>21702</v>
      </c>
      <c r="E12" s="22" t="n">
        <v>3319</v>
      </c>
      <c r="F12" s="22" t="n">
        <v>1762</v>
      </c>
      <c r="G12" s="22" t="n">
        <v>1557</v>
      </c>
      <c r="H12" s="22" t="n">
        <v>4018</v>
      </c>
      <c r="I12" s="22" t="n">
        <v>2096</v>
      </c>
      <c r="J12" s="22" t="n">
        <v>1922</v>
      </c>
      <c r="K12" s="22" t="n">
        <v>3391</v>
      </c>
      <c r="L12" s="22" t="n">
        <v>1285</v>
      </c>
      <c r="M12" s="22" t="n">
        <v>2106</v>
      </c>
      <c r="N12" s="22" t="n">
        <v>3541</v>
      </c>
      <c r="O12" s="22" t="n">
        <v>1808</v>
      </c>
      <c r="P12" s="22" t="n">
        <v>1733</v>
      </c>
      <c r="Q12" s="22" t="n">
        <v>3901</v>
      </c>
      <c r="R12" s="22" t="n">
        <v>1971</v>
      </c>
      <c r="S12" s="22" t="n">
        <v>1930</v>
      </c>
      <c r="T12" s="22" t="n">
        <v>18170</v>
      </c>
      <c r="U12" s="22" t="n">
        <v>8922</v>
      </c>
      <c r="V12" s="22" t="n">
        <v>9248</v>
      </c>
      <c r="W12" s="22" t="n">
        <v>18950</v>
      </c>
      <c r="X12" s="22" t="n">
        <v>10284</v>
      </c>
      <c r="Y12" s="22" t="n">
        <v>8666</v>
      </c>
      <c r="Z12" s="22" t="n">
        <v>11361</v>
      </c>
      <c r="AA12" s="22" t="n">
        <v>8426</v>
      </c>
      <c r="AB12" s="22" t="n">
        <v>2935</v>
      </c>
      <c r="AC12" s="23">
        <f>IF(B12=C12+D12,"✓","✗")</f>
        <v/>
      </c>
    </row>
    <row r="13">
      <c r="A13" s="24" t="inlineStr">
        <is>
          <t>Isagarh Prant-Isagarh</t>
        </is>
      </c>
      <c r="B13" s="25" t="n">
        <v>68020</v>
      </c>
      <c r="C13" s="25" t="n">
        <v>37735</v>
      </c>
      <c r="D13" s="25" t="n">
        <v>30285</v>
      </c>
      <c r="E13" s="25" t="n">
        <v>2347</v>
      </c>
      <c r="F13" s="25" t="n">
        <v>1402</v>
      </c>
      <c r="G13" s="25" t="n">
        <v>945</v>
      </c>
      <c r="H13" s="25" t="n">
        <v>2797</v>
      </c>
      <c r="I13" s="25" t="n">
        <v>2314</v>
      </c>
      <c r="J13" s="25" t="n">
        <v>483</v>
      </c>
      <c r="K13" s="25" t="n">
        <v>3519</v>
      </c>
      <c r="L13" s="25" t="n">
        <v>2473</v>
      </c>
      <c r="M13" s="25" t="n">
        <v>1046</v>
      </c>
      <c r="N13" s="25" t="n">
        <v>2143</v>
      </c>
      <c r="O13" s="25" t="n">
        <v>1593</v>
      </c>
      <c r="P13" s="25" t="n">
        <v>550</v>
      </c>
      <c r="Q13" s="25" t="n">
        <v>2167</v>
      </c>
      <c r="R13" s="25" t="n">
        <v>1725</v>
      </c>
      <c r="S13" s="25" t="n">
        <v>442</v>
      </c>
      <c r="T13" s="25" t="n">
        <v>12973</v>
      </c>
      <c r="U13" s="25" t="n">
        <v>9507</v>
      </c>
      <c r="V13" s="25" t="n">
        <v>3466</v>
      </c>
      <c r="W13" s="25" t="n">
        <v>10963</v>
      </c>
      <c r="X13" s="25" t="n">
        <v>9829</v>
      </c>
      <c r="Y13" s="25" t="n">
        <v>1134</v>
      </c>
      <c r="Z13" s="25" t="n">
        <v>10065</v>
      </c>
      <c r="AA13" s="25" t="n">
        <v>9109</v>
      </c>
      <c r="AB13" s="25" t="n">
        <v>956</v>
      </c>
      <c r="AC13" s="26">
        <f>IF(B13=C13+D13,"✓","✗")</f>
        <v/>
      </c>
    </row>
    <row r="14">
      <c r="A14" s="21" t="inlineStr">
        <is>
          <t>Pichhor</t>
        </is>
      </c>
      <c r="B14" s="22" t="n">
        <v>102964</v>
      </c>
      <c r="C14" s="22" t="n">
        <v>61213</v>
      </c>
      <c r="D14" s="22" t="n">
        <v>41751</v>
      </c>
      <c r="E14" s="22" t="n">
        <v>2722</v>
      </c>
      <c r="F14" s="22" t="n">
        <v>2339</v>
      </c>
      <c r="G14" s="22" t="n">
        <v>383</v>
      </c>
      <c r="H14" s="22" t="n">
        <v>2645</v>
      </c>
      <c r="I14" s="22" t="n">
        <v>1748</v>
      </c>
      <c r="J14" s="22" t="n">
        <v>897</v>
      </c>
      <c r="K14" s="22" t="n">
        <v>3955</v>
      </c>
      <c r="L14" s="22" t="n">
        <v>2756</v>
      </c>
      <c r="M14" s="22" t="n">
        <v>1199</v>
      </c>
      <c r="N14" s="22" t="n">
        <v>1899</v>
      </c>
      <c r="O14" s="22" t="n">
        <v>1374</v>
      </c>
      <c r="P14" s="22" t="n">
        <v>525</v>
      </c>
      <c r="Q14" s="22" t="n">
        <v>2961</v>
      </c>
      <c r="R14" s="22" t="n">
        <v>2502</v>
      </c>
      <c r="S14" s="22" t="n">
        <v>459</v>
      </c>
      <c r="T14" s="22" t="n">
        <v>14182</v>
      </c>
      <c r="U14" s="22" t="n">
        <v>10719</v>
      </c>
      <c r="V14" s="22" t="n">
        <v>3463</v>
      </c>
      <c r="W14" s="22" t="n">
        <v>16333</v>
      </c>
      <c r="X14" s="22" t="n">
        <v>13771</v>
      </c>
      <c r="Y14" s="22" t="n">
        <v>2562</v>
      </c>
      <c r="Z14" s="22" t="n">
        <v>14739</v>
      </c>
      <c r="AA14" s="22" t="n">
        <v>12959</v>
      </c>
      <c r="AB14" s="22" t="n">
        <v>1780</v>
      </c>
      <c r="AC14" s="23">
        <f>IF(B14=C14+D14,"✓","✗")</f>
        <v/>
      </c>
    </row>
    <row r="15">
      <c r="A15" s="24" t="inlineStr">
        <is>
          <t>Bajrangarh</t>
        </is>
      </c>
      <c r="B15" s="25" t="n">
        <v>45065</v>
      </c>
      <c r="C15" s="25" t="n">
        <v>29641</v>
      </c>
      <c r="D15" s="25" t="n">
        <v>15424</v>
      </c>
      <c r="E15" s="25" t="n">
        <v>1595</v>
      </c>
      <c r="F15" s="25" t="n">
        <v>806</v>
      </c>
      <c r="G15" s="25" t="n">
        <v>789</v>
      </c>
      <c r="H15" s="25" t="n">
        <v>2521</v>
      </c>
      <c r="I15" s="25" t="n">
        <v>1351</v>
      </c>
      <c r="J15" s="25" t="n">
        <v>1170</v>
      </c>
      <c r="K15" s="25" t="n">
        <v>2765</v>
      </c>
      <c r="L15" s="25" t="n">
        <v>1562</v>
      </c>
      <c r="M15" s="25" t="n">
        <v>1203</v>
      </c>
      <c r="N15" s="25" t="n">
        <v>2357</v>
      </c>
      <c r="O15" s="25" t="n">
        <v>1312</v>
      </c>
      <c r="P15" s="25" t="n">
        <v>1045</v>
      </c>
      <c r="Q15" s="25" t="n">
        <v>2465</v>
      </c>
      <c r="R15" s="25" t="n">
        <v>1298</v>
      </c>
      <c r="S15" s="25" t="n">
        <v>1167</v>
      </c>
      <c r="T15" s="25" t="n">
        <v>11703</v>
      </c>
      <c r="U15" s="25" t="n">
        <v>6329</v>
      </c>
      <c r="V15" s="25" t="n">
        <v>5374</v>
      </c>
      <c r="W15" s="25" t="n">
        <v>14419</v>
      </c>
      <c r="X15" s="25" t="n">
        <v>8519</v>
      </c>
      <c r="Y15" s="25" t="n">
        <v>5900</v>
      </c>
      <c r="Z15" s="25" t="n">
        <v>9828</v>
      </c>
      <c r="AA15" s="25" t="n">
        <v>7009</v>
      </c>
      <c r="AB15" s="25" t="n">
        <v>2819</v>
      </c>
      <c r="AC15" s="26">
        <f>IF(B15=C15+D15,"✓","✗")</f>
        <v/>
      </c>
    </row>
    <row r="16">
      <c r="A16" s="21" t="inlineStr">
        <is>
          <t>Bhilsa</t>
        </is>
      </c>
      <c r="B16" s="22" t="n">
        <v>46076</v>
      </c>
      <c r="C16" s="22" t="n">
        <v>28132</v>
      </c>
      <c r="D16" s="22" t="n">
        <v>17944</v>
      </c>
      <c r="E16" s="22" t="n">
        <v>1809</v>
      </c>
      <c r="F16" s="22" t="n">
        <v>1011</v>
      </c>
      <c r="G16" s="22" t="n">
        <v>798</v>
      </c>
      <c r="H16" s="22" t="n">
        <v>2402</v>
      </c>
      <c r="I16" s="22" t="n">
        <v>1177</v>
      </c>
      <c r="J16" s="22" t="n">
        <v>1225</v>
      </c>
      <c r="K16" s="22" t="n">
        <v>2961</v>
      </c>
      <c r="L16" s="22" t="n">
        <v>1541</v>
      </c>
      <c r="M16" s="22" t="n">
        <v>1420</v>
      </c>
      <c r="N16" s="22" t="n">
        <v>2543</v>
      </c>
      <c r="O16" s="22" t="n">
        <v>1341</v>
      </c>
      <c r="P16" s="22" t="n">
        <v>1202</v>
      </c>
      <c r="Q16" s="22" t="n">
        <v>2525</v>
      </c>
      <c r="R16" s="22" t="n">
        <v>1174</v>
      </c>
      <c r="S16" s="22" t="n">
        <v>1351</v>
      </c>
      <c r="T16" s="22" t="n">
        <v>12240</v>
      </c>
      <c r="U16" s="22" t="n">
        <v>6244</v>
      </c>
      <c r="V16" s="22" t="n">
        <v>5996</v>
      </c>
      <c r="W16" s="22" t="n">
        <v>14323</v>
      </c>
      <c r="X16" s="22" t="n">
        <v>7231</v>
      </c>
      <c r="Y16" s="22" t="n">
        <v>7092</v>
      </c>
      <c r="Z16" s="22" t="n">
        <v>10384</v>
      </c>
      <c r="AA16" s="22" t="n">
        <v>6880</v>
      </c>
      <c r="AB16" s="22" t="n">
        <v>3504</v>
      </c>
      <c r="AC16" s="23">
        <f>IF(B16=C16+D16,"✓","✗")</f>
        <v/>
      </c>
    </row>
    <row r="17">
      <c r="A17" s="24" t="inlineStr">
        <is>
          <t>Narwar</t>
        </is>
      </c>
      <c r="B17" s="25" t="n">
        <v>67908</v>
      </c>
      <c r="C17" s="25" t="n">
        <v>37461</v>
      </c>
      <c r="D17" s="25" t="n">
        <v>30447</v>
      </c>
      <c r="E17" s="25" t="n">
        <v>2044</v>
      </c>
      <c r="F17" s="25" t="n">
        <v>1463</v>
      </c>
      <c r="G17" s="25" t="n">
        <v>581</v>
      </c>
      <c r="H17" s="25" t="n">
        <v>2371</v>
      </c>
      <c r="I17" s="25" t="n">
        <v>1669</v>
      </c>
      <c r="J17" s="25" t="n">
        <v>702</v>
      </c>
      <c r="K17" s="25" t="n">
        <v>1976</v>
      </c>
      <c r="L17" s="25" t="n">
        <v>851</v>
      </c>
      <c r="M17" s="25" t="n">
        <v>1125</v>
      </c>
      <c r="N17" s="25" t="n">
        <v>1891</v>
      </c>
      <c r="O17" s="25" t="n">
        <v>890</v>
      </c>
      <c r="P17" s="25" t="n">
        <v>1001</v>
      </c>
      <c r="Q17" s="25" t="n">
        <v>3380</v>
      </c>
      <c r="R17" s="25" t="n">
        <v>1948</v>
      </c>
      <c r="S17" s="25" t="n">
        <v>1432</v>
      </c>
      <c r="T17" s="25" t="n">
        <v>11632</v>
      </c>
      <c r="U17" s="25" t="n">
        <v>6791</v>
      </c>
      <c r="V17" s="25" t="n">
        <v>4841</v>
      </c>
      <c r="W17" s="25" t="n">
        <v>14566</v>
      </c>
      <c r="X17" s="25" t="n">
        <v>10773</v>
      </c>
      <c r="Y17" s="25" t="n">
        <v>3793</v>
      </c>
      <c r="Z17" s="25" t="n">
        <v>11280</v>
      </c>
      <c r="AA17" s="25" t="n">
        <v>9466</v>
      </c>
      <c r="AB17" s="25" t="n">
        <v>1814</v>
      </c>
      <c r="AC17" s="26">
        <f>IF(B17=C17+D17,"✓","✗")</f>
        <v/>
      </c>
    </row>
    <row r="18">
      <c r="A18" s="21" t="inlineStr">
        <is>
          <t>Sheopur</t>
        </is>
      </c>
      <c r="B18" s="22" t="n">
        <v>35558</v>
      </c>
      <c r="C18" s="22" t="n">
        <v>24075</v>
      </c>
      <c r="D18" s="22" t="n">
        <v>11483</v>
      </c>
      <c r="E18" s="22" t="n">
        <v>1495</v>
      </c>
      <c r="F18" s="22" t="n">
        <v>849</v>
      </c>
      <c r="G18" s="22" t="n">
        <v>646</v>
      </c>
      <c r="H18" s="22" t="n">
        <v>946</v>
      </c>
      <c r="I18" s="22" t="n">
        <v>620</v>
      </c>
      <c r="J18" s="22" t="n">
        <v>326</v>
      </c>
      <c r="K18" s="22" t="n">
        <v>1683</v>
      </c>
      <c r="L18" s="22" t="n">
        <v>1018</v>
      </c>
      <c r="M18" s="22" t="n">
        <v>665</v>
      </c>
      <c r="N18" s="22" t="n">
        <v>1899</v>
      </c>
      <c r="O18" s="22" t="n">
        <v>966</v>
      </c>
      <c r="P18" s="22" t="n">
        <v>933</v>
      </c>
      <c r="Q18" s="22" t="n">
        <v>2100</v>
      </c>
      <c r="R18" s="22" t="n">
        <v>1174</v>
      </c>
      <c r="S18" s="22" t="n">
        <v>926</v>
      </c>
      <c r="T18" s="22" t="n">
        <v>8153</v>
      </c>
      <c r="U18" s="22" t="n">
        <v>4657</v>
      </c>
      <c r="V18" s="22" t="n">
        <v>3496</v>
      </c>
      <c r="W18" s="22" t="n">
        <v>9578</v>
      </c>
      <c r="X18" s="22" t="n">
        <v>6384</v>
      </c>
      <c r="Y18" s="22" t="n">
        <v>3194</v>
      </c>
      <c r="Z18" s="22" t="n">
        <v>8270</v>
      </c>
      <c r="AA18" s="22" t="n">
        <v>5653</v>
      </c>
      <c r="AB18" s="22" t="n">
        <v>2617</v>
      </c>
      <c r="AC18" s="23">
        <f>IF(B18=C18+D18,"✓","✗")</f>
        <v/>
      </c>
    </row>
    <row r="19">
      <c r="A19" s="24" t="inlineStr">
        <is>
          <t>Malwa Prant-Nimach</t>
        </is>
      </c>
      <c r="B19" s="25" t="n">
        <v>32183</v>
      </c>
      <c r="C19" s="25" t="n">
        <v>20746</v>
      </c>
      <c r="D19" s="25" t="n">
        <v>11437</v>
      </c>
      <c r="E19" s="25" t="n">
        <v>1141</v>
      </c>
      <c r="F19" s="25" t="n">
        <v>897</v>
      </c>
      <c r="G19" s="25" t="n">
        <v>244</v>
      </c>
      <c r="H19" s="25" t="n">
        <v>1316</v>
      </c>
      <c r="I19" s="25" t="n">
        <v>992</v>
      </c>
      <c r="J19" s="25" t="n">
        <v>324</v>
      </c>
      <c r="K19" s="25" t="n">
        <v>1709</v>
      </c>
      <c r="L19" s="25" t="n">
        <v>1183</v>
      </c>
      <c r="M19" s="25" t="n">
        <v>526</v>
      </c>
      <c r="N19" s="25" t="n">
        <v>1804</v>
      </c>
      <c r="O19" s="25" t="n">
        <v>1142</v>
      </c>
      <c r="P19" s="25" t="n">
        <v>662</v>
      </c>
      <c r="Q19" s="25" t="n">
        <v>1812</v>
      </c>
      <c r="R19" s="25" t="n">
        <v>1086</v>
      </c>
      <c r="S19" s="25" t="n">
        <v>726</v>
      </c>
      <c r="T19" s="25" t="n">
        <v>7782</v>
      </c>
      <c r="U19" s="25" t="n">
        <v>5300</v>
      </c>
      <c r="V19" s="25" t="n">
        <v>2482</v>
      </c>
      <c r="W19" s="25" t="n">
        <v>9581</v>
      </c>
      <c r="X19" s="25" t="n">
        <v>4737</v>
      </c>
      <c r="Y19" s="25" t="n">
        <v>4844</v>
      </c>
      <c r="Z19" s="25" t="n">
        <v>7488</v>
      </c>
      <c r="AA19" s="25" t="n">
        <v>4476</v>
      </c>
      <c r="AB19" s="25" t="n">
        <v>3012</v>
      </c>
      <c r="AC19" s="26">
        <f>IF(B19=C19+D19,"✓","✗")</f>
        <v/>
      </c>
    </row>
    <row r="20">
      <c r="A20" s="21" t="inlineStr">
        <is>
          <t>Ujjain</t>
        </is>
      </c>
      <c r="B20" s="22" t="n">
        <v>70615</v>
      </c>
      <c r="C20" s="22" t="n">
        <v>44820</v>
      </c>
      <c r="D20" s="22" t="n">
        <v>25795</v>
      </c>
      <c r="E20" s="22" t="n">
        <v>2877</v>
      </c>
      <c r="F20" s="22" t="n">
        <v>1471</v>
      </c>
      <c r="G20" s="22" t="n">
        <v>1406</v>
      </c>
      <c r="H20" s="22" t="n">
        <v>2831</v>
      </c>
      <c r="I20" s="22" t="n">
        <v>1326</v>
      </c>
      <c r="J20" s="22" t="n">
        <v>1505</v>
      </c>
      <c r="K20" s="22" t="n">
        <v>3589</v>
      </c>
      <c r="L20" s="22" t="n">
        <v>1753</v>
      </c>
      <c r="M20" s="22" t="n">
        <v>1836</v>
      </c>
      <c r="N20" s="22" t="n">
        <v>3802</v>
      </c>
      <c r="O20" s="22" t="n">
        <v>1818</v>
      </c>
      <c r="P20" s="22" t="n">
        <v>1984</v>
      </c>
      <c r="Q20" s="22" t="n">
        <v>4048</v>
      </c>
      <c r="R20" s="22" t="n">
        <v>2136</v>
      </c>
      <c r="S20" s="22" t="n">
        <v>1912</v>
      </c>
      <c r="T20" s="22" t="n">
        <v>17147</v>
      </c>
      <c r="U20" s="22" t="n">
        <v>8504</v>
      </c>
      <c r="V20" s="22" t="n">
        <v>8643</v>
      </c>
      <c r="W20" s="22" t="n">
        <v>22378</v>
      </c>
      <c r="X20" s="22" t="n">
        <v>11824</v>
      </c>
      <c r="Y20" s="22" t="n">
        <v>10554</v>
      </c>
      <c r="Z20" s="22" t="n">
        <v>14616</v>
      </c>
      <c r="AA20" s="22" t="n">
        <v>10192</v>
      </c>
      <c r="AB20" s="22" t="n">
        <v>4424</v>
      </c>
      <c r="AC20" s="23">
        <f>IF(B20=C20+D20,"✓","✗")</f>
        <v/>
      </c>
    </row>
    <row r="21">
      <c r="A21" s="24" t="inlineStr">
        <is>
          <t>Mandsaur</t>
        </is>
      </c>
      <c r="B21" s="25" t="n">
        <v>32183</v>
      </c>
      <c r="C21" s="25" t="n">
        <v>21957</v>
      </c>
      <c r="D21" s="25" t="n">
        <v>10226</v>
      </c>
      <c r="E21" s="25" t="n">
        <v>992</v>
      </c>
      <c r="F21" s="25" t="n">
        <v>507</v>
      </c>
      <c r="G21" s="25" t="n">
        <v>485</v>
      </c>
      <c r="H21" s="25" t="n">
        <v>1074</v>
      </c>
      <c r="I21" s="25" t="n">
        <v>517</v>
      </c>
      <c r="J21" s="25" t="n">
        <v>557</v>
      </c>
      <c r="K21" s="25" t="n">
        <v>1607</v>
      </c>
      <c r="L21" s="25" t="n">
        <v>854</v>
      </c>
      <c r="M21" s="25" t="n">
        <v>753</v>
      </c>
      <c r="N21" s="25" t="n">
        <v>1601</v>
      </c>
      <c r="O21" s="25" t="n">
        <v>795</v>
      </c>
      <c r="P21" s="25" t="n">
        <v>806</v>
      </c>
      <c r="Q21" s="25" t="n">
        <v>1951</v>
      </c>
      <c r="R21" s="25" t="n">
        <v>988</v>
      </c>
      <c r="S21" s="25" t="n">
        <v>963</v>
      </c>
      <c r="T21" s="25" t="n">
        <v>7225</v>
      </c>
      <c r="U21" s="25" t="n">
        <v>3661</v>
      </c>
      <c r="V21" s="25" t="n">
        <v>3564</v>
      </c>
      <c r="W21" s="25" t="n">
        <v>8660</v>
      </c>
      <c r="X21" s="25" t="n">
        <v>5638</v>
      </c>
      <c r="Y21" s="25" t="n">
        <v>3022</v>
      </c>
      <c r="Z21" s="25" t="n">
        <v>7805</v>
      </c>
      <c r="AA21" s="25" t="n">
        <v>5195</v>
      </c>
      <c r="AB21" s="25" t="n">
        <v>2610</v>
      </c>
      <c r="AC21" s="26">
        <f>IF(B21=C21+D21,"✓","✗")</f>
        <v/>
      </c>
    </row>
    <row r="22">
      <c r="A22" s="21" t="inlineStr">
        <is>
          <t>Agar</t>
        </is>
      </c>
      <c r="B22" s="22" t="n">
        <v>85782</v>
      </c>
      <c r="C22" s="22" t="n">
        <v>53199</v>
      </c>
      <c r="D22" s="22" t="n">
        <v>32583</v>
      </c>
      <c r="E22" s="22" t="n">
        <v>3514</v>
      </c>
      <c r="F22" s="22" t="n">
        <v>1804</v>
      </c>
      <c r="G22" s="22" t="n">
        <v>1710</v>
      </c>
      <c r="H22" s="22" t="n">
        <v>3162</v>
      </c>
      <c r="I22" s="22" t="n">
        <v>1657</v>
      </c>
      <c r="J22" s="22" t="n">
        <v>1505</v>
      </c>
      <c r="K22" s="22" t="n">
        <v>4506</v>
      </c>
      <c r="L22" s="22" t="n">
        <v>2166</v>
      </c>
      <c r="M22" s="22" t="n">
        <v>2340</v>
      </c>
      <c r="N22" s="22" t="n">
        <v>4332</v>
      </c>
      <c r="O22" s="22" t="n">
        <v>2090</v>
      </c>
      <c r="P22" s="22" t="n">
        <v>2242</v>
      </c>
      <c r="Q22" s="22" t="n">
        <v>4936</v>
      </c>
      <c r="R22" s="22" t="n">
        <v>2482</v>
      </c>
      <c r="S22" s="22" t="n">
        <v>2454</v>
      </c>
      <c r="T22" s="22" t="n">
        <v>20450</v>
      </c>
      <c r="U22" s="22" t="n">
        <v>10199</v>
      </c>
      <c r="V22" s="22" t="n">
        <v>10251</v>
      </c>
      <c r="W22" s="22" t="n">
        <v>28091</v>
      </c>
      <c r="X22" s="22" t="n">
        <v>13939</v>
      </c>
      <c r="Y22" s="22" t="n">
        <v>14152</v>
      </c>
      <c r="Z22" s="22" t="n">
        <v>18473</v>
      </c>
      <c r="AA22" s="22" t="n">
        <v>12764</v>
      </c>
      <c r="AB22" s="22" t="n">
        <v>5709</v>
      </c>
      <c r="AC22" s="23">
        <f>IF(B22=C22+D22,"✓","✗")</f>
        <v/>
      </c>
    </row>
    <row r="23">
      <c r="A23" s="24" t="inlineStr">
        <is>
          <t>Shajapur</t>
        </is>
      </c>
      <c r="B23" s="25" t="n">
        <v>48873</v>
      </c>
      <c r="C23" s="25" t="n">
        <v>31412</v>
      </c>
      <c r="D23" s="25" t="n">
        <v>17461</v>
      </c>
      <c r="E23" s="25" t="n">
        <v>1107</v>
      </c>
      <c r="F23" s="25" t="n">
        <v>529</v>
      </c>
      <c r="G23" s="25" t="n">
        <v>578</v>
      </c>
      <c r="H23" s="25" t="n">
        <v>1587</v>
      </c>
      <c r="I23" s="25" t="n">
        <v>742</v>
      </c>
      <c r="J23" s="25" t="n">
        <v>845</v>
      </c>
      <c r="K23" s="25" t="n">
        <v>2122</v>
      </c>
      <c r="L23" s="25" t="n">
        <v>1047</v>
      </c>
      <c r="M23" s="25" t="n">
        <v>1075</v>
      </c>
      <c r="N23" s="25" t="n">
        <v>2248</v>
      </c>
      <c r="O23" s="25" t="n">
        <v>1073</v>
      </c>
      <c r="P23" s="25" t="n">
        <v>1175</v>
      </c>
      <c r="Q23" s="25" t="n">
        <v>3361</v>
      </c>
      <c r="R23" s="25" t="n">
        <v>1392</v>
      </c>
      <c r="S23" s="25" t="n">
        <v>1969</v>
      </c>
      <c r="T23" s="25" t="n">
        <v>10425</v>
      </c>
      <c r="U23" s="25" t="n">
        <v>4783</v>
      </c>
      <c r="V23" s="25" t="n">
        <v>5642</v>
      </c>
      <c r="W23" s="25" t="n">
        <v>15053</v>
      </c>
      <c r="X23" s="25" t="n">
        <v>7978</v>
      </c>
      <c r="Y23" s="25" t="n">
        <v>7075</v>
      </c>
      <c r="Z23" s="25" t="n">
        <v>10643</v>
      </c>
      <c r="AA23" s="25" t="n">
        <v>7405</v>
      </c>
      <c r="AB23" s="25" t="n">
        <v>3238</v>
      </c>
      <c r="AC23" s="26">
        <f>IF(B23=C23+D23,"✓","✗")</f>
        <v/>
      </c>
    </row>
    <row r="24">
      <c r="A24" s="21" t="inlineStr">
        <is>
          <t>Amjhera</t>
        </is>
      </c>
      <c r="B24" s="22" t="n">
        <v>36030</v>
      </c>
      <c r="C24" s="22" t="n">
        <v>21122</v>
      </c>
      <c r="D24" s="22" t="n">
        <v>14908</v>
      </c>
      <c r="E24" s="22" t="n">
        <v>1481</v>
      </c>
      <c r="F24" s="22" t="n">
        <v>711</v>
      </c>
      <c r="G24" s="22" t="n">
        <v>770</v>
      </c>
      <c r="H24" s="22" t="n">
        <v>1574</v>
      </c>
      <c r="I24" s="22" t="n">
        <v>612</v>
      </c>
      <c r="J24" s="22" t="n">
        <v>962</v>
      </c>
      <c r="K24" s="22" t="n">
        <v>4492</v>
      </c>
      <c r="L24" s="22" t="n">
        <v>857</v>
      </c>
      <c r="M24" s="22" t="n">
        <v>3635</v>
      </c>
      <c r="N24" s="22" t="n">
        <v>2471</v>
      </c>
      <c r="O24" s="22" t="n">
        <v>1005</v>
      </c>
      <c r="P24" s="22" t="n">
        <v>1466</v>
      </c>
      <c r="Q24" s="22" t="n">
        <v>2389</v>
      </c>
      <c r="R24" s="22" t="n">
        <v>1182</v>
      </c>
      <c r="S24" s="22" t="n">
        <v>1207</v>
      </c>
      <c r="T24" s="22" t="n">
        <v>12407</v>
      </c>
      <c r="U24" s="22" t="n">
        <v>4367</v>
      </c>
      <c r="V24" s="22" t="n">
        <v>8040</v>
      </c>
      <c r="W24" s="22" t="n">
        <v>7688</v>
      </c>
      <c r="X24" s="22" t="n">
        <v>5285</v>
      </c>
      <c r="Y24" s="22" t="n">
        <v>2403</v>
      </c>
      <c r="Z24" s="22" t="n">
        <v>6539</v>
      </c>
      <c r="AA24" s="22" t="n">
        <v>4603</v>
      </c>
      <c r="AB24" s="22" t="n">
        <v>1936</v>
      </c>
      <c r="AC24" s="23">
        <f>IF(B24=C24+D24,"✓","✗")</f>
        <v/>
      </c>
    </row>
    <row r="25">
      <c r="A25" s="24" t="inlineStr">
        <is>
          <t>Total</t>
        </is>
      </c>
      <c r="B25" s="25" t="n">
        <v>1128185</v>
      </c>
      <c r="C25" s="25" t="n">
        <v>716288</v>
      </c>
      <c r="D25" s="25" t="n">
        <v>411897</v>
      </c>
      <c r="E25" s="25" t="n">
        <v>11112</v>
      </c>
      <c r="F25" s="25" t="n">
        <v>5919</v>
      </c>
      <c r="G25" s="25" t="n">
        <v>5193</v>
      </c>
      <c r="H25" s="25" t="n">
        <v>11544</v>
      </c>
      <c r="I25" s="25" t="n">
        <v>5846</v>
      </c>
      <c r="J25" s="25" t="n">
        <v>5698</v>
      </c>
      <c r="K25" s="25" t="n">
        <v>18025</v>
      </c>
      <c r="L25" s="25" t="n">
        <v>7860</v>
      </c>
      <c r="M25" s="25" t="n">
        <v>10165</v>
      </c>
      <c r="N25" s="25" t="n">
        <v>16258</v>
      </c>
      <c r="O25" s="25" t="n">
        <v>7923</v>
      </c>
      <c r="P25" s="25" t="n">
        <v>8335</v>
      </c>
      <c r="Q25" s="25" t="n">
        <v>18497</v>
      </c>
      <c r="R25" s="25" t="n">
        <v>9266</v>
      </c>
      <c r="S25" s="25" t="n">
        <v>9231</v>
      </c>
      <c r="T25" s="25" t="n">
        <v>75436</v>
      </c>
      <c r="U25" s="25" t="n">
        <v>36814</v>
      </c>
      <c r="V25" s="25" t="n">
        <v>38622</v>
      </c>
      <c r="W25" s="25" t="n">
        <v>91451</v>
      </c>
      <c r="X25" s="25" t="n">
        <v>49401</v>
      </c>
      <c r="Y25" s="25" t="n">
        <v>42050</v>
      </c>
      <c r="Z25" s="25" t="n">
        <v>65564</v>
      </c>
      <c r="AA25" s="25" t="n">
        <v>44635</v>
      </c>
      <c r="AB25" s="25" t="n">
        <v>20929</v>
      </c>
      <c r="AC25" s="26">
        <f>IF(B25=C25+D25,"✓","✗")</f>
        <v/>
      </c>
    </row>
    <row r="26">
      <c r="A26" s="21" t="inlineStr">
        <is>
          <t>Grand Total</t>
        </is>
      </c>
      <c r="B26" s="22" t="n">
        <v>1128185</v>
      </c>
      <c r="C26" s="22" t="n">
        <v>716288</v>
      </c>
      <c r="D26" s="22" t="n">
        <v>411897</v>
      </c>
      <c r="E26" s="22" t="n">
        <v>45960</v>
      </c>
      <c r="F26" s="22" t="n">
        <v>26935</v>
      </c>
      <c r="G26" s="22" t="n">
        <v>19025</v>
      </c>
      <c r="H26" s="22" t="n">
        <v>50769</v>
      </c>
      <c r="I26" s="22" t="n">
        <v>28513</v>
      </c>
      <c r="J26" s="22" t="n">
        <v>22256</v>
      </c>
      <c r="K26" s="22" t="n">
        <v>63057</v>
      </c>
      <c r="L26" s="22" t="n">
        <v>32618</v>
      </c>
      <c r="M26" s="22" t="n">
        <v>30439</v>
      </c>
      <c r="N26" s="22" t="n">
        <v>51760</v>
      </c>
      <c r="O26" s="22" t="n">
        <v>26655</v>
      </c>
      <c r="P26" s="22" t="n">
        <v>25105</v>
      </c>
      <c r="Q26" s="22" t="n">
        <v>61384</v>
      </c>
      <c r="R26" s="22" t="n">
        <v>32935</v>
      </c>
      <c r="S26" s="22" t="n">
        <v>28449</v>
      </c>
      <c r="T26" s="22" t="n">
        <v>272930</v>
      </c>
      <c r="U26" s="22" t="n">
        <v>147656</v>
      </c>
      <c r="V26" s="22" t="n">
        <v>125274</v>
      </c>
      <c r="W26" s="22" t="n">
        <v>312217</v>
      </c>
      <c r="X26" s="22" t="n">
        <v>182749</v>
      </c>
      <c r="Y26" s="22" t="n">
        <v>129468</v>
      </c>
      <c r="Z26" s="22" t="n">
        <v>211870</v>
      </c>
      <c r="AA26" s="22" t="n">
        <v>157311</v>
      </c>
      <c r="AB26" s="22" t="n">
        <v>54559</v>
      </c>
      <c r="AC26" s="23">
        <f>IF(B26=C26+D26,"✓","✗")</f>
        <v/>
      </c>
    </row>
    <row r="27">
      <c r="A27" s="27" t="inlineStr">
        <is>
          <t>Verify: Sum</t>
        </is>
      </c>
      <c r="B27" s="28">
        <f>IF(SUM(B6:B26)=B5,"✓",SUM(B6:B26)-B5)</f>
        <v/>
      </c>
      <c r="C27" s="28">
        <f>IF(SUM(C6:C26)=C5,"✓",SUM(C6:C26)-C5)</f>
        <v/>
      </c>
      <c r="D27" s="28">
        <f>IF(SUM(D6:D26)=D5,"✓",SUM(D6:D26)-D5)</f>
        <v/>
      </c>
      <c r="E27" s="28">
        <f>IF(SUM(E6:E26)=E5,"✓",SUM(E6:E26)-E5)</f>
        <v/>
      </c>
      <c r="F27" s="28">
        <f>IF(SUM(F6:F26)=F5,"✓",SUM(F6:F26)-F5)</f>
        <v/>
      </c>
      <c r="G27" s="28">
        <f>IF(SUM(G6:G26)=G5,"✓",SUM(G6:G26)-G5)</f>
        <v/>
      </c>
      <c r="H27" s="28">
        <f>IF(SUM(H6:H26)=H5,"✓",SUM(H6:H26)-H5)</f>
        <v/>
      </c>
      <c r="I27" s="28">
        <f>IF(SUM(I6:I26)=I5,"✓",SUM(I6:I26)-I5)</f>
        <v/>
      </c>
      <c r="J27" s="28">
        <f>IF(SUM(J6:J26)=J5,"✓",SUM(J6:J26)-J5)</f>
        <v/>
      </c>
      <c r="K27" s="28">
        <f>IF(SUM(K6:K26)=K5,"✓",SUM(K6:K26)-K5)</f>
        <v/>
      </c>
      <c r="L27" s="28">
        <f>IF(SUM(L6:L26)=L5,"✓",SUM(L6:L26)-L5)</f>
        <v/>
      </c>
      <c r="M27" s="28">
        <f>IF(SUM(M6:M26)=M5,"✓",SUM(M6:M26)-M5)</f>
        <v/>
      </c>
      <c r="N27" s="28">
        <f>IF(SUM(N6:N26)=N5,"✓",SUM(N6:N26)-N5)</f>
        <v/>
      </c>
      <c r="O27" s="28">
        <f>IF(SUM(O6:O26)=O5,"✓",SUM(O6:O26)-O5)</f>
        <v/>
      </c>
      <c r="P27" s="28">
        <f>IF(SUM(P6:P26)=P5,"✓",SUM(P6:P26)-P5)</f>
        <v/>
      </c>
      <c r="Q27" s="28">
        <f>IF(SUM(Q6:Q26)=Q5,"✓",SUM(Q6:Q26)-Q5)</f>
        <v/>
      </c>
      <c r="R27" s="28">
        <f>IF(SUM(R6:R26)=R5,"✓",SUM(R6:R26)-R5)</f>
        <v/>
      </c>
      <c r="S27" s="28">
        <f>IF(SUM(S6:S26)=S5,"✓",SUM(S6:S26)-S5)</f>
        <v/>
      </c>
      <c r="T27" s="28">
        <f>IF(SUM(T6:T26)=T5,"✓",SUM(T6:T26)-T5)</f>
        <v/>
      </c>
      <c r="U27" s="28">
        <f>IF(SUM(U6:U26)=U5,"✓",SUM(U6:U26)-U5)</f>
        <v/>
      </c>
      <c r="V27" s="28">
        <f>IF(SUM(V6:V26)=V5,"✓",SUM(V6:V26)-V5)</f>
        <v/>
      </c>
      <c r="W27" s="28">
        <f>IF(SUM(W6:W26)=W5,"✓",SUM(W6:W26)-W5)</f>
        <v/>
      </c>
      <c r="X27" s="28">
        <f>IF(SUM(X6:X26)=X5,"✓",SUM(X6:X26)-X5)</f>
        <v/>
      </c>
      <c r="Y27" s="28">
        <f>IF(SUM(Y6:Y26)=Y5,"✓",SUM(Y6:Y26)-Y5)</f>
        <v/>
      </c>
      <c r="Z27" s="28">
        <f>IF(SUM(Z6:Z26)=Z5,"✓",SUM(Z6:Z26)-Z5)</f>
        <v/>
      </c>
      <c r="AA27" s="28">
        <f>IF(SUM(AA6:AA26)=AA5,"✓",SUM(AA6:AA26)-AA5)</f>
        <v/>
      </c>
      <c r="AB27" s="28">
        <f>IF(SUM(AB6:AB26)=AB5,"✓",SUM(AB6:AB26)-AB5)</f>
        <v/>
      </c>
    </row>
  </sheetData>
  <mergeCells count="9">
    <mergeCell ref="B3:D3"/>
    <mergeCell ref="W3:Y3"/>
    <mergeCell ref="T3:V3"/>
    <mergeCell ref="E3:G3"/>
    <mergeCell ref="K3:M3"/>
    <mergeCell ref="H3:J3"/>
    <mergeCell ref="Z3:AB3"/>
    <mergeCell ref="N3:P3"/>
    <mergeCell ref="Q3:S3"/>
  </mergeCells>
  <conditionalFormatting sqref="AC5:AC27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2026-03-23T19:49:42Z</dcterms:created>
  <dcterms:modified xmlns:dcterms="http://purl.org/dc/terms/" xmlns:xsi="http://www.w3.org/2001/XMLSchema-instance" xsi:type="dcterms:W3CDTF">2026-03-23T19:49:42Z</dcterms:modified>
</cp:coreProperties>
</file>