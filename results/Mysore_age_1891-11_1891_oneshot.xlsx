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 PART A.—Concluded.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7" customWidth="1" min="20" max="20"/>
  </cols>
  <sheetData>
    <row r="1">
      <c r="A1" s="1" t="inlineStr">
        <is>
          <t>Mysore Districts and C. &amp; M. Station, Bangalore</t>
        </is>
      </c>
    </row>
    <row r="2">
      <c r="A2" s="2" t="inlineStr">
        <is>
          <t>Source: TABLE VIII. PART A.—Concluded. Civil Condition by Age—Periods. All Religions.</t>
        </is>
      </c>
    </row>
    <row r="3">
      <c r="A3" s="3" t="inlineStr">
        <is>
          <t>TABLE VIII. PART A.—Concluded. Civil Condition by Age—Periods. All Religions.</t>
        </is>
      </c>
    </row>
    <row r="4">
      <c r="A4" s="4" t="inlineStr">
        <is>
          <t>Age</t>
        </is>
      </c>
      <c r="B4" s="5" t="inlineStr">
        <is>
          <t>35-39</t>
        </is>
      </c>
      <c r="C4" s="6" t="n"/>
      <c r="D4" s="6" t="n"/>
      <c r="E4" s="7" t="inlineStr">
        <is>
          <t>40-44</t>
        </is>
      </c>
      <c r="F4" s="8" t="n"/>
      <c r="G4" s="8" t="n"/>
      <c r="H4" s="9" t="inlineStr">
        <is>
          <t>45-49</t>
        </is>
      </c>
      <c r="I4" s="10" t="n"/>
      <c r="J4" s="10" t="n"/>
      <c r="K4" s="11" t="inlineStr">
        <is>
          <t>50-59</t>
        </is>
      </c>
      <c r="L4" s="12" t="n"/>
      <c r="M4" s="12" t="n"/>
      <c r="N4" s="13" t="inlineStr">
        <is>
          <t>60 and over</t>
        </is>
      </c>
      <c r="O4" s="14" t="n"/>
      <c r="P4" s="14" t="n"/>
      <c r="Q4" s="5" t="inlineStr">
        <is>
          <t>Age not stated</t>
        </is>
      </c>
      <c r="R4" s="6" t="n"/>
      <c r="S4" s="6" t="n"/>
      <c r="T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M+F=P</t>
        </is>
      </c>
    </row>
    <row r="6">
      <c r="A6" s="18" t="inlineStr">
        <is>
          <t>Total</t>
        </is>
      </c>
      <c r="B6" s="19" t="n">
        <v>7</v>
      </c>
      <c r="C6" s="19" t="n">
        <v>5</v>
      </c>
      <c r="D6" s="19" t="n">
        <v>2</v>
      </c>
      <c r="E6" s="19" t="n">
        <v>15</v>
      </c>
      <c r="F6" s="19" t="n">
        <v>8</v>
      </c>
      <c r="G6" s="19" t="n">
        <v>7</v>
      </c>
      <c r="H6" s="19" t="n">
        <v>4</v>
      </c>
      <c r="I6" s="19" t="n">
        <v>0</v>
      </c>
      <c r="J6" s="19" t="n">
        <v>4</v>
      </c>
      <c r="K6" s="19" t="n">
        <v>3</v>
      </c>
      <c r="L6" s="19" t="n">
        <v>3</v>
      </c>
      <c r="M6" s="19" t="n">
        <v>0</v>
      </c>
      <c r="N6" s="19" t="n">
        <v>33</v>
      </c>
      <c r="O6" s="19" t="n">
        <v>15</v>
      </c>
      <c r="P6" s="19" t="n">
        <v>18</v>
      </c>
      <c r="Q6" s="19" t="n">
        <v>401</v>
      </c>
      <c r="R6" s="19" t="n">
        <v>138</v>
      </c>
      <c r="S6" s="19" t="n">
        <v>263</v>
      </c>
      <c r="T6" s="20">
        <f>IF(B6=C6+D6,"✓","✗")</f>
        <v/>
      </c>
    </row>
    <row r="7">
      <c r="A7" s="21" t="inlineStr">
        <is>
          <t>1 Bangalore</t>
        </is>
      </c>
      <c r="B7" s="22" t="n">
        <v>1</v>
      </c>
      <c r="C7" s="22" t="n">
        <v>1</v>
      </c>
      <c r="D7" s="22" t="n">
        <v>0</v>
      </c>
      <c r="E7" s="22" t="n">
        <v>3</v>
      </c>
      <c r="F7" s="22" t="n">
        <v>2</v>
      </c>
      <c r="G7" s="22" t="n">
        <v>1</v>
      </c>
      <c r="H7" s="22" t="n">
        <v>0</v>
      </c>
      <c r="I7" s="22" t="n">
        <v>0</v>
      </c>
      <c r="J7" s="22" t="n">
        <v>0</v>
      </c>
      <c r="K7" s="22" t="n">
        <v>1</v>
      </c>
      <c r="L7" s="22" t="n">
        <v>1</v>
      </c>
      <c r="M7" s="22" t="n">
        <v>0</v>
      </c>
      <c r="N7" s="22" t="n">
        <v>4</v>
      </c>
      <c r="O7" s="22" t="n">
        <v>2</v>
      </c>
      <c r="P7" s="22" t="n">
        <v>2</v>
      </c>
      <c r="Q7" s="22" t="n">
        <v>63</v>
      </c>
      <c r="R7" s="22" t="n">
        <v>31</v>
      </c>
      <c r="S7" s="22" t="n">
        <v>32</v>
      </c>
      <c r="T7" s="23">
        <f>IF(B7=C7+D7,"✓","✗")</f>
        <v/>
      </c>
    </row>
    <row r="8">
      <c r="A8" s="24" t="inlineStr">
        <is>
          <t>2 Kolar</t>
        </is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5" t="n">
        <v>0</v>
      </c>
      <c r="R8" s="25" t="n">
        <v>0</v>
      </c>
      <c r="S8" s="25" t="n">
        <v>0</v>
      </c>
      <c r="T8" s="26">
        <f>IF(B8=C8+D8,"✓","✗")</f>
        <v/>
      </c>
    </row>
    <row r="9">
      <c r="A9" s="21" t="inlineStr">
        <is>
          <t>3 Tumkur</t>
        </is>
      </c>
      <c r="B9" s="22" t="n">
        <v>0</v>
      </c>
      <c r="C9" s="22" t="n">
        <v>0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1</v>
      </c>
      <c r="O9" s="22" t="n">
        <v>1</v>
      </c>
      <c r="P9" s="22" t="n">
        <v>0</v>
      </c>
      <c r="Q9" s="22" t="n">
        <v>1</v>
      </c>
      <c r="R9" s="22" t="n">
        <v>0</v>
      </c>
      <c r="S9" s="22" t="n">
        <v>1</v>
      </c>
      <c r="T9" s="23">
        <f>IF(B9=C9+D9,"✓","✗")</f>
        <v/>
      </c>
    </row>
    <row r="10">
      <c r="A10" s="24" t="inlineStr">
        <is>
          <t>4 Mysore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5" t="n">
        <v>0</v>
      </c>
      <c r="L10" s="25" t="n">
        <v>0</v>
      </c>
      <c r="M10" s="25" t="n">
        <v>0</v>
      </c>
      <c r="N10" s="25" t="n">
        <v>0</v>
      </c>
      <c r="O10" s="25" t="n">
        <v>0</v>
      </c>
      <c r="P10" s="25" t="n">
        <v>0</v>
      </c>
      <c r="Q10" s="25" t="n">
        <v>27</v>
      </c>
      <c r="R10" s="25" t="n">
        <v>1</v>
      </c>
      <c r="S10" s="25" t="n">
        <v>26</v>
      </c>
      <c r="T10" s="26">
        <f>IF(B10=C10+D10,"✓","✗")</f>
        <v/>
      </c>
    </row>
    <row r="11">
      <c r="A11" s="21" t="inlineStr">
        <is>
          <t>5 Hassan</t>
        </is>
      </c>
      <c r="B11" s="22" t="n">
        <v>0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10</v>
      </c>
      <c r="R11" s="22" t="n">
        <v>2</v>
      </c>
      <c r="S11" s="22" t="n">
        <v>8</v>
      </c>
      <c r="T11" s="23">
        <f>IF(B11=C11+D11,"✓","✗")</f>
        <v/>
      </c>
    </row>
    <row r="12">
      <c r="A12" s="24" t="inlineStr">
        <is>
          <t>6 Shimoga</t>
        </is>
      </c>
      <c r="B12" s="25" t="n">
        <v>0</v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  <c r="N12" s="25" t="n">
        <v>0</v>
      </c>
      <c r="O12" s="25" t="n">
        <v>0</v>
      </c>
      <c r="P12" s="25" t="n">
        <v>0</v>
      </c>
      <c r="Q12" s="25" t="n">
        <v>4</v>
      </c>
      <c r="R12" s="25" t="n">
        <v>0</v>
      </c>
      <c r="S12" s="25" t="n">
        <v>4</v>
      </c>
      <c r="T12" s="26">
        <f>IF(B12=C12+D12,"✓","✗")</f>
        <v/>
      </c>
    </row>
    <row r="13">
      <c r="A13" s="21" t="inlineStr">
        <is>
          <t>7 Kadur</t>
        </is>
      </c>
      <c r="B13" s="22" t="n">
        <v>0</v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3">
        <f>IF(B13=C13+D13,"✓","✗")</f>
        <v/>
      </c>
    </row>
    <row r="14">
      <c r="A14" s="24" t="inlineStr">
        <is>
          <t>8 Chitaldurg</t>
        </is>
      </c>
      <c r="B14" s="25" t="n">
        <v>0</v>
      </c>
      <c r="C14" s="25" t="n">
        <v>0</v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5" t="n">
        <v>0</v>
      </c>
      <c r="M14" s="25" t="n">
        <v>0</v>
      </c>
      <c r="N14" s="25" t="n">
        <v>0</v>
      </c>
      <c r="O14" s="25" t="n">
        <v>0</v>
      </c>
      <c r="P14" s="25" t="n">
        <v>0</v>
      </c>
      <c r="Q14" s="25" t="n">
        <v>14</v>
      </c>
      <c r="R14" s="25" t="n">
        <v>4</v>
      </c>
      <c r="S14" s="25" t="n">
        <v>10</v>
      </c>
      <c r="T14" s="26">
        <f>IF(B14=C14+D14,"✓","✗")</f>
        <v/>
      </c>
    </row>
    <row r="15">
      <c r="A15" s="21" t="inlineStr">
        <is>
          <t>Total</t>
        </is>
      </c>
      <c r="B15" s="22" t="n">
        <v>1</v>
      </c>
      <c r="C15" s="22" t="n">
        <v>1</v>
      </c>
      <c r="D15" s="22" t="n">
        <v>0</v>
      </c>
      <c r="E15" s="22" t="n">
        <v>3</v>
      </c>
      <c r="F15" s="22" t="n">
        <v>2</v>
      </c>
      <c r="G15" s="22" t="n">
        <v>1</v>
      </c>
      <c r="H15" s="22" t="n">
        <v>0</v>
      </c>
      <c r="I15" s="22" t="n">
        <v>0</v>
      </c>
      <c r="J15" s="22" t="n">
        <v>0</v>
      </c>
      <c r="K15" s="22" t="n">
        <v>1</v>
      </c>
      <c r="L15" s="22" t="n">
        <v>1</v>
      </c>
      <c r="M15" s="22" t="n">
        <v>0</v>
      </c>
      <c r="N15" s="22" t="n">
        <v>5</v>
      </c>
      <c r="O15" s="22" t="n">
        <v>3</v>
      </c>
      <c r="P15" s="22" t="n">
        <v>2</v>
      </c>
      <c r="Q15" s="22" t="n">
        <v>119</v>
      </c>
      <c r="R15" s="22" t="n">
        <v>38</v>
      </c>
      <c r="S15" s="22" t="n">
        <v>81</v>
      </c>
      <c r="T15" s="23">
        <f>IF(B15=C15+D15,"✓","✗")</f>
        <v/>
      </c>
    </row>
    <row r="16">
      <c r="A16" s="24" t="inlineStr">
        <is>
          <t>The Civil and Military Station, Bangalore</t>
        </is>
      </c>
      <c r="B16" s="25" t="n">
        <v>2</v>
      </c>
      <c r="C16" s="25" t="n">
        <v>1</v>
      </c>
      <c r="D16" s="25" t="n">
        <v>1</v>
      </c>
      <c r="E16" s="25" t="n">
        <v>3</v>
      </c>
      <c r="F16" s="25" t="n">
        <v>1</v>
      </c>
      <c r="G16" s="25" t="n">
        <v>2</v>
      </c>
      <c r="H16" s="25" t="n">
        <v>2</v>
      </c>
      <c r="I16" s="25" t="n">
        <v>0</v>
      </c>
      <c r="J16" s="25" t="n">
        <v>2</v>
      </c>
      <c r="K16" s="25" t="n">
        <v>0</v>
      </c>
      <c r="L16" s="25" t="n">
        <v>0</v>
      </c>
      <c r="M16" s="25" t="n">
        <v>0</v>
      </c>
      <c r="N16" s="25" t="n">
        <v>9</v>
      </c>
      <c r="O16" s="25" t="n">
        <v>3</v>
      </c>
      <c r="P16" s="25" t="n">
        <v>6</v>
      </c>
      <c r="Q16" s="25" t="n">
        <v>22</v>
      </c>
      <c r="R16" s="25" t="n">
        <v>12</v>
      </c>
      <c r="S16" s="25" t="n">
        <v>10</v>
      </c>
      <c r="T16" s="26">
        <f>IF(B16=C16+D16,"✓","✗")</f>
        <v/>
      </c>
    </row>
    <row r="17">
      <c r="A17" s="21" t="inlineStr">
        <is>
          <t>GRAND TOTAL</t>
        </is>
      </c>
      <c r="B17" s="22" t="n">
        <v>3</v>
      </c>
      <c r="C17" s="22" t="n">
        <v>2</v>
      </c>
      <c r="D17" s="22" t="n">
        <v>1</v>
      </c>
      <c r="E17" s="22" t="n">
        <v>6</v>
      </c>
      <c r="F17" s="22" t="n">
        <v>3</v>
      </c>
      <c r="G17" s="22" t="n">
        <v>3</v>
      </c>
      <c r="H17" s="22" t="n">
        <v>2</v>
      </c>
      <c r="I17" s="22" t="n">
        <v>0</v>
      </c>
      <c r="J17" s="22" t="n">
        <v>2</v>
      </c>
      <c r="K17" s="22" t="n">
        <v>1</v>
      </c>
      <c r="L17" s="22" t="n">
        <v>1</v>
      </c>
      <c r="M17" s="22" t="n">
        <v>0</v>
      </c>
      <c r="N17" s="22" t="n">
        <v>14</v>
      </c>
      <c r="O17" s="22" t="n">
        <v>6</v>
      </c>
      <c r="P17" s="22" t="n">
        <v>8</v>
      </c>
      <c r="Q17" s="22" t="n">
        <v>141</v>
      </c>
      <c r="R17" s="22" t="n">
        <v>50</v>
      </c>
      <c r="S17" s="22" t="n">
        <v>91</v>
      </c>
      <c r="T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  <c r="Q18" s="28">
        <f>IF(SUM(Q7:Q17)=Q6,"✓",SUM(Q7:Q17)-Q6)</f>
        <v/>
      </c>
      <c r="R18" s="28">
        <f>IF(SUM(R7:R17)=R6,"✓",SUM(R7:R17)-R6)</f>
        <v/>
      </c>
      <c r="S18" s="28">
        <f>IF(SUM(S7:S17)=S6,"✓",SUM(S7:S17)-S6)</f>
        <v/>
      </c>
    </row>
  </sheetData>
  <mergeCells count="6">
    <mergeCell ref="K4:M4"/>
    <mergeCell ref="B4:D4"/>
    <mergeCell ref="H4:J4"/>
    <mergeCell ref="Q4:S4"/>
    <mergeCell ref="E4:G4"/>
    <mergeCell ref="N4:P4"/>
  </mergeCells>
  <conditionalFormatting sqref="T6:T1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7" customWidth="1" min="20" max="20"/>
  </cols>
  <sheetData>
    <row r="1">
      <c r="A1" s="29" t="inlineStr">
        <is>
          <t>Mysore Districts and C. &amp; M. Station, Bangalore</t>
        </is>
      </c>
    </row>
    <row r="2">
      <c r="A2" s="3" t="inlineStr">
        <is>
          <t>TABLE VIII. PART A.—Concluded. Civil Condition by Age—Periods. All Religions.</t>
        </is>
      </c>
    </row>
    <row r="3">
      <c r="A3" s="4" t="inlineStr">
        <is>
          <t>Age</t>
        </is>
      </c>
      <c r="B3" s="5" t="inlineStr">
        <is>
          <t>35-39</t>
        </is>
      </c>
      <c r="C3" s="6" t="n"/>
      <c r="D3" s="6" t="n"/>
      <c r="E3" s="7" t="inlineStr">
        <is>
          <t>40-44</t>
        </is>
      </c>
      <c r="F3" s="8" t="n"/>
      <c r="G3" s="8" t="n"/>
      <c r="H3" s="9" t="inlineStr">
        <is>
          <t>45-49</t>
        </is>
      </c>
      <c r="I3" s="10" t="n"/>
      <c r="J3" s="10" t="n"/>
      <c r="K3" s="11" t="inlineStr">
        <is>
          <t>50-59</t>
        </is>
      </c>
      <c r="L3" s="12" t="n"/>
      <c r="M3" s="12" t="n"/>
      <c r="N3" s="13" t="inlineStr">
        <is>
          <t>60 and over</t>
        </is>
      </c>
      <c r="O3" s="14" t="n"/>
      <c r="P3" s="14" t="n"/>
      <c r="Q3" s="5" t="inlineStr">
        <is>
          <t>Age not stated</t>
        </is>
      </c>
      <c r="R3" s="6" t="n"/>
      <c r="S3" s="6" t="n"/>
      <c r="T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M+F=P</t>
        </is>
      </c>
    </row>
    <row r="5">
      <c r="A5" s="18" t="inlineStr">
        <is>
          <t>Total</t>
        </is>
      </c>
      <c r="B5" s="19" t="n">
        <v>7</v>
      </c>
      <c r="C5" s="19" t="n">
        <v>5</v>
      </c>
      <c r="D5" s="19" t="n">
        <v>2</v>
      </c>
      <c r="E5" s="19" t="n">
        <v>15</v>
      </c>
      <c r="F5" s="19" t="n">
        <v>8</v>
      </c>
      <c r="G5" s="19" t="n">
        <v>7</v>
      </c>
      <c r="H5" s="19" t="n">
        <v>4</v>
      </c>
      <c r="I5" s="19" t="n">
        <v>0</v>
      </c>
      <c r="J5" s="19" t="n">
        <v>4</v>
      </c>
      <c r="K5" s="19" t="n">
        <v>3</v>
      </c>
      <c r="L5" s="19" t="n">
        <v>3</v>
      </c>
      <c r="M5" s="19" t="n">
        <v>0</v>
      </c>
      <c r="N5" s="19" t="n">
        <v>33</v>
      </c>
      <c r="O5" s="19" t="n">
        <v>15</v>
      </c>
      <c r="P5" s="19" t="n">
        <v>18</v>
      </c>
      <c r="Q5" s="19" t="n">
        <v>401</v>
      </c>
      <c r="R5" s="19" t="n">
        <v>138</v>
      </c>
      <c r="S5" s="19" t="n">
        <v>263</v>
      </c>
      <c r="T5" s="20">
        <f>IF(B5=C5+D5,"✓","✗")</f>
        <v/>
      </c>
    </row>
    <row r="6">
      <c r="A6" s="21" t="inlineStr">
        <is>
          <t>1 Bangalore</t>
        </is>
      </c>
      <c r="B6" s="22" t="n">
        <v>1</v>
      </c>
      <c r="C6" s="22" t="n">
        <v>1</v>
      </c>
      <c r="D6" s="22" t="n">
        <v>0</v>
      </c>
      <c r="E6" s="22" t="n">
        <v>3</v>
      </c>
      <c r="F6" s="22" t="n">
        <v>2</v>
      </c>
      <c r="G6" s="22" t="n">
        <v>1</v>
      </c>
      <c r="H6" s="22" t="n">
        <v>0</v>
      </c>
      <c r="I6" s="22" t="n">
        <v>0</v>
      </c>
      <c r="J6" s="22" t="n">
        <v>0</v>
      </c>
      <c r="K6" s="22" t="n">
        <v>1</v>
      </c>
      <c r="L6" s="22" t="n">
        <v>1</v>
      </c>
      <c r="M6" s="22" t="n">
        <v>0</v>
      </c>
      <c r="N6" s="22" t="n">
        <v>4</v>
      </c>
      <c r="O6" s="22" t="n">
        <v>2</v>
      </c>
      <c r="P6" s="22" t="n">
        <v>2</v>
      </c>
      <c r="Q6" s="22" t="n">
        <v>63</v>
      </c>
      <c r="R6" s="22" t="n">
        <v>31</v>
      </c>
      <c r="S6" s="22" t="n">
        <v>32</v>
      </c>
      <c r="T6" s="23">
        <f>IF(B6=C6+D6,"✓","✗")</f>
        <v/>
      </c>
    </row>
    <row r="7">
      <c r="A7" s="24" t="inlineStr">
        <is>
          <t>2 Kolar</t>
        </is>
      </c>
      <c r="B7" s="25" t="n">
        <v>0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5" t="n">
        <v>0</v>
      </c>
      <c r="R7" s="25" t="n">
        <v>0</v>
      </c>
      <c r="S7" s="25" t="n">
        <v>0</v>
      </c>
      <c r="T7" s="26">
        <f>IF(B7=C7+D7,"✓","✗")</f>
        <v/>
      </c>
    </row>
    <row r="8">
      <c r="A8" s="21" t="inlineStr">
        <is>
          <t>3 Tumkur</t>
        </is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1</v>
      </c>
      <c r="O8" s="22" t="n">
        <v>1</v>
      </c>
      <c r="P8" s="22" t="n">
        <v>0</v>
      </c>
      <c r="Q8" s="22" t="n">
        <v>1</v>
      </c>
      <c r="R8" s="22" t="n">
        <v>0</v>
      </c>
      <c r="S8" s="22" t="n">
        <v>1</v>
      </c>
      <c r="T8" s="23">
        <f>IF(B8=C8+D8,"✓","✗")</f>
        <v/>
      </c>
    </row>
    <row r="9">
      <c r="A9" s="24" t="inlineStr">
        <is>
          <t>4 Mysore</t>
        </is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5" t="n">
        <v>27</v>
      </c>
      <c r="R9" s="25" t="n">
        <v>1</v>
      </c>
      <c r="S9" s="25" t="n">
        <v>26</v>
      </c>
      <c r="T9" s="26">
        <f>IF(B9=C9+D9,"✓","✗")</f>
        <v/>
      </c>
    </row>
    <row r="10">
      <c r="A10" s="21" t="inlineStr">
        <is>
          <t>5 Hassan</t>
        </is>
      </c>
      <c r="B10" s="22" t="n">
        <v>0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10</v>
      </c>
      <c r="R10" s="22" t="n">
        <v>2</v>
      </c>
      <c r="S10" s="22" t="n">
        <v>8</v>
      </c>
      <c r="T10" s="23">
        <f>IF(B10=C10+D10,"✓","✗")</f>
        <v/>
      </c>
    </row>
    <row r="11">
      <c r="A11" s="24" t="inlineStr">
        <is>
          <t>6 Shimoga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5" t="n">
        <v>4</v>
      </c>
      <c r="R11" s="25" t="n">
        <v>0</v>
      </c>
      <c r="S11" s="25" t="n">
        <v>4</v>
      </c>
      <c r="T11" s="26">
        <f>IF(B11=C11+D11,"✓","✗")</f>
        <v/>
      </c>
    </row>
    <row r="12">
      <c r="A12" s="21" t="inlineStr">
        <is>
          <t>7 Kadur</t>
        </is>
      </c>
      <c r="B12" s="22" t="n">
        <v>0</v>
      </c>
      <c r="C12" s="22" t="n">
        <v>0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3">
        <f>IF(B12=C12+D12,"✓","✗")</f>
        <v/>
      </c>
    </row>
    <row r="13">
      <c r="A13" s="24" t="inlineStr">
        <is>
          <t>8 Chitaldurg</t>
        </is>
      </c>
      <c r="B13" s="25" t="n">
        <v>0</v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0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  <c r="N13" s="25" t="n">
        <v>0</v>
      </c>
      <c r="O13" s="25" t="n">
        <v>0</v>
      </c>
      <c r="P13" s="25" t="n">
        <v>0</v>
      </c>
      <c r="Q13" s="25" t="n">
        <v>14</v>
      </c>
      <c r="R13" s="25" t="n">
        <v>4</v>
      </c>
      <c r="S13" s="25" t="n">
        <v>10</v>
      </c>
      <c r="T13" s="26">
        <f>IF(B13=C13+D13,"✓","✗")</f>
        <v/>
      </c>
    </row>
    <row r="14">
      <c r="A14" s="21" t="inlineStr">
        <is>
          <t>Total</t>
        </is>
      </c>
      <c r="B14" s="22" t="n">
        <v>1</v>
      </c>
      <c r="C14" s="22" t="n">
        <v>1</v>
      </c>
      <c r="D14" s="22" t="n">
        <v>0</v>
      </c>
      <c r="E14" s="22" t="n">
        <v>3</v>
      </c>
      <c r="F14" s="22" t="n">
        <v>2</v>
      </c>
      <c r="G14" s="22" t="n">
        <v>1</v>
      </c>
      <c r="H14" s="22" t="n">
        <v>0</v>
      </c>
      <c r="I14" s="22" t="n">
        <v>0</v>
      </c>
      <c r="J14" s="22" t="n">
        <v>0</v>
      </c>
      <c r="K14" s="22" t="n">
        <v>1</v>
      </c>
      <c r="L14" s="22" t="n">
        <v>1</v>
      </c>
      <c r="M14" s="22" t="n">
        <v>0</v>
      </c>
      <c r="N14" s="22" t="n">
        <v>5</v>
      </c>
      <c r="O14" s="22" t="n">
        <v>3</v>
      </c>
      <c r="P14" s="22" t="n">
        <v>2</v>
      </c>
      <c r="Q14" s="22" t="n">
        <v>119</v>
      </c>
      <c r="R14" s="22" t="n">
        <v>38</v>
      </c>
      <c r="S14" s="22" t="n">
        <v>81</v>
      </c>
      <c r="T14" s="23">
        <f>IF(B14=C14+D14,"✓","✗")</f>
        <v/>
      </c>
    </row>
    <row r="15">
      <c r="A15" s="24" t="inlineStr">
        <is>
          <t>The Civil and Military Station, Bangalore</t>
        </is>
      </c>
      <c r="B15" s="25" t="n">
        <v>2</v>
      </c>
      <c r="C15" s="25" t="n">
        <v>1</v>
      </c>
      <c r="D15" s="25" t="n">
        <v>1</v>
      </c>
      <c r="E15" s="25" t="n">
        <v>3</v>
      </c>
      <c r="F15" s="25" t="n">
        <v>1</v>
      </c>
      <c r="G15" s="25" t="n">
        <v>2</v>
      </c>
      <c r="H15" s="25" t="n">
        <v>2</v>
      </c>
      <c r="I15" s="25" t="n">
        <v>0</v>
      </c>
      <c r="J15" s="25" t="n">
        <v>2</v>
      </c>
      <c r="K15" s="25" t="n">
        <v>0</v>
      </c>
      <c r="L15" s="25" t="n">
        <v>0</v>
      </c>
      <c r="M15" s="25" t="n">
        <v>0</v>
      </c>
      <c r="N15" s="25" t="n">
        <v>9</v>
      </c>
      <c r="O15" s="25" t="n">
        <v>3</v>
      </c>
      <c r="P15" s="25" t="n">
        <v>6</v>
      </c>
      <c r="Q15" s="25" t="n">
        <v>22</v>
      </c>
      <c r="R15" s="25" t="n">
        <v>12</v>
      </c>
      <c r="S15" s="25" t="n">
        <v>10</v>
      </c>
      <c r="T15" s="26">
        <f>IF(B15=C15+D15,"✓","✗")</f>
        <v/>
      </c>
    </row>
    <row r="16">
      <c r="A16" s="21" t="inlineStr">
        <is>
          <t>GRAND TOTAL</t>
        </is>
      </c>
      <c r="B16" s="22" t="n">
        <v>3</v>
      </c>
      <c r="C16" s="22" t="n">
        <v>2</v>
      </c>
      <c r="D16" s="22" t="n">
        <v>1</v>
      </c>
      <c r="E16" s="22" t="n">
        <v>6</v>
      </c>
      <c r="F16" s="22" t="n">
        <v>3</v>
      </c>
      <c r="G16" s="22" t="n">
        <v>3</v>
      </c>
      <c r="H16" s="22" t="n">
        <v>2</v>
      </c>
      <c r="I16" s="22" t="n">
        <v>0</v>
      </c>
      <c r="J16" s="22" t="n">
        <v>2</v>
      </c>
      <c r="K16" s="22" t="n">
        <v>1</v>
      </c>
      <c r="L16" s="22" t="n">
        <v>1</v>
      </c>
      <c r="M16" s="22" t="n">
        <v>0</v>
      </c>
      <c r="N16" s="22" t="n">
        <v>14</v>
      </c>
      <c r="O16" s="22" t="n">
        <v>6</v>
      </c>
      <c r="P16" s="22" t="n">
        <v>8</v>
      </c>
      <c r="Q16" s="22" t="n">
        <v>141</v>
      </c>
      <c r="R16" s="22" t="n">
        <v>50</v>
      </c>
      <c r="S16" s="22" t="n">
        <v>91</v>
      </c>
      <c r="T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  <c r="Q17" s="28">
        <f>IF(SUM(Q6:Q16)=Q5,"✓",SUM(Q6:Q16)-Q5)</f>
        <v/>
      </c>
      <c r="R17" s="28">
        <f>IF(SUM(R6:R16)=R5,"✓",SUM(R6:R16)-R5)</f>
        <v/>
      </c>
      <c r="S17" s="28">
        <f>IF(SUM(S6:S16)=S5,"✓",SUM(S6:S16)-S5)</f>
        <v/>
      </c>
    </row>
  </sheetData>
  <mergeCells count="6">
    <mergeCell ref="B3:D3"/>
    <mergeCell ref="E3:G3"/>
    <mergeCell ref="K3:M3"/>
    <mergeCell ref="H3:J3"/>
    <mergeCell ref="N3:P3"/>
    <mergeCell ref="Q3:S3"/>
  </mergeCells>
  <conditionalFormatting sqref="T5:T1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2026-03-03T14:15:13Z</dcterms:created>
  <dcterms:modified xmlns:dcterms="http://purl.org/dc/terms/" xmlns:xsi="http://www.w3.org/2001/XMLSchema-instance" xsi:type="dcterms:W3CDTF">2026-03-03T14:15:13Z</dcterms:modified>
</cp:coreProperties>
</file>