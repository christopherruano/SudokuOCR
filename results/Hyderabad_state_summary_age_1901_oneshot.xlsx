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—All Religions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TABLE VII. AGE, SEX AND CIVIL CONDITION. A—All Religions.</t>
        </is>
      </c>
    </row>
    <row r="2">
      <c r="A2" s="2" t="inlineStr">
        <is>
          <t>Source: TABLE VII. AGE, SEX AND CIVIL CONDITION. A—All Religions.</t>
        </is>
      </c>
    </row>
    <row r="3">
      <c r="A3" s="3" t="inlineStr">
        <is>
          <t>A—All Religions.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11141142</v>
      </c>
      <c r="C6" s="17" t="n">
        <v>5673629</v>
      </c>
      <c r="D6" s="17" t="n">
        <v>5467513</v>
      </c>
      <c r="E6" s="17" t="n">
        <v>4311525</v>
      </c>
      <c r="F6" s="17" t="n">
        <v>2604439</v>
      </c>
      <c r="G6" s="17" t="n">
        <v>1707086</v>
      </c>
      <c r="H6" s="17" t="n">
        <v>5502367</v>
      </c>
      <c r="I6" s="17" t="n">
        <v>2772795</v>
      </c>
      <c r="J6" s="17" t="n">
        <v>2729572</v>
      </c>
      <c r="K6" s="17" t="n">
        <v>1327250</v>
      </c>
      <c r="L6" s="17" t="n">
        <v>296395</v>
      </c>
      <c r="M6" s="17" t="n">
        <v>1030855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0-1</t>
        </is>
      </c>
      <c r="B7" s="20" t="n">
        <v>175786</v>
      </c>
      <c r="C7" s="20" t="n">
        <v>85577</v>
      </c>
      <c r="D7" s="20" t="n">
        <v>90209</v>
      </c>
      <c r="E7" s="20" t="n">
        <v>174225</v>
      </c>
      <c r="F7" s="20" t="n">
        <v>85051</v>
      </c>
      <c r="G7" s="20" t="n">
        <v>89174</v>
      </c>
      <c r="H7" s="20" t="n">
        <v>1467</v>
      </c>
      <c r="I7" s="20" t="n">
        <v>509</v>
      </c>
      <c r="J7" s="20" t="n">
        <v>958</v>
      </c>
      <c r="K7" s="20" t="n">
        <v>94</v>
      </c>
      <c r="L7" s="20" t="n">
        <v>17</v>
      </c>
      <c r="M7" s="20" t="n">
        <v>77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1-2</t>
        </is>
      </c>
      <c r="B8" s="23" t="n">
        <v>236893</v>
      </c>
      <c r="C8" s="23" t="n">
        <v>115495</v>
      </c>
      <c r="D8" s="23" t="n">
        <v>121398</v>
      </c>
      <c r="E8" s="23" t="n">
        <v>235271</v>
      </c>
      <c r="F8" s="23" t="n">
        <v>114699</v>
      </c>
      <c r="G8" s="23" t="n">
        <v>120572</v>
      </c>
      <c r="H8" s="23" t="n">
        <v>1490</v>
      </c>
      <c r="I8" s="23" t="n">
        <v>763</v>
      </c>
      <c r="J8" s="23" t="n">
        <v>727</v>
      </c>
      <c r="K8" s="23" t="n">
        <v>132</v>
      </c>
      <c r="L8" s="23" t="n">
        <v>33</v>
      </c>
      <c r="M8" s="23" t="n">
        <v>99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2-3</t>
        </is>
      </c>
      <c r="B9" s="20" t="n">
        <v>323459</v>
      </c>
      <c r="C9" s="20" t="n">
        <v>155863</v>
      </c>
      <c r="D9" s="20" t="n">
        <v>167596</v>
      </c>
      <c r="E9" s="20" t="n">
        <v>318976</v>
      </c>
      <c r="F9" s="20" t="n">
        <v>154163</v>
      </c>
      <c r="G9" s="20" t="n">
        <v>164813</v>
      </c>
      <c r="H9" s="20" t="n">
        <v>4218</v>
      </c>
      <c r="I9" s="20" t="n">
        <v>1630</v>
      </c>
      <c r="J9" s="20" t="n">
        <v>2588</v>
      </c>
      <c r="K9" s="20" t="n">
        <v>265</v>
      </c>
      <c r="L9" s="20" t="n">
        <v>70</v>
      </c>
      <c r="M9" s="20" t="n">
        <v>195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3-4</t>
        </is>
      </c>
      <c r="B10" s="23" t="n">
        <v>286702</v>
      </c>
      <c r="C10" s="23" t="n">
        <v>136803</v>
      </c>
      <c r="D10" s="23" t="n">
        <v>149899</v>
      </c>
      <c r="E10" s="23" t="n">
        <v>280506</v>
      </c>
      <c r="F10" s="23" t="n">
        <v>134746</v>
      </c>
      <c r="G10" s="23" t="n">
        <v>145760</v>
      </c>
      <c r="H10" s="23" t="n">
        <v>5868</v>
      </c>
      <c r="I10" s="23" t="n">
        <v>1982</v>
      </c>
      <c r="J10" s="23" t="n">
        <v>3886</v>
      </c>
      <c r="K10" s="23" t="n">
        <v>328</v>
      </c>
      <c r="L10" s="23" t="n">
        <v>75</v>
      </c>
      <c r="M10" s="23" t="n">
        <v>253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4-5</t>
        </is>
      </c>
      <c r="B11" s="20" t="n">
        <v>332827</v>
      </c>
      <c r="C11" s="20" t="n">
        <v>165119</v>
      </c>
      <c r="D11" s="20" t="n">
        <v>167708</v>
      </c>
      <c r="E11" s="20" t="n">
        <v>322903</v>
      </c>
      <c r="F11" s="20" t="n">
        <v>162116</v>
      </c>
      <c r="G11" s="20" t="n">
        <v>160787</v>
      </c>
      <c r="H11" s="20" t="n">
        <v>9101</v>
      </c>
      <c r="I11" s="20" t="n">
        <v>2821</v>
      </c>
      <c r="J11" s="20" t="n">
        <v>6280</v>
      </c>
      <c r="K11" s="20" t="n">
        <v>823</v>
      </c>
      <c r="L11" s="20" t="n">
        <v>182</v>
      </c>
      <c r="M11" s="20" t="n">
        <v>641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Total 0-5</t>
        </is>
      </c>
      <c r="B12" s="23" t="n">
        <v>1355667</v>
      </c>
      <c r="C12" s="23" t="n">
        <v>658857</v>
      </c>
      <c r="D12" s="23" t="n">
        <v>696810</v>
      </c>
      <c r="E12" s="23" t="n">
        <v>1331881</v>
      </c>
      <c r="F12" s="23" t="n">
        <v>650775</v>
      </c>
      <c r="G12" s="23" t="n">
        <v>681106</v>
      </c>
      <c r="H12" s="23" t="n">
        <v>22144</v>
      </c>
      <c r="I12" s="23" t="n">
        <v>7705</v>
      </c>
      <c r="J12" s="23" t="n">
        <v>14439</v>
      </c>
      <c r="K12" s="23" t="n">
        <v>1642</v>
      </c>
      <c r="L12" s="23" t="n">
        <v>377</v>
      </c>
      <c r="M12" s="23" t="n">
        <v>1265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5-10</t>
        </is>
      </c>
      <c r="B13" s="20" t="n">
        <v>1452854</v>
      </c>
      <c r="C13" s="20" t="n">
        <v>755963</v>
      </c>
      <c r="D13" s="20" t="n">
        <v>696891</v>
      </c>
      <c r="E13" s="20" t="n">
        <v>1289714</v>
      </c>
      <c r="F13" s="20" t="n">
        <v>725092</v>
      </c>
      <c r="G13" s="20" t="n">
        <v>564622</v>
      </c>
      <c r="H13" s="20" t="n">
        <v>153161</v>
      </c>
      <c r="I13" s="20" t="n">
        <v>28691</v>
      </c>
      <c r="J13" s="20" t="n">
        <v>124470</v>
      </c>
      <c r="K13" s="20" t="n">
        <v>9979</v>
      </c>
      <c r="L13" s="20" t="n">
        <v>2180</v>
      </c>
      <c r="M13" s="20" t="n">
        <v>7799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10-15</t>
        </is>
      </c>
      <c r="B14" s="23" t="n">
        <v>1350321</v>
      </c>
      <c r="C14" s="23" t="n">
        <v>739509</v>
      </c>
      <c r="D14" s="23" t="n">
        <v>610812</v>
      </c>
      <c r="E14" s="23" t="n">
        <v>879907</v>
      </c>
      <c r="F14" s="23" t="n">
        <v>633738</v>
      </c>
      <c r="G14" s="23" t="n">
        <v>246169</v>
      </c>
      <c r="H14" s="23" t="n">
        <v>443034</v>
      </c>
      <c r="I14" s="23" t="n">
        <v>98576</v>
      </c>
      <c r="J14" s="23" t="n">
        <v>344458</v>
      </c>
      <c r="K14" s="23" t="n">
        <v>27380</v>
      </c>
      <c r="L14" s="23" t="n">
        <v>7195</v>
      </c>
      <c r="M14" s="23" t="n">
        <v>20185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15-20</t>
        </is>
      </c>
      <c r="B15" s="20" t="n">
        <v>852389</v>
      </c>
      <c r="C15" s="20" t="n">
        <v>428409</v>
      </c>
      <c r="D15" s="20" t="n">
        <v>423980</v>
      </c>
      <c r="E15" s="20" t="n">
        <v>319500</v>
      </c>
      <c r="F15" s="20" t="n">
        <v>270156</v>
      </c>
      <c r="G15" s="20" t="n">
        <v>49344</v>
      </c>
      <c r="H15" s="20" t="n">
        <v>502285</v>
      </c>
      <c r="I15" s="20" t="n">
        <v>150145</v>
      </c>
      <c r="J15" s="20" t="n">
        <v>352140</v>
      </c>
      <c r="K15" s="20" t="n">
        <v>30604</v>
      </c>
      <c r="L15" s="20" t="n">
        <v>8108</v>
      </c>
      <c r="M15" s="20" t="n">
        <v>22496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20-25</t>
        </is>
      </c>
      <c r="B16" s="23" t="n">
        <v>894027</v>
      </c>
      <c r="C16" s="23" t="n">
        <v>405798</v>
      </c>
      <c r="D16" s="23" t="n">
        <v>488229</v>
      </c>
      <c r="E16" s="23" t="n">
        <v>161074</v>
      </c>
      <c r="F16" s="23" t="n">
        <v>134285</v>
      </c>
      <c r="G16" s="23" t="n">
        <v>26789</v>
      </c>
      <c r="H16" s="23" t="n">
        <v>682340</v>
      </c>
      <c r="I16" s="23" t="n">
        <v>259674</v>
      </c>
      <c r="J16" s="23" t="n">
        <v>422666</v>
      </c>
      <c r="K16" s="23" t="n">
        <v>50613</v>
      </c>
      <c r="L16" s="23" t="n">
        <v>11839</v>
      </c>
      <c r="M16" s="23" t="n">
        <v>38774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25-30</t>
        </is>
      </c>
      <c r="B17" s="20" t="n">
        <v>1051503</v>
      </c>
      <c r="C17" s="20" t="n">
        <v>523613</v>
      </c>
      <c r="D17" s="20" t="n">
        <v>527890</v>
      </c>
      <c r="E17" s="20" t="n">
        <v>127057</v>
      </c>
      <c r="F17" s="20" t="n">
        <v>76542</v>
      </c>
      <c r="G17" s="20" t="n">
        <v>50515</v>
      </c>
      <c r="H17" s="20" t="n">
        <v>844478</v>
      </c>
      <c r="I17" s="20" t="n">
        <v>425666</v>
      </c>
      <c r="J17" s="20" t="n">
        <v>418812</v>
      </c>
      <c r="K17" s="20" t="n">
        <v>79968</v>
      </c>
      <c r="L17" s="20" t="n">
        <v>21405</v>
      </c>
      <c r="M17" s="20" t="n">
        <v>58563</v>
      </c>
      <c r="N17" s="21">
        <f>IF(B17=E17+H17+K17,"✓",B17-(E17+H17+K17))</f>
        <v/>
      </c>
      <c r="O17" s="21">
        <f>IF(B17=C17+D17,"✓","✗")</f>
        <v/>
      </c>
    </row>
    <row r="18">
      <c r="A18" s="22" t="inlineStr">
        <is>
          <t>30-35</t>
        </is>
      </c>
      <c r="B18" s="23" t="n">
        <v>1072226</v>
      </c>
      <c r="C18" s="23" t="n">
        <v>538818</v>
      </c>
      <c r="D18" s="23" t="n">
        <v>533408</v>
      </c>
      <c r="E18" s="23" t="n">
        <v>77341</v>
      </c>
      <c r="F18" s="23" t="n">
        <v>40330</v>
      </c>
      <c r="G18" s="23" t="n">
        <v>37011</v>
      </c>
      <c r="H18" s="23" t="n">
        <v>869499</v>
      </c>
      <c r="I18" s="23" t="n">
        <v>470506</v>
      </c>
      <c r="J18" s="23" t="n">
        <v>398993</v>
      </c>
      <c r="K18" s="23" t="n">
        <v>125386</v>
      </c>
      <c r="L18" s="23" t="n">
        <v>27982</v>
      </c>
      <c r="M18" s="23" t="n">
        <v>97404</v>
      </c>
      <c r="N18" s="24">
        <f>IF(B18=E18+H18+K18,"✓",B18-(E18+H18+K18))</f>
        <v/>
      </c>
      <c r="O18" s="24">
        <f>IF(B18=C18+D18,"✓","✗")</f>
        <v/>
      </c>
    </row>
    <row r="19">
      <c r="A19" s="19" t="inlineStr">
        <is>
          <t>35-40</t>
        </is>
      </c>
      <c r="B19" s="20" t="n">
        <v>628589</v>
      </c>
      <c r="C19" s="20" t="n">
        <v>342613</v>
      </c>
      <c r="D19" s="20" t="n">
        <v>285976</v>
      </c>
      <c r="E19" s="20" t="n">
        <v>39074</v>
      </c>
      <c r="F19" s="20" t="n">
        <v>19244</v>
      </c>
      <c r="G19" s="20" t="n">
        <v>19830</v>
      </c>
      <c r="H19" s="20" t="n">
        <v>491882</v>
      </c>
      <c r="I19" s="20" t="n">
        <v>301284</v>
      </c>
      <c r="J19" s="20" t="n">
        <v>190598</v>
      </c>
      <c r="K19" s="20" t="n">
        <v>97633</v>
      </c>
      <c r="L19" s="20" t="n">
        <v>22085</v>
      </c>
      <c r="M19" s="20" t="n">
        <v>75548</v>
      </c>
      <c r="N19" s="21">
        <f>IF(B19=E19+H19+K19,"✓",B19-(E19+H19+K19))</f>
        <v/>
      </c>
      <c r="O19" s="21">
        <f>IF(B19=C19+D19,"✓","✗")</f>
        <v/>
      </c>
    </row>
    <row r="20">
      <c r="A20" s="22" t="inlineStr">
        <is>
          <t>40-45</t>
        </is>
      </c>
      <c r="B20" s="23" t="n">
        <v>818675</v>
      </c>
      <c r="C20" s="23" t="n">
        <v>425753</v>
      </c>
      <c r="D20" s="23" t="n">
        <v>392922</v>
      </c>
      <c r="E20" s="23" t="n">
        <v>33616</v>
      </c>
      <c r="F20" s="23" t="n">
        <v>20963</v>
      </c>
      <c r="G20" s="23" t="n">
        <v>12653</v>
      </c>
      <c r="H20" s="23" t="n">
        <v>579819</v>
      </c>
      <c r="I20" s="23" t="n">
        <v>366990</v>
      </c>
      <c r="J20" s="23" t="n">
        <v>212829</v>
      </c>
      <c r="K20" s="23" t="n">
        <v>205240</v>
      </c>
      <c r="L20" s="23" t="n">
        <v>37800</v>
      </c>
      <c r="M20" s="23" t="n">
        <v>167440</v>
      </c>
      <c r="N20" s="24">
        <f>IF(B20=E20+H20+K20,"✓",B20-(E20+H20+K20))</f>
        <v/>
      </c>
      <c r="O20" s="24">
        <f>IF(B20=C20+D20,"✓","✗")</f>
        <v/>
      </c>
    </row>
    <row r="21">
      <c r="A21" s="19" t="inlineStr">
        <is>
          <t>45-50</t>
        </is>
      </c>
      <c r="B21" s="20" t="n">
        <v>357058</v>
      </c>
      <c r="C21" s="20" t="n">
        <v>200814</v>
      </c>
      <c r="D21" s="20" t="n">
        <v>156244</v>
      </c>
      <c r="E21" s="20" t="n">
        <v>13097</v>
      </c>
      <c r="F21" s="20" t="n">
        <v>8461</v>
      </c>
      <c r="G21" s="20" t="n">
        <v>4636</v>
      </c>
      <c r="H21" s="20" t="n">
        <v>246293</v>
      </c>
      <c r="I21" s="20" t="n">
        <v>169334</v>
      </c>
      <c r="J21" s="20" t="n">
        <v>76959</v>
      </c>
      <c r="K21" s="20" t="n">
        <v>97668</v>
      </c>
      <c r="L21" s="20" t="n">
        <v>23019</v>
      </c>
      <c r="M21" s="20" t="n">
        <v>74649</v>
      </c>
      <c r="N21" s="21">
        <f>IF(B21=E21+H21+K21,"✓",B21-(E21+H21+K21))</f>
        <v/>
      </c>
      <c r="O21" s="21">
        <f>IF(B21=C21+D21,"✓","✗")</f>
        <v/>
      </c>
    </row>
    <row r="22">
      <c r="A22" s="22" t="inlineStr">
        <is>
          <t>50-55</t>
        </is>
      </c>
      <c r="B22" s="23" t="n">
        <v>568550</v>
      </c>
      <c r="C22" s="23" t="n">
        <v>289341</v>
      </c>
      <c r="D22" s="23" t="n">
        <v>279209</v>
      </c>
      <c r="E22" s="23" t="n">
        <v>16361</v>
      </c>
      <c r="F22" s="23" t="n">
        <v>10586</v>
      </c>
      <c r="G22" s="23" t="n">
        <v>5775</v>
      </c>
      <c r="H22" s="23" t="n">
        <v>328319</v>
      </c>
      <c r="I22" s="23" t="n">
        <v>233902</v>
      </c>
      <c r="J22" s="23" t="n">
        <v>94417</v>
      </c>
      <c r="K22" s="23" t="n">
        <v>223870</v>
      </c>
      <c r="L22" s="23" t="n">
        <v>44853</v>
      </c>
      <c r="M22" s="23" t="n">
        <v>179017</v>
      </c>
      <c r="N22" s="24">
        <f>IF(B22=E22+H22+K22,"✓",B22-(E22+H22+K22))</f>
        <v/>
      </c>
      <c r="O22" s="24">
        <f>IF(B22=C22+D22,"✓","✗")</f>
        <v/>
      </c>
    </row>
    <row r="23">
      <c r="A23" s="19" t="inlineStr">
        <is>
          <t>55-60</t>
        </is>
      </c>
      <c r="B23" s="20" t="n">
        <v>168158</v>
      </c>
      <c r="C23" s="20" t="n">
        <v>93094</v>
      </c>
      <c r="D23" s="20" t="n">
        <v>75064</v>
      </c>
      <c r="E23" s="20" t="n">
        <v>6938</v>
      </c>
      <c r="F23" s="20" t="n">
        <v>4499</v>
      </c>
      <c r="G23" s="20" t="n">
        <v>2439</v>
      </c>
      <c r="H23" s="20" t="n">
        <v>97359</v>
      </c>
      <c r="I23" s="20" t="n">
        <v>69913</v>
      </c>
      <c r="J23" s="20" t="n">
        <v>27446</v>
      </c>
      <c r="K23" s="20" t="n">
        <v>63861</v>
      </c>
      <c r="L23" s="20" t="n">
        <v>18682</v>
      </c>
      <c r="M23" s="20" t="n">
        <v>45179</v>
      </c>
      <c r="N23" s="21">
        <f>IF(B23=E23+H23+K23,"✓",B23-(E23+H23+K23))</f>
        <v/>
      </c>
      <c r="O23" s="21">
        <f>IF(B23=C23+D23,"✓","✗")</f>
        <v/>
      </c>
    </row>
    <row r="24">
      <c r="A24" s="22" t="inlineStr">
        <is>
          <t>60 &amp; over</t>
        </is>
      </c>
      <c r="B24" s="23" t="n">
        <v>570951</v>
      </c>
      <c r="C24" s="23" t="n">
        <v>271002</v>
      </c>
      <c r="D24" s="23" t="n">
        <v>299949</v>
      </c>
      <c r="E24" s="23" t="n">
        <v>15862</v>
      </c>
      <c r="F24" s="23" t="n">
        <v>9748</v>
      </c>
      <c r="G24" s="23" t="n">
        <v>6114</v>
      </c>
      <c r="H24" s="23" t="n">
        <v>241694</v>
      </c>
      <c r="I24" s="23" t="n">
        <v>190386</v>
      </c>
      <c r="J24" s="23" t="n">
        <v>51308</v>
      </c>
      <c r="K24" s="23" t="n">
        <v>313395</v>
      </c>
      <c r="L24" s="23" t="n">
        <v>70868</v>
      </c>
      <c r="M24" s="23" t="n">
        <v>242527</v>
      </c>
      <c r="N24" s="24">
        <f>IF(B24=E24+H24+K24,"✓",B24-(E24+H24+K24))</f>
        <v/>
      </c>
      <c r="O24" s="24">
        <f>IF(B24=C24+D24,"✓","✗")</f>
        <v/>
      </c>
    </row>
    <row r="25">
      <c r="A25" s="19" t="inlineStr">
        <is>
          <t>Age not stated</t>
        </is>
      </c>
      <c r="B25" s="20" t="n">
        <v>174</v>
      </c>
      <c r="C25" s="20" t="n">
        <v>45</v>
      </c>
      <c r="D25" s="20" t="n">
        <v>129</v>
      </c>
      <c r="E25" s="20" t="n">
        <v>103</v>
      </c>
      <c r="F25" s="20" t="n">
        <v>20</v>
      </c>
      <c r="G25" s="20" t="n">
        <v>83</v>
      </c>
      <c r="H25" s="20" t="n">
        <v>60</v>
      </c>
      <c r="I25" s="20" t="n">
        <v>23</v>
      </c>
      <c r="J25" s="20" t="n">
        <v>37</v>
      </c>
      <c r="K25" s="20" t="n">
        <v>11</v>
      </c>
      <c r="L25" s="20" t="n">
        <v>2</v>
      </c>
      <c r="M25" s="20" t="n">
        <v>9</v>
      </c>
      <c r="N25" s="21">
        <f>IF(B25=E25+H25+K25,"✓",B25-(E25+H25+K25))</f>
        <v/>
      </c>
      <c r="O25" s="21">
        <f>IF(B25=C25+D25,"✓","✗")</f>
        <v/>
      </c>
    </row>
    <row r="26">
      <c r="A26" s="22" t="inlineStr">
        <is>
          <t>Total</t>
        </is>
      </c>
      <c r="B26" s="23" t="n">
        <v>11141142</v>
      </c>
      <c r="C26" s="23" t="n">
        <v>5673629</v>
      </c>
      <c r="D26" s="23" t="n">
        <v>5467513</v>
      </c>
      <c r="E26" s="23" t="n">
        <v>4311525</v>
      </c>
      <c r="F26" s="23" t="n">
        <v>2604439</v>
      </c>
      <c r="G26" s="23" t="n">
        <v>1707086</v>
      </c>
      <c r="H26" s="23" t="n">
        <v>5502367</v>
      </c>
      <c r="I26" s="23" t="n">
        <v>2772795</v>
      </c>
      <c r="J26" s="23" t="n">
        <v>2729572</v>
      </c>
      <c r="K26" s="23" t="n">
        <v>1327250</v>
      </c>
      <c r="L26" s="23" t="n">
        <v>296395</v>
      </c>
      <c r="M26" s="23" t="n">
        <v>1030855</v>
      </c>
      <c r="N26" s="24">
        <f>IF(B26=E26+H26+K26,"✓",B26-(E26+H26+K26))</f>
        <v/>
      </c>
      <c r="O26" s="24">
        <f>IF(B26=C26+D26,"✓","✗")</f>
        <v/>
      </c>
    </row>
    <row r="27">
      <c r="A27" s="25" t="inlineStr">
        <is>
          <t>Verify: Sum</t>
        </is>
      </c>
      <c r="B27" s="26">
        <f>IF(SUM(B7:B26)=B6,"✓",SUM(B7:B26)-B6)</f>
        <v/>
      </c>
      <c r="C27" s="26">
        <f>IF(SUM(C7:C26)=C6,"✓",SUM(C7:C26)-C6)</f>
        <v/>
      </c>
      <c r="D27" s="26">
        <f>IF(SUM(D7:D26)=D6,"✓",SUM(D7:D26)-D6)</f>
        <v/>
      </c>
      <c r="E27" s="26">
        <f>IF(SUM(E7:E26)=E6,"✓",SUM(E7:E26)-E6)</f>
        <v/>
      </c>
      <c r="F27" s="26">
        <f>IF(SUM(F7:F26)=F6,"✓",SUM(F7:F26)-F6)</f>
        <v/>
      </c>
      <c r="G27" s="26">
        <f>IF(SUM(G7:G26)=G6,"✓",SUM(G7:G26)-G6)</f>
        <v/>
      </c>
      <c r="H27" s="26">
        <f>IF(SUM(H7:H26)=H6,"✓",SUM(H7:H26)-H6)</f>
        <v/>
      </c>
      <c r="I27" s="26">
        <f>IF(SUM(I7:I26)=I6,"✓",SUM(I7:I26)-I6)</f>
        <v/>
      </c>
      <c r="J27" s="26">
        <f>IF(SUM(J7:J26)=J6,"✓",SUM(J7:J26)-J6)</f>
        <v/>
      </c>
      <c r="K27" s="26">
        <f>IF(SUM(K7:K26)=K6,"✓",SUM(K7:K26)-K6)</f>
        <v/>
      </c>
      <c r="L27" s="26">
        <f>IF(SUM(L7:L26)=L6,"✓",SUM(L7:L26)-L6)</f>
        <v/>
      </c>
      <c r="M27" s="26">
        <f>IF(SUM(M7:M26)=M6,"✓",SUM(M7:M26)-M6)</f>
        <v/>
      </c>
    </row>
  </sheetData>
  <mergeCells count="4">
    <mergeCell ref="K4:M4"/>
    <mergeCell ref="E4:G4"/>
    <mergeCell ref="B4:D4"/>
    <mergeCell ref="H4:J4"/>
  </mergeCells>
  <conditionalFormatting sqref="N6:N2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2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TABLE VII. AGE, SEX AND CIVIL CONDITION. A—All Religions.</t>
        </is>
      </c>
    </row>
    <row r="2">
      <c r="A2" s="3" t="inlineStr">
        <is>
          <t>A—All Religions.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11141142</v>
      </c>
      <c r="C5" s="17" t="n">
        <v>5673629</v>
      </c>
      <c r="D5" s="17" t="n">
        <v>5467513</v>
      </c>
      <c r="E5" s="17" t="n">
        <v>4311525</v>
      </c>
      <c r="F5" s="17" t="n">
        <v>2604439</v>
      </c>
      <c r="G5" s="17" t="n">
        <v>1707086</v>
      </c>
      <c r="H5" s="17" t="n">
        <v>5502367</v>
      </c>
      <c r="I5" s="17" t="n">
        <v>2772795</v>
      </c>
      <c r="J5" s="17" t="n">
        <v>2729572</v>
      </c>
      <c r="K5" s="17" t="n">
        <v>1327250</v>
      </c>
      <c r="L5" s="17" t="n">
        <v>296395</v>
      </c>
      <c r="M5" s="17" t="n">
        <v>1030855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175786</v>
      </c>
      <c r="C6" s="20" t="n">
        <v>85577</v>
      </c>
      <c r="D6" s="20" t="n">
        <v>90209</v>
      </c>
      <c r="E6" s="20" t="n">
        <v>174225</v>
      </c>
      <c r="F6" s="20" t="n">
        <v>85051</v>
      </c>
      <c r="G6" s="20" t="n">
        <v>89174</v>
      </c>
      <c r="H6" s="20" t="n">
        <v>1467</v>
      </c>
      <c r="I6" s="20" t="n">
        <v>509</v>
      </c>
      <c r="J6" s="20" t="n">
        <v>958</v>
      </c>
      <c r="K6" s="20" t="n">
        <v>94</v>
      </c>
      <c r="L6" s="20" t="n">
        <v>17</v>
      </c>
      <c r="M6" s="20" t="n">
        <v>77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1-2</t>
        </is>
      </c>
      <c r="B7" s="23" t="n">
        <v>236893</v>
      </c>
      <c r="C7" s="23" t="n">
        <v>115495</v>
      </c>
      <c r="D7" s="23" t="n">
        <v>121398</v>
      </c>
      <c r="E7" s="23" t="n">
        <v>235271</v>
      </c>
      <c r="F7" s="23" t="n">
        <v>114699</v>
      </c>
      <c r="G7" s="23" t="n">
        <v>120572</v>
      </c>
      <c r="H7" s="23" t="n">
        <v>1490</v>
      </c>
      <c r="I7" s="23" t="n">
        <v>763</v>
      </c>
      <c r="J7" s="23" t="n">
        <v>727</v>
      </c>
      <c r="K7" s="23" t="n">
        <v>132</v>
      </c>
      <c r="L7" s="23" t="n">
        <v>33</v>
      </c>
      <c r="M7" s="23" t="n">
        <v>99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2-3</t>
        </is>
      </c>
      <c r="B8" s="20" t="n">
        <v>323459</v>
      </c>
      <c r="C8" s="20" t="n">
        <v>155863</v>
      </c>
      <c r="D8" s="20" t="n">
        <v>167596</v>
      </c>
      <c r="E8" s="20" t="n">
        <v>318976</v>
      </c>
      <c r="F8" s="20" t="n">
        <v>154163</v>
      </c>
      <c r="G8" s="20" t="n">
        <v>164813</v>
      </c>
      <c r="H8" s="20" t="n">
        <v>4218</v>
      </c>
      <c r="I8" s="20" t="n">
        <v>1630</v>
      </c>
      <c r="J8" s="20" t="n">
        <v>2588</v>
      </c>
      <c r="K8" s="20" t="n">
        <v>265</v>
      </c>
      <c r="L8" s="20" t="n">
        <v>70</v>
      </c>
      <c r="M8" s="20" t="n">
        <v>195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3-4</t>
        </is>
      </c>
      <c r="B9" s="23" t="n">
        <v>286702</v>
      </c>
      <c r="C9" s="23" t="n">
        <v>136803</v>
      </c>
      <c r="D9" s="23" t="n">
        <v>149899</v>
      </c>
      <c r="E9" s="23" t="n">
        <v>280506</v>
      </c>
      <c r="F9" s="23" t="n">
        <v>134746</v>
      </c>
      <c r="G9" s="23" t="n">
        <v>145760</v>
      </c>
      <c r="H9" s="23" t="n">
        <v>5868</v>
      </c>
      <c r="I9" s="23" t="n">
        <v>1982</v>
      </c>
      <c r="J9" s="23" t="n">
        <v>3886</v>
      </c>
      <c r="K9" s="23" t="n">
        <v>328</v>
      </c>
      <c r="L9" s="23" t="n">
        <v>75</v>
      </c>
      <c r="M9" s="23" t="n">
        <v>253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4-5</t>
        </is>
      </c>
      <c r="B10" s="20" t="n">
        <v>332827</v>
      </c>
      <c r="C10" s="20" t="n">
        <v>165119</v>
      </c>
      <c r="D10" s="20" t="n">
        <v>167708</v>
      </c>
      <c r="E10" s="20" t="n">
        <v>322903</v>
      </c>
      <c r="F10" s="20" t="n">
        <v>162116</v>
      </c>
      <c r="G10" s="20" t="n">
        <v>160787</v>
      </c>
      <c r="H10" s="20" t="n">
        <v>9101</v>
      </c>
      <c r="I10" s="20" t="n">
        <v>2821</v>
      </c>
      <c r="J10" s="20" t="n">
        <v>6280</v>
      </c>
      <c r="K10" s="20" t="n">
        <v>823</v>
      </c>
      <c r="L10" s="20" t="n">
        <v>182</v>
      </c>
      <c r="M10" s="20" t="n">
        <v>641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Total 0-5</t>
        </is>
      </c>
      <c r="B11" s="23" t="n">
        <v>1355667</v>
      </c>
      <c r="C11" s="23" t="n">
        <v>658857</v>
      </c>
      <c r="D11" s="23" t="n">
        <v>696810</v>
      </c>
      <c r="E11" s="23" t="n">
        <v>1331881</v>
      </c>
      <c r="F11" s="23" t="n">
        <v>650775</v>
      </c>
      <c r="G11" s="23" t="n">
        <v>681106</v>
      </c>
      <c r="H11" s="23" t="n">
        <v>22144</v>
      </c>
      <c r="I11" s="23" t="n">
        <v>7705</v>
      </c>
      <c r="J11" s="23" t="n">
        <v>14439</v>
      </c>
      <c r="K11" s="23" t="n">
        <v>1642</v>
      </c>
      <c r="L11" s="23" t="n">
        <v>377</v>
      </c>
      <c r="M11" s="23" t="n">
        <v>1265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5-10</t>
        </is>
      </c>
      <c r="B12" s="20" t="n">
        <v>1452854</v>
      </c>
      <c r="C12" s="20" t="n">
        <v>755963</v>
      </c>
      <c r="D12" s="20" t="n">
        <v>696891</v>
      </c>
      <c r="E12" s="20" t="n">
        <v>1289714</v>
      </c>
      <c r="F12" s="20" t="n">
        <v>725092</v>
      </c>
      <c r="G12" s="20" t="n">
        <v>564622</v>
      </c>
      <c r="H12" s="20" t="n">
        <v>153161</v>
      </c>
      <c r="I12" s="20" t="n">
        <v>28691</v>
      </c>
      <c r="J12" s="20" t="n">
        <v>124470</v>
      </c>
      <c r="K12" s="20" t="n">
        <v>9979</v>
      </c>
      <c r="L12" s="20" t="n">
        <v>2180</v>
      </c>
      <c r="M12" s="20" t="n">
        <v>7799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10-15</t>
        </is>
      </c>
      <c r="B13" s="23" t="n">
        <v>1350321</v>
      </c>
      <c r="C13" s="23" t="n">
        <v>739509</v>
      </c>
      <c r="D13" s="23" t="n">
        <v>610812</v>
      </c>
      <c r="E13" s="23" t="n">
        <v>879907</v>
      </c>
      <c r="F13" s="23" t="n">
        <v>633738</v>
      </c>
      <c r="G13" s="23" t="n">
        <v>246169</v>
      </c>
      <c r="H13" s="23" t="n">
        <v>443034</v>
      </c>
      <c r="I13" s="23" t="n">
        <v>98576</v>
      </c>
      <c r="J13" s="23" t="n">
        <v>344458</v>
      </c>
      <c r="K13" s="23" t="n">
        <v>27380</v>
      </c>
      <c r="L13" s="23" t="n">
        <v>7195</v>
      </c>
      <c r="M13" s="23" t="n">
        <v>20185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15-20</t>
        </is>
      </c>
      <c r="B14" s="20" t="n">
        <v>852389</v>
      </c>
      <c r="C14" s="20" t="n">
        <v>428409</v>
      </c>
      <c r="D14" s="20" t="n">
        <v>423980</v>
      </c>
      <c r="E14" s="20" t="n">
        <v>319500</v>
      </c>
      <c r="F14" s="20" t="n">
        <v>270156</v>
      </c>
      <c r="G14" s="20" t="n">
        <v>49344</v>
      </c>
      <c r="H14" s="20" t="n">
        <v>502285</v>
      </c>
      <c r="I14" s="20" t="n">
        <v>150145</v>
      </c>
      <c r="J14" s="20" t="n">
        <v>352140</v>
      </c>
      <c r="K14" s="20" t="n">
        <v>30604</v>
      </c>
      <c r="L14" s="20" t="n">
        <v>8108</v>
      </c>
      <c r="M14" s="20" t="n">
        <v>22496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20-25</t>
        </is>
      </c>
      <c r="B15" s="23" t="n">
        <v>894027</v>
      </c>
      <c r="C15" s="23" t="n">
        <v>405798</v>
      </c>
      <c r="D15" s="23" t="n">
        <v>488229</v>
      </c>
      <c r="E15" s="23" t="n">
        <v>161074</v>
      </c>
      <c r="F15" s="23" t="n">
        <v>134285</v>
      </c>
      <c r="G15" s="23" t="n">
        <v>26789</v>
      </c>
      <c r="H15" s="23" t="n">
        <v>682340</v>
      </c>
      <c r="I15" s="23" t="n">
        <v>259674</v>
      </c>
      <c r="J15" s="23" t="n">
        <v>422666</v>
      </c>
      <c r="K15" s="23" t="n">
        <v>50613</v>
      </c>
      <c r="L15" s="23" t="n">
        <v>11839</v>
      </c>
      <c r="M15" s="23" t="n">
        <v>38774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25-30</t>
        </is>
      </c>
      <c r="B16" s="20" t="n">
        <v>1051503</v>
      </c>
      <c r="C16" s="20" t="n">
        <v>523613</v>
      </c>
      <c r="D16" s="20" t="n">
        <v>527890</v>
      </c>
      <c r="E16" s="20" t="n">
        <v>127057</v>
      </c>
      <c r="F16" s="20" t="n">
        <v>76542</v>
      </c>
      <c r="G16" s="20" t="n">
        <v>50515</v>
      </c>
      <c r="H16" s="20" t="n">
        <v>844478</v>
      </c>
      <c r="I16" s="20" t="n">
        <v>425666</v>
      </c>
      <c r="J16" s="20" t="n">
        <v>418812</v>
      </c>
      <c r="K16" s="20" t="n">
        <v>79968</v>
      </c>
      <c r="L16" s="20" t="n">
        <v>21405</v>
      </c>
      <c r="M16" s="20" t="n">
        <v>58563</v>
      </c>
      <c r="N16" s="21">
        <f>IF(B16=E16+H16+K16,"✓",B16-(E16+H16+K16))</f>
        <v/>
      </c>
      <c r="O16" s="21">
        <f>IF(B16=C16+D16,"✓","✗")</f>
        <v/>
      </c>
    </row>
    <row r="17">
      <c r="A17" s="22" t="inlineStr">
        <is>
          <t>30-35</t>
        </is>
      </c>
      <c r="B17" s="23" t="n">
        <v>1072226</v>
      </c>
      <c r="C17" s="23" t="n">
        <v>538818</v>
      </c>
      <c r="D17" s="23" t="n">
        <v>533408</v>
      </c>
      <c r="E17" s="23" t="n">
        <v>77341</v>
      </c>
      <c r="F17" s="23" t="n">
        <v>40330</v>
      </c>
      <c r="G17" s="23" t="n">
        <v>37011</v>
      </c>
      <c r="H17" s="23" t="n">
        <v>869499</v>
      </c>
      <c r="I17" s="23" t="n">
        <v>470506</v>
      </c>
      <c r="J17" s="23" t="n">
        <v>398993</v>
      </c>
      <c r="K17" s="23" t="n">
        <v>125386</v>
      </c>
      <c r="L17" s="23" t="n">
        <v>27982</v>
      </c>
      <c r="M17" s="23" t="n">
        <v>97404</v>
      </c>
      <c r="N17" s="24">
        <f>IF(B17=E17+H17+K17,"✓",B17-(E17+H17+K17))</f>
        <v/>
      </c>
      <c r="O17" s="24">
        <f>IF(B17=C17+D17,"✓","✗")</f>
        <v/>
      </c>
    </row>
    <row r="18">
      <c r="A18" s="19" t="inlineStr">
        <is>
          <t>35-40</t>
        </is>
      </c>
      <c r="B18" s="20" t="n">
        <v>628589</v>
      </c>
      <c r="C18" s="20" t="n">
        <v>342613</v>
      </c>
      <c r="D18" s="20" t="n">
        <v>285976</v>
      </c>
      <c r="E18" s="20" t="n">
        <v>39074</v>
      </c>
      <c r="F18" s="20" t="n">
        <v>19244</v>
      </c>
      <c r="G18" s="20" t="n">
        <v>19830</v>
      </c>
      <c r="H18" s="20" t="n">
        <v>491882</v>
      </c>
      <c r="I18" s="20" t="n">
        <v>301284</v>
      </c>
      <c r="J18" s="20" t="n">
        <v>190598</v>
      </c>
      <c r="K18" s="20" t="n">
        <v>97633</v>
      </c>
      <c r="L18" s="20" t="n">
        <v>22085</v>
      </c>
      <c r="M18" s="20" t="n">
        <v>75548</v>
      </c>
      <c r="N18" s="21">
        <f>IF(B18=E18+H18+K18,"✓",B18-(E18+H18+K18))</f>
        <v/>
      </c>
      <c r="O18" s="21">
        <f>IF(B18=C18+D18,"✓","✗")</f>
        <v/>
      </c>
    </row>
    <row r="19">
      <c r="A19" s="22" t="inlineStr">
        <is>
          <t>40-45</t>
        </is>
      </c>
      <c r="B19" s="23" t="n">
        <v>818675</v>
      </c>
      <c r="C19" s="23" t="n">
        <v>425753</v>
      </c>
      <c r="D19" s="23" t="n">
        <v>392922</v>
      </c>
      <c r="E19" s="23" t="n">
        <v>33616</v>
      </c>
      <c r="F19" s="23" t="n">
        <v>20963</v>
      </c>
      <c r="G19" s="23" t="n">
        <v>12653</v>
      </c>
      <c r="H19" s="23" t="n">
        <v>579819</v>
      </c>
      <c r="I19" s="23" t="n">
        <v>366990</v>
      </c>
      <c r="J19" s="23" t="n">
        <v>212829</v>
      </c>
      <c r="K19" s="23" t="n">
        <v>205240</v>
      </c>
      <c r="L19" s="23" t="n">
        <v>37800</v>
      </c>
      <c r="M19" s="23" t="n">
        <v>167440</v>
      </c>
      <c r="N19" s="24">
        <f>IF(B19=E19+H19+K19,"✓",B19-(E19+H19+K19))</f>
        <v/>
      </c>
      <c r="O19" s="24">
        <f>IF(B19=C19+D19,"✓","✗")</f>
        <v/>
      </c>
    </row>
    <row r="20">
      <c r="A20" s="19" t="inlineStr">
        <is>
          <t>45-50</t>
        </is>
      </c>
      <c r="B20" s="20" t="n">
        <v>357058</v>
      </c>
      <c r="C20" s="20" t="n">
        <v>200814</v>
      </c>
      <c r="D20" s="20" t="n">
        <v>156244</v>
      </c>
      <c r="E20" s="20" t="n">
        <v>13097</v>
      </c>
      <c r="F20" s="20" t="n">
        <v>8461</v>
      </c>
      <c r="G20" s="20" t="n">
        <v>4636</v>
      </c>
      <c r="H20" s="20" t="n">
        <v>246293</v>
      </c>
      <c r="I20" s="20" t="n">
        <v>169334</v>
      </c>
      <c r="J20" s="20" t="n">
        <v>76959</v>
      </c>
      <c r="K20" s="20" t="n">
        <v>97668</v>
      </c>
      <c r="L20" s="20" t="n">
        <v>23019</v>
      </c>
      <c r="M20" s="20" t="n">
        <v>74649</v>
      </c>
      <c r="N20" s="21">
        <f>IF(B20=E20+H20+K20,"✓",B20-(E20+H20+K20))</f>
        <v/>
      </c>
      <c r="O20" s="21">
        <f>IF(B20=C20+D20,"✓","✗")</f>
        <v/>
      </c>
    </row>
    <row r="21">
      <c r="A21" s="22" t="inlineStr">
        <is>
          <t>50-55</t>
        </is>
      </c>
      <c r="B21" s="23" t="n">
        <v>568550</v>
      </c>
      <c r="C21" s="23" t="n">
        <v>289341</v>
      </c>
      <c r="D21" s="23" t="n">
        <v>279209</v>
      </c>
      <c r="E21" s="23" t="n">
        <v>16361</v>
      </c>
      <c r="F21" s="23" t="n">
        <v>10586</v>
      </c>
      <c r="G21" s="23" t="n">
        <v>5775</v>
      </c>
      <c r="H21" s="23" t="n">
        <v>328319</v>
      </c>
      <c r="I21" s="23" t="n">
        <v>233902</v>
      </c>
      <c r="J21" s="23" t="n">
        <v>94417</v>
      </c>
      <c r="K21" s="23" t="n">
        <v>223870</v>
      </c>
      <c r="L21" s="23" t="n">
        <v>44853</v>
      </c>
      <c r="M21" s="23" t="n">
        <v>179017</v>
      </c>
      <c r="N21" s="24">
        <f>IF(B21=E21+H21+K21,"✓",B21-(E21+H21+K21))</f>
        <v/>
      </c>
      <c r="O21" s="24">
        <f>IF(B21=C21+D21,"✓","✗")</f>
        <v/>
      </c>
    </row>
    <row r="22">
      <c r="A22" s="19" t="inlineStr">
        <is>
          <t>55-60</t>
        </is>
      </c>
      <c r="B22" s="20" t="n">
        <v>168158</v>
      </c>
      <c r="C22" s="20" t="n">
        <v>93094</v>
      </c>
      <c r="D22" s="20" t="n">
        <v>75064</v>
      </c>
      <c r="E22" s="20" t="n">
        <v>6938</v>
      </c>
      <c r="F22" s="20" t="n">
        <v>4499</v>
      </c>
      <c r="G22" s="20" t="n">
        <v>2439</v>
      </c>
      <c r="H22" s="20" t="n">
        <v>97359</v>
      </c>
      <c r="I22" s="20" t="n">
        <v>69913</v>
      </c>
      <c r="J22" s="20" t="n">
        <v>27446</v>
      </c>
      <c r="K22" s="20" t="n">
        <v>63861</v>
      </c>
      <c r="L22" s="20" t="n">
        <v>18682</v>
      </c>
      <c r="M22" s="20" t="n">
        <v>45179</v>
      </c>
      <c r="N22" s="21">
        <f>IF(B22=E22+H22+K22,"✓",B22-(E22+H22+K22))</f>
        <v/>
      </c>
      <c r="O22" s="21">
        <f>IF(B22=C22+D22,"✓","✗")</f>
        <v/>
      </c>
    </row>
    <row r="23">
      <c r="A23" s="22" t="inlineStr">
        <is>
          <t>60 &amp; over</t>
        </is>
      </c>
      <c r="B23" s="23" t="n">
        <v>570951</v>
      </c>
      <c r="C23" s="23" t="n">
        <v>271002</v>
      </c>
      <c r="D23" s="23" t="n">
        <v>299949</v>
      </c>
      <c r="E23" s="23" t="n">
        <v>15862</v>
      </c>
      <c r="F23" s="23" t="n">
        <v>9748</v>
      </c>
      <c r="G23" s="23" t="n">
        <v>6114</v>
      </c>
      <c r="H23" s="23" t="n">
        <v>241694</v>
      </c>
      <c r="I23" s="23" t="n">
        <v>190386</v>
      </c>
      <c r="J23" s="23" t="n">
        <v>51308</v>
      </c>
      <c r="K23" s="23" t="n">
        <v>313395</v>
      </c>
      <c r="L23" s="23" t="n">
        <v>70868</v>
      </c>
      <c r="M23" s="23" t="n">
        <v>242527</v>
      </c>
      <c r="N23" s="24">
        <f>IF(B23=E23+H23+K23,"✓",B23-(E23+H23+K23))</f>
        <v/>
      </c>
      <c r="O23" s="24">
        <f>IF(B23=C23+D23,"✓","✗")</f>
        <v/>
      </c>
    </row>
    <row r="24">
      <c r="A24" s="19" t="inlineStr">
        <is>
          <t>Age not stated</t>
        </is>
      </c>
      <c r="B24" s="20" t="n">
        <v>174</v>
      </c>
      <c r="C24" s="20" t="n">
        <v>45</v>
      </c>
      <c r="D24" s="20" t="n">
        <v>129</v>
      </c>
      <c r="E24" s="20" t="n">
        <v>103</v>
      </c>
      <c r="F24" s="20" t="n">
        <v>20</v>
      </c>
      <c r="G24" s="20" t="n">
        <v>83</v>
      </c>
      <c r="H24" s="20" t="n">
        <v>60</v>
      </c>
      <c r="I24" s="20" t="n">
        <v>23</v>
      </c>
      <c r="J24" s="20" t="n">
        <v>37</v>
      </c>
      <c r="K24" s="20" t="n">
        <v>11</v>
      </c>
      <c r="L24" s="20" t="n">
        <v>2</v>
      </c>
      <c r="M24" s="20" t="n">
        <v>9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Total</t>
        </is>
      </c>
      <c r="B25" s="23" t="n">
        <v>11141142</v>
      </c>
      <c r="C25" s="23" t="n">
        <v>5673629</v>
      </c>
      <c r="D25" s="23" t="n">
        <v>5467513</v>
      </c>
      <c r="E25" s="23" t="n">
        <v>4311525</v>
      </c>
      <c r="F25" s="23" t="n">
        <v>2604439</v>
      </c>
      <c r="G25" s="23" t="n">
        <v>1707086</v>
      </c>
      <c r="H25" s="23" t="n">
        <v>5502367</v>
      </c>
      <c r="I25" s="23" t="n">
        <v>2772795</v>
      </c>
      <c r="J25" s="23" t="n">
        <v>2729572</v>
      </c>
      <c r="K25" s="23" t="n">
        <v>1327250</v>
      </c>
      <c r="L25" s="23" t="n">
        <v>296395</v>
      </c>
      <c r="M25" s="23" t="n">
        <v>1030855</v>
      </c>
      <c r="N25" s="24">
        <f>IF(B25=E25+H25+K25,"✓",B25-(E25+H25+K25))</f>
        <v/>
      </c>
      <c r="O25" s="24">
        <f>IF(B25=C25+D25,"✓","✗")</f>
        <v/>
      </c>
    </row>
    <row r="26">
      <c r="A26" s="25" t="inlineStr">
        <is>
          <t>Verify: Sum</t>
        </is>
      </c>
      <c r="B26" s="26">
        <f>IF(SUM(B6:B25)=B5,"✓",SUM(B6:B25)-B5)</f>
        <v/>
      </c>
      <c r="C26" s="26">
        <f>IF(SUM(C6:C25)=C5,"✓",SUM(C6:C25)-C5)</f>
        <v/>
      </c>
      <c r="D26" s="26">
        <f>IF(SUM(D6:D25)=D5,"✓",SUM(D6:D25)-D5)</f>
        <v/>
      </c>
      <c r="E26" s="26">
        <f>IF(SUM(E6:E25)=E5,"✓",SUM(E6:E25)-E5)</f>
        <v/>
      </c>
      <c r="F26" s="26">
        <f>IF(SUM(F6:F25)=F5,"✓",SUM(F6:F25)-F5)</f>
        <v/>
      </c>
      <c r="G26" s="26">
        <f>IF(SUM(G6:G25)=G5,"✓",SUM(G6:G25)-G5)</f>
        <v/>
      </c>
      <c r="H26" s="26">
        <f>IF(SUM(H6:H25)=H5,"✓",SUM(H6:H25)-H5)</f>
        <v/>
      </c>
      <c r="I26" s="26">
        <f>IF(SUM(I6:I25)=I5,"✓",SUM(I6:I25)-I5)</f>
        <v/>
      </c>
      <c r="J26" s="26">
        <f>IF(SUM(J6:J25)=J5,"✓",SUM(J6:J25)-J5)</f>
        <v/>
      </c>
      <c r="K26" s="26">
        <f>IF(SUM(K6:K25)=K5,"✓",SUM(K6:K25)-K5)</f>
        <v/>
      </c>
      <c r="L26" s="26">
        <f>IF(SUM(L6:L25)=L5,"✓",SUM(L6:L25)-L5)</f>
        <v/>
      </c>
      <c r="M26" s="26">
        <f>IF(SUM(M6:M25)=M5,"✓",SUM(M6:M25)-M5)</f>
        <v/>
      </c>
    </row>
  </sheetData>
  <mergeCells count="4">
    <mergeCell ref="H3:J3"/>
    <mergeCell ref="B3:D3"/>
    <mergeCell ref="E3:G3"/>
    <mergeCell ref="K3:M3"/>
  </mergeCells>
  <conditionalFormatting sqref="N5:N26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26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2026-03-17T18:18:21Z</dcterms:created>
  <dcterms:modified xmlns:dcterms="http://purl.org/dc/terms/" xmlns:xsi="http://www.w3.org/2001/XMLSchema-instance" xsi:type="dcterms:W3CDTF">2026-03-17T18:18:21Z</dcterms:modified>
</cp:coreProperties>
</file>