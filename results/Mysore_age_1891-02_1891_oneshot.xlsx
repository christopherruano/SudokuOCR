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- Continu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1" t="inlineStr">
        <is>
          <t>Mysore — 1901</t>
        </is>
      </c>
    </row>
    <row r="2">
      <c r="A2" s="2" t="inlineStr">
        <is>
          <t>Source: TABLE VIII. PART A.- Continued. (1) Unmarried.</t>
        </is>
      </c>
    </row>
    <row r="3">
      <c r="A3" s="3" t="inlineStr">
        <is>
          <t>TABLE VIII. PART A.- Continued. (1) Unmarried.</t>
        </is>
      </c>
    </row>
    <row r="4">
      <c r="A4" s="4" t="inlineStr">
        <is>
          <t>Age</t>
        </is>
      </c>
      <c r="B4" s="5" t="inlineStr">
        <is>
          <t>15-19</t>
        </is>
      </c>
      <c r="C4" s="6" t="n"/>
      <c r="D4" s="6" t="n"/>
      <c r="E4" s="7" t="inlineStr">
        <is>
          <t>20-24</t>
        </is>
      </c>
      <c r="F4" s="8" t="n"/>
      <c r="G4" s="8" t="n"/>
      <c r="H4" s="9" t="inlineStr">
        <is>
          <t>25-29</t>
        </is>
      </c>
      <c r="I4" s="10" t="n"/>
      <c r="J4" s="10" t="n"/>
      <c r="K4" s="11" t="inlineStr">
        <is>
          <t>30-34</t>
        </is>
      </c>
      <c r="L4" s="12" t="n"/>
      <c r="M4" s="12" t="n"/>
      <c r="N4" s="13" t="inlineStr">
        <is>
          <t>35-39</t>
        </is>
      </c>
      <c r="O4" s="14" t="n"/>
      <c r="P4" s="14" t="n"/>
      <c r="Q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M+F=P</t>
        </is>
      </c>
    </row>
    <row r="6">
      <c r="A6" s="18" t="inlineStr">
        <is>
          <t>Total</t>
        </is>
      </c>
      <c r="B6" s="19" t="n">
        <v>634926</v>
      </c>
      <c r="C6" s="19" t="n">
        <v>543297</v>
      </c>
      <c r="D6" s="19" t="n">
        <v>91629</v>
      </c>
      <c r="E6" s="19" t="n">
        <v>394450</v>
      </c>
      <c r="F6" s="19" t="n">
        <v>364000</v>
      </c>
      <c r="G6" s="19" t="n">
        <v>30450</v>
      </c>
      <c r="H6" s="19" t="n">
        <v>215400</v>
      </c>
      <c r="I6" s="19" t="n">
        <v>194210</v>
      </c>
      <c r="J6" s="19" t="n">
        <v>21190</v>
      </c>
      <c r="K6" s="19" t="n">
        <v>102463</v>
      </c>
      <c r="L6" s="19" t="n">
        <v>85827</v>
      </c>
      <c r="M6" s="19" t="n">
        <v>16636</v>
      </c>
      <c r="N6" s="19" t="n">
        <v>54430</v>
      </c>
      <c r="O6" s="19" t="n">
        <v>44127</v>
      </c>
      <c r="P6" s="19" t="n">
        <v>10303</v>
      </c>
      <c r="Q6" s="20">
        <f>IF(B6=C6+D6,"✓","✗")</f>
        <v/>
      </c>
    </row>
    <row r="7">
      <c r="A7" s="21" t="inlineStr">
        <is>
          <t>1 Bangalore</t>
        </is>
      </c>
      <c r="B7" s="22" t="n">
        <v>25820</v>
      </c>
      <c r="C7" s="22" t="n">
        <v>23476</v>
      </c>
      <c r="D7" s="22" t="n">
        <v>2344</v>
      </c>
      <c r="E7" s="22" t="n">
        <v>15824</v>
      </c>
      <c r="F7" s="22" t="n">
        <v>15067</v>
      </c>
      <c r="G7" s="22" t="n">
        <v>757</v>
      </c>
      <c r="H7" s="22" t="n">
        <v>7894</v>
      </c>
      <c r="I7" s="22" t="n">
        <v>7357</v>
      </c>
      <c r="J7" s="22" t="n">
        <v>537</v>
      </c>
      <c r="K7" s="22" t="n">
        <v>3234</v>
      </c>
      <c r="L7" s="22" t="n">
        <v>2777</v>
      </c>
      <c r="M7" s="22" t="n">
        <v>457</v>
      </c>
      <c r="N7" s="22" t="n">
        <v>1673</v>
      </c>
      <c r="O7" s="22" t="n">
        <v>1409</v>
      </c>
      <c r="P7" s="22" t="n">
        <v>264</v>
      </c>
      <c r="Q7" s="23">
        <f>IF(B7=C7+D7,"✓","✗")</f>
        <v/>
      </c>
    </row>
    <row r="8">
      <c r="A8" s="24" t="inlineStr">
        <is>
          <t>2 Kolar</t>
        </is>
      </c>
      <c r="B8" s="25" t="n">
        <v>21665</v>
      </c>
      <c r="C8" s="25" t="n">
        <v>19538</v>
      </c>
      <c r="D8" s="25" t="n">
        <v>2127</v>
      </c>
      <c r="E8" s="25" t="n">
        <v>16433</v>
      </c>
      <c r="F8" s="25" t="n">
        <v>15792</v>
      </c>
      <c r="G8" s="25" t="n">
        <v>641</v>
      </c>
      <c r="H8" s="25" t="n">
        <v>9261</v>
      </c>
      <c r="I8" s="25" t="n">
        <v>8715</v>
      </c>
      <c r="J8" s="25" t="n">
        <v>546</v>
      </c>
      <c r="K8" s="25" t="n">
        <v>5357</v>
      </c>
      <c r="L8" s="25" t="n">
        <v>4828</v>
      </c>
      <c r="M8" s="25" t="n">
        <v>529</v>
      </c>
      <c r="N8" s="25" t="n">
        <v>2192</v>
      </c>
      <c r="O8" s="25" t="n">
        <v>1924</v>
      </c>
      <c r="P8" s="25" t="n">
        <v>268</v>
      </c>
      <c r="Q8" s="26">
        <f>IF(B8=C8+D8,"✓","✗")</f>
        <v/>
      </c>
    </row>
    <row r="9">
      <c r="A9" s="21" t="inlineStr">
        <is>
          <t>3 Tumkur</t>
        </is>
      </c>
      <c r="B9" s="22" t="n">
        <v>24930</v>
      </c>
      <c r="C9" s="22" t="n">
        <v>22402</v>
      </c>
      <c r="D9" s="22" t="n">
        <v>2528</v>
      </c>
      <c r="E9" s="22" t="n">
        <v>17048</v>
      </c>
      <c r="F9" s="22" t="n">
        <v>16156</v>
      </c>
      <c r="G9" s="22" t="n">
        <v>892</v>
      </c>
      <c r="H9" s="22" t="n">
        <v>9842</v>
      </c>
      <c r="I9" s="22" t="n">
        <v>8989</v>
      </c>
      <c r="J9" s="22" t="n">
        <v>853</v>
      </c>
      <c r="K9" s="22" t="n">
        <v>4038</v>
      </c>
      <c r="L9" s="22" t="n">
        <v>3341</v>
      </c>
      <c r="M9" s="22" t="n">
        <v>697</v>
      </c>
      <c r="N9" s="22" t="n">
        <v>2200</v>
      </c>
      <c r="O9" s="22" t="n">
        <v>1765</v>
      </c>
      <c r="P9" s="22" t="n">
        <v>435</v>
      </c>
      <c r="Q9" s="23">
        <f>IF(B9=C9+D9,"✓","✗")</f>
        <v/>
      </c>
    </row>
    <row r="10">
      <c r="A10" s="24" t="inlineStr">
        <is>
          <t>4 Mysore</t>
        </is>
      </c>
      <c r="B10" s="25" t="n">
        <v>48908</v>
      </c>
      <c r="C10" s="25" t="n">
        <v>41107</v>
      </c>
      <c r="D10" s="25" t="n">
        <v>7801</v>
      </c>
      <c r="E10" s="25" t="n">
        <v>25469</v>
      </c>
      <c r="F10" s="25" t="n">
        <v>22595</v>
      </c>
      <c r="G10" s="25" t="n">
        <v>2874</v>
      </c>
      <c r="H10" s="25" t="n">
        <v>12622</v>
      </c>
      <c r="I10" s="25" t="n">
        <v>10938</v>
      </c>
      <c r="J10" s="25" t="n">
        <v>1684</v>
      </c>
      <c r="K10" s="25" t="n">
        <v>5726</v>
      </c>
      <c r="L10" s="25" t="n">
        <v>4569</v>
      </c>
      <c r="M10" s="25" t="n">
        <v>1157</v>
      </c>
      <c r="N10" s="25" t="n">
        <v>3156</v>
      </c>
      <c r="O10" s="25" t="n">
        <v>2400</v>
      </c>
      <c r="P10" s="25" t="n">
        <v>756</v>
      </c>
      <c r="Q10" s="26">
        <f>IF(B10=C10+D10,"✓","✗")</f>
        <v/>
      </c>
    </row>
    <row r="11">
      <c r="A11" s="21" t="inlineStr">
        <is>
          <t>5 Hassan</t>
        </is>
      </c>
      <c r="B11" s="22" t="n">
        <v>26431</v>
      </c>
      <c r="C11" s="22" t="n">
        <v>20927</v>
      </c>
      <c r="D11" s="22" t="n">
        <v>5504</v>
      </c>
      <c r="E11" s="22" t="n">
        <v>14379</v>
      </c>
      <c r="F11" s="22" t="n">
        <v>13213</v>
      </c>
      <c r="G11" s="22" t="n">
        <v>1166</v>
      </c>
      <c r="H11" s="22" t="n">
        <v>7238</v>
      </c>
      <c r="I11" s="22" t="n">
        <v>6662</v>
      </c>
      <c r="J11" s="22" t="n">
        <v>576</v>
      </c>
      <c r="K11" s="22" t="n">
        <v>3208</v>
      </c>
      <c r="L11" s="22" t="n">
        <v>2818</v>
      </c>
      <c r="M11" s="22" t="n">
        <v>390</v>
      </c>
      <c r="N11" s="22" t="n">
        <v>1569</v>
      </c>
      <c r="O11" s="22" t="n">
        <v>1325</v>
      </c>
      <c r="P11" s="22" t="n">
        <v>244</v>
      </c>
      <c r="Q11" s="23">
        <f>IF(B11=C11+D11,"✓","✗")</f>
        <v/>
      </c>
    </row>
    <row r="12">
      <c r="A12" s="24" t="inlineStr">
        <is>
          <t>6 Shimoga</t>
        </is>
      </c>
      <c r="B12" s="25" t="n">
        <v>26694</v>
      </c>
      <c r="C12" s="25" t="n">
        <v>22568</v>
      </c>
      <c r="D12" s="25" t="n">
        <v>4126</v>
      </c>
      <c r="E12" s="25" t="n">
        <v>16384</v>
      </c>
      <c r="F12" s="25" t="n">
        <v>14556</v>
      </c>
      <c r="G12" s="25" t="n">
        <v>1828</v>
      </c>
      <c r="H12" s="25" t="n">
        <v>10133</v>
      </c>
      <c r="I12" s="25" t="n">
        <v>8674</v>
      </c>
      <c r="J12" s="25" t="n">
        <v>1459</v>
      </c>
      <c r="K12" s="25" t="n">
        <v>5774</v>
      </c>
      <c r="L12" s="25" t="n">
        <v>4507</v>
      </c>
      <c r="M12" s="25" t="n">
        <v>1267</v>
      </c>
      <c r="N12" s="25" t="n">
        <v>3576</v>
      </c>
      <c r="O12" s="25" t="n">
        <v>2814</v>
      </c>
      <c r="P12" s="25" t="n">
        <v>762</v>
      </c>
      <c r="Q12" s="26">
        <f>IF(B12=C12+D12,"✓","✗")</f>
        <v/>
      </c>
    </row>
    <row r="13">
      <c r="A13" s="21" t="inlineStr">
        <is>
          <t>7 Kadur</t>
        </is>
      </c>
      <c r="B13" s="22" t="n">
        <v>17822</v>
      </c>
      <c r="C13" s="22" t="n">
        <v>14647</v>
      </c>
      <c r="D13" s="22" t="n">
        <v>3175</v>
      </c>
      <c r="E13" s="22" t="n">
        <v>11284</v>
      </c>
      <c r="F13" s="22" t="n">
        <v>10496</v>
      </c>
      <c r="G13" s="22" t="n">
        <v>788</v>
      </c>
      <c r="H13" s="22" t="n">
        <v>6516</v>
      </c>
      <c r="I13" s="22" t="n">
        <v>5992</v>
      </c>
      <c r="J13" s="22" t="n">
        <v>524</v>
      </c>
      <c r="K13" s="22" t="n">
        <v>3153</v>
      </c>
      <c r="L13" s="22" t="n">
        <v>2809</v>
      </c>
      <c r="M13" s="22" t="n">
        <v>344</v>
      </c>
      <c r="N13" s="22" t="n">
        <v>1748</v>
      </c>
      <c r="O13" s="22" t="n">
        <v>1456</v>
      </c>
      <c r="P13" s="22" t="n">
        <v>292</v>
      </c>
      <c r="Q13" s="23">
        <f>IF(B13=C13+D13,"✓","✗")</f>
        <v/>
      </c>
    </row>
    <row r="14">
      <c r="A14" s="24" t="inlineStr">
        <is>
          <t>8 Chitaldurg</t>
        </is>
      </c>
      <c r="B14" s="25" t="n">
        <v>16026</v>
      </c>
      <c r="C14" s="25" t="n">
        <v>13894</v>
      </c>
      <c r="D14" s="25" t="n">
        <v>2132</v>
      </c>
      <c r="E14" s="25" t="n">
        <v>11885</v>
      </c>
      <c r="F14" s="25" t="n">
        <v>11015</v>
      </c>
      <c r="G14" s="25" t="n">
        <v>870</v>
      </c>
      <c r="H14" s="25" t="n">
        <v>7154</v>
      </c>
      <c r="I14" s="25" t="n">
        <v>6443</v>
      </c>
      <c r="J14" s="25" t="n">
        <v>711</v>
      </c>
      <c r="K14" s="25" t="n">
        <v>3277</v>
      </c>
      <c r="L14" s="25" t="n">
        <v>2678</v>
      </c>
      <c r="M14" s="25" t="n">
        <v>599</v>
      </c>
      <c r="N14" s="25" t="n">
        <v>1860</v>
      </c>
      <c r="O14" s="25" t="n">
        <v>1508</v>
      </c>
      <c r="P14" s="25" t="n">
        <v>352</v>
      </c>
      <c r="Q14" s="26">
        <f>IF(B14=C14+D14,"✓","✗")</f>
        <v/>
      </c>
    </row>
    <row r="15">
      <c r="A15" s="21" t="inlineStr">
        <is>
          <t>Total</t>
        </is>
      </c>
      <c r="B15" s="22" t="n">
        <v>208296</v>
      </c>
      <c r="C15" s="22" t="n">
        <v>178559</v>
      </c>
      <c r="D15" s="22" t="n">
        <v>29737</v>
      </c>
      <c r="E15" s="22" t="n">
        <v>128706</v>
      </c>
      <c r="F15" s="22" t="n">
        <v>118890</v>
      </c>
      <c r="G15" s="22" t="n">
        <v>9816</v>
      </c>
      <c r="H15" s="22" t="n">
        <v>70660</v>
      </c>
      <c r="I15" s="22" t="n">
        <v>63770</v>
      </c>
      <c r="J15" s="22" t="n">
        <v>6890</v>
      </c>
      <c r="K15" s="22" t="n">
        <v>33767</v>
      </c>
      <c r="L15" s="22" t="n">
        <v>28327</v>
      </c>
      <c r="M15" s="22" t="n">
        <v>5440</v>
      </c>
      <c r="N15" s="22" t="n">
        <v>17974</v>
      </c>
      <c r="O15" s="22" t="n">
        <v>14601</v>
      </c>
      <c r="P15" s="22" t="n">
        <v>3373</v>
      </c>
      <c r="Q15" s="23">
        <f>IF(B15=C15+D15,"✓","✗")</f>
        <v/>
      </c>
    </row>
    <row r="16">
      <c r="A16" s="24" t="inlineStr">
        <is>
          <t>The Civil and Military Station, Bangalore...</t>
        </is>
      </c>
      <c r="B16" s="25" t="n">
        <v>5019</v>
      </c>
      <c r="C16" s="25" t="n">
        <v>3810</v>
      </c>
      <c r="D16" s="25" t="n">
        <v>1209</v>
      </c>
      <c r="E16" s="25" t="n">
        <v>4166</v>
      </c>
      <c r="F16" s="25" t="n">
        <v>3665</v>
      </c>
      <c r="G16" s="25" t="n">
        <v>501</v>
      </c>
      <c r="H16" s="25" t="n">
        <v>1710</v>
      </c>
      <c r="I16" s="25" t="n">
        <v>1450</v>
      </c>
      <c r="J16" s="25" t="n">
        <v>260</v>
      </c>
      <c r="K16" s="25" t="n">
        <v>581</v>
      </c>
      <c r="L16" s="25" t="n">
        <v>423</v>
      </c>
      <c r="M16" s="25" t="n">
        <v>158</v>
      </c>
      <c r="N16" s="25" t="n">
        <v>254</v>
      </c>
      <c r="O16" s="25" t="n">
        <v>162</v>
      </c>
      <c r="P16" s="25" t="n">
        <v>92</v>
      </c>
      <c r="Q16" s="26">
        <f>IF(B16=C16+D16,"✓","✗")</f>
        <v/>
      </c>
    </row>
    <row r="17">
      <c r="A17" s="21" t="inlineStr">
        <is>
          <t>GRAND TOTAL...</t>
        </is>
      </c>
      <c r="B17" s="22" t="n">
        <v>213315</v>
      </c>
      <c r="C17" s="22" t="n">
        <v>182369</v>
      </c>
      <c r="D17" s="22" t="n">
        <v>30946</v>
      </c>
      <c r="E17" s="22" t="n">
        <v>132872</v>
      </c>
      <c r="F17" s="22" t="n">
        <v>122555</v>
      </c>
      <c r="G17" s="22" t="n">
        <v>10317</v>
      </c>
      <c r="H17" s="22" t="n">
        <v>72370</v>
      </c>
      <c r="I17" s="22" t="n">
        <v>65220</v>
      </c>
      <c r="J17" s="22" t="n">
        <v>7150</v>
      </c>
      <c r="K17" s="22" t="n">
        <v>34348</v>
      </c>
      <c r="L17" s="22" t="n">
        <v>28750</v>
      </c>
      <c r="M17" s="22" t="n">
        <v>5598</v>
      </c>
      <c r="N17" s="22" t="n">
        <v>18228</v>
      </c>
      <c r="O17" s="22" t="n">
        <v>14763</v>
      </c>
      <c r="P17" s="22" t="n">
        <v>3465</v>
      </c>
      <c r="Q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29" t="inlineStr">
        <is>
          <t>Mysore — 1901</t>
        </is>
      </c>
    </row>
    <row r="2">
      <c r="A2" s="3" t="inlineStr">
        <is>
          <t>TABLE VIII. PART A.- Continued. (1) Unmarried.</t>
        </is>
      </c>
    </row>
    <row r="3">
      <c r="A3" s="4" t="inlineStr">
        <is>
          <t>Age</t>
        </is>
      </c>
      <c r="B3" s="5" t="inlineStr">
        <is>
          <t>15-19</t>
        </is>
      </c>
      <c r="C3" s="6" t="n"/>
      <c r="D3" s="6" t="n"/>
      <c r="E3" s="7" t="inlineStr">
        <is>
          <t>20-24</t>
        </is>
      </c>
      <c r="F3" s="8" t="n"/>
      <c r="G3" s="8" t="n"/>
      <c r="H3" s="9" t="inlineStr">
        <is>
          <t>25-29</t>
        </is>
      </c>
      <c r="I3" s="10" t="n"/>
      <c r="J3" s="10" t="n"/>
      <c r="K3" s="11" t="inlineStr">
        <is>
          <t>30-34</t>
        </is>
      </c>
      <c r="L3" s="12" t="n"/>
      <c r="M3" s="12" t="n"/>
      <c r="N3" s="13" t="inlineStr">
        <is>
          <t>35-39</t>
        </is>
      </c>
      <c r="O3" s="14" t="n"/>
      <c r="P3" s="14" t="n"/>
      <c r="Q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M+F=P</t>
        </is>
      </c>
    </row>
    <row r="5">
      <c r="A5" s="18" t="inlineStr">
        <is>
          <t>Total</t>
        </is>
      </c>
      <c r="B5" s="19" t="n">
        <v>634926</v>
      </c>
      <c r="C5" s="19" t="n">
        <v>543297</v>
      </c>
      <c r="D5" s="19" t="n">
        <v>91629</v>
      </c>
      <c r="E5" s="19" t="n">
        <v>394450</v>
      </c>
      <c r="F5" s="19" t="n">
        <v>364000</v>
      </c>
      <c r="G5" s="19" t="n">
        <v>30450</v>
      </c>
      <c r="H5" s="19" t="n">
        <v>215400</v>
      </c>
      <c r="I5" s="19" t="n">
        <v>194210</v>
      </c>
      <c r="J5" s="19" t="n">
        <v>21190</v>
      </c>
      <c r="K5" s="19" t="n">
        <v>102463</v>
      </c>
      <c r="L5" s="19" t="n">
        <v>85827</v>
      </c>
      <c r="M5" s="19" t="n">
        <v>16636</v>
      </c>
      <c r="N5" s="19" t="n">
        <v>54430</v>
      </c>
      <c r="O5" s="19" t="n">
        <v>44127</v>
      </c>
      <c r="P5" s="19" t="n">
        <v>10303</v>
      </c>
      <c r="Q5" s="20">
        <f>IF(B5=C5+D5,"✓","✗")</f>
        <v/>
      </c>
    </row>
    <row r="6">
      <c r="A6" s="21" t="inlineStr">
        <is>
          <t>1 Bangalore</t>
        </is>
      </c>
      <c r="B6" s="22" t="n">
        <v>25820</v>
      </c>
      <c r="C6" s="22" t="n">
        <v>23476</v>
      </c>
      <c r="D6" s="22" t="n">
        <v>2344</v>
      </c>
      <c r="E6" s="22" t="n">
        <v>15824</v>
      </c>
      <c r="F6" s="22" t="n">
        <v>15067</v>
      </c>
      <c r="G6" s="22" t="n">
        <v>757</v>
      </c>
      <c r="H6" s="22" t="n">
        <v>7894</v>
      </c>
      <c r="I6" s="22" t="n">
        <v>7357</v>
      </c>
      <c r="J6" s="22" t="n">
        <v>537</v>
      </c>
      <c r="K6" s="22" t="n">
        <v>3234</v>
      </c>
      <c r="L6" s="22" t="n">
        <v>2777</v>
      </c>
      <c r="M6" s="22" t="n">
        <v>457</v>
      </c>
      <c r="N6" s="22" t="n">
        <v>1673</v>
      </c>
      <c r="O6" s="22" t="n">
        <v>1409</v>
      </c>
      <c r="P6" s="22" t="n">
        <v>264</v>
      </c>
      <c r="Q6" s="23">
        <f>IF(B6=C6+D6,"✓","✗")</f>
        <v/>
      </c>
    </row>
    <row r="7">
      <c r="A7" s="24" t="inlineStr">
        <is>
          <t>2 Kolar</t>
        </is>
      </c>
      <c r="B7" s="25" t="n">
        <v>21665</v>
      </c>
      <c r="C7" s="25" t="n">
        <v>19538</v>
      </c>
      <c r="D7" s="25" t="n">
        <v>2127</v>
      </c>
      <c r="E7" s="25" t="n">
        <v>16433</v>
      </c>
      <c r="F7" s="25" t="n">
        <v>15792</v>
      </c>
      <c r="G7" s="25" t="n">
        <v>641</v>
      </c>
      <c r="H7" s="25" t="n">
        <v>9261</v>
      </c>
      <c r="I7" s="25" t="n">
        <v>8715</v>
      </c>
      <c r="J7" s="25" t="n">
        <v>546</v>
      </c>
      <c r="K7" s="25" t="n">
        <v>5357</v>
      </c>
      <c r="L7" s="25" t="n">
        <v>4828</v>
      </c>
      <c r="M7" s="25" t="n">
        <v>529</v>
      </c>
      <c r="N7" s="25" t="n">
        <v>2192</v>
      </c>
      <c r="O7" s="25" t="n">
        <v>1924</v>
      </c>
      <c r="P7" s="25" t="n">
        <v>268</v>
      </c>
      <c r="Q7" s="26">
        <f>IF(B7=C7+D7,"✓","✗")</f>
        <v/>
      </c>
    </row>
    <row r="8">
      <c r="A8" s="21" t="inlineStr">
        <is>
          <t>3 Tumkur</t>
        </is>
      </c>
      <c r="B8" s="22" t="n">
        <v>24930</v>
      </c>
      <c r="C8" s="22" t="n">
        <v>22402</v>
      </c>
      <c r="D8" s="22" t="n">
        <v>2528</v>
      </c>
      <c r="E8" s="22" t="n">
        <v>17048</v>
      </c>
      <c r="F8" s="22" t="n">
        <v>16156</v>
      </c>
      <c r="G8" s="22" t="n">
        <v>892</v>
      </c>
      <c r="H8" s="22" t="n">
        <v>9842</v>
      </c>
      <c r="I8" s="22" t="n">
        <v>8989</v>
      </c>
      <c r="J8" s="22" t="n">
        <v>853</v>
      </c>
      <c r="K8" s="22" t="n">
        <v>4038</v>
      </c>
      <c r="L8" s="22" t="n">
        <v>3341</v>
      </c>
      <c r="M8" s="22" t="n">
        <v>697</v>
      </c>
      <c r="N8" s="22" t="n">
        <v>2200</v>
      </c>
      <c r="O8" s="22" t="n">
        <v>1765</v>
      </c>
      <c r="P8" s="22" t="n">
        <v>435</v>
      </c>
      <c r="Q8" s="23">
        <f>IF(B8=C8+D8,"✓","✗")</f>
        <v/>
      </c>
    </row>
    <row r="9">
      <c r="A9" s="24" t="inlineStr">
        <is>
          <t>4 Mysore</t>
        </is>
      </c>
      <c r="B9" s="25" t="n">
        <v>48908</v>
      </c>
      <c r="C9" s="25" t="n">
        <v>41107</v>
      </c>
      <c r="D9" s="25" t="n">
        <v>7801</v>
      </c>
      <c r="E9" s="25" t="n">
        <v>25469</v>
      </c>
      <c r="F9" s="25" t="n">
        <v>22595</v>
      </c>
      <c r="G9" s="25" t="n">
        <v>2874</v>
      </c>
      <c r="H9" s="25" t="n">
        <v>12622</v>
      </c>
      <c r="I9" s="25" t="n">
        <v>10938</v>
      </c>
      <c r="J9" s="25" t="n">
        <v>1684</v>
      </c>
      <c r="K9" s="25" t="n">
        <v>5726</v>
      </c>
      <c r="L9" s="25" t="n">
        <v>4569</v>
      </c>
      <c r="M9" s="25" t="n">
        <v>1157</v>
      </c>
      <c r="N9" s="25" t="n">
        <v>3156</v>
      </c>
      <c r="O9" s="25" t="n">
        <v>2400</v>
      </c>
      <c r="P9" s="25" t="n">
        <v>756</v>
      </c>
      <c r="Q9" s="26">
        <f>IF(B9=C9+D9,"✓","✗")</f>
        <v/>
      </c>
    </row>
    <row r="10">
      <c r="A10" s="21" t="inlineStr">
        <is>
          <t>5 Hassan</t>
        </is>
      </c>
      <c r="B10" s="22" t="n">
        <v>26431</v>
      </c>
      <c r="C10" s="22" t="n">
        <v>20927</v>
      </c>
      <c r="D10" s="22" t="n">
        <v>5504</v>
      </c>
      <c r="E10" s="22" t="n">
        <v>14379</v>
      </c>
      <c r="F10" s="22" t="n">
        <v>13213</v>
      </c>
      <c r="G10" s="22" t="n">
        <v>1166</v>
      </c>
      <c r="H10" s="22" t="n">
        <v>7238</v>
      </c>
      <c r="I10" s="22" t="n">
        <v>6662</v>
      </c>
      <c r="J10" s="22" t="n">
        <v>576</v>
      </c>
      <c r="K10" s="22" t="n">
        <v>3208</v>
      </c>
      <c r="L10" s="22" t="n">
        <v>2818</v>
      </c>
      <c r="M10" s="22" t="n">
        <v>390</v>
      </c>
      <c r="N10" s="22" t="n">
        <v>1569</v>
      </c>
      <c r="O10" s="22" t="n">
        <v>1325</v>
      </c>
      <c r="P10" s="22" t="n">
        <v>244</v>
      </c>
      <c r="Q10" s="23">
        <f>IF(B10=C10+D10,"✓","✗")</f>
        <v/>
      </c>
    </row>
    <row r="11">
      <c r="A11" s="24" t="inlineStr">
        <is>
          <t>6 Shimoga</t>
        </is>
      </c>
      <c r="B11" s="25" t="n">
        <v>26694</v>
      </c>
      <c r="C11" s="25" t="n">
        <v>22568</v>
      </c>
      <c r="D11" s="25" t="n">
        <v>4126</v>
      </c>
      <c r="E11" s="25" t="n">
        <v>16384</v>
      </c>
      <c r="F11" s="25" t="n">
        <v>14556</v>
      </c>
      <c r="G11" s="25" t="n">
        <v>1828</v>
      </c>
      <c r="H11" s="25" t="n">
        <v>10133</v>
      </c>
      <c r="I11" s="25" t="n">
        <v>8674</v>
      </c>
      <c r="J11" s="25" t="n">
        <v>1459</v>
      </c>
      <c r="K11" s="25" t="n">
        <v>5774</v>
      </c>
      <c r="L11" s="25" t="n">
        <v>4507</v>
      </c>
      <c r="M11" s="25" t="n">
        <v>1267</v>
      </c>
      <c r="N11" s="25" t="n">
        <v>3576</v>
      </c>
      <c r="O11" s="25" t="n">
        <v>2814</v>
      </c>
      <c r="P11" s="25" t="n">
        <v>762</v>
      </c>
      <c r="Q11" s="26">
        <f>IF(B11=C11+D11,"✓","✗")</f>
        <v/>
      </c>
    </row>
    <row r="12">
      <c r="A12" s="21" t="inlineStr">
        <is>
          <t>7 Kadur</t>
        </is>
      </c>
      <c r="B12" s="22" t="n">
        <v>17822</v>
      </c>
      <c r="C12" s="22" t="n">
        <v>14647</v>
      </c>
      <c r="D12" s="22" t="n">
        <v>3175</v>
      </c>
      <c r="E12" s="22" t="n">
        <v>11284</v>
      </c>
      <c r="F12" s="22" t="n">
        <v>10496</v>
      </c>
      <c r="G12" s="22" t="n">
        <v>788</v>
      </c>
      <c r="H12" s="22" t="n">
        <v>6516</v>
      </c>
      <c r="I12" s="22" t="n">
        <v>5992</v>
      </c>
      <c r="J12" s="22" t="n">
        <v>524</v>
      </c>
      <c r="K12" s="22" t="n">
        <v>3153</v>
      </c>
      <c r="L12" s="22" t="n">
        <v>2809</v>
      </c>
      <c r="M12" s="22" t="n">
        <v>344</v>
      </c>
      <c r="N12" s="22" t="n">
        <v>1748</v>
      </c>
      <c r="O12" s="22" t="n">
        <v>1456</v>
      </c>
      <c r="P12" s="22" t="n">
        <v>292</v>
      </c>
      <c r="Q12" s="23">
        <f>IF(B12=C12+D12,"✓","✗")</f>
        <v/>
      </c>
    </row>
    <row r="13">
      <c r="A13" s="24" t="inlineStr">
        <is>
          <t>8 Chitaldurg</t>
        </is>
      </c>
      <c r="B13" s="25" t="n">
        <v>16026</v>
      </c>
      <c r="C13" s="25" t="n">
        <v>13894</v>
      </c>
      <c r="D13" s="25" t="n">
        <v>2132</v>
      </c>
      <c r="E13" s="25" t="n">
        <v>11885</v>
      </c>
      <c r="F13" s="25" t="n">
        <v>11015</v>
      </c>
      <c r="G13" s="25" t="n">
        <v>870</v>
      </c>
      <c r="H13" s="25" t="n">
        <v>7154</v>
      </c>
      <c r="I13" s="25" t="n">
        <v>6443</v>
      </c>
      <c r="J13" s="25" t="n">
        <v>711</v>
      </c>
      <c r="K13" s="25" t="n">
        <v>3277</v>
      </c>
      <c r="L13" s="25" t="n">
        <v>2678</v>
      </c>
      <c r="M13" s="25" t="n">
        <v>599</v>
      </c>
      <c r="N13" s="25" t="n">
        <v>1860</v>
      </c>
      <c r="O13" s="25" t="n">
        <v>1508</v>
      </c>
      <c r="P13" s="25" t="n">
        <v>352</v>
      </c>
      <c r="Q13" s="26">
        <f>IF(B13=C13+D13,"✓","✗")</f>
        <v/>
      </c>
    </row>
    <row r="14">
      <c r="A14" s="21" t="inlineStr">
        <is>
          <t>Total</t>
        </is>
      </c>
      <c r="B14" s="22" t="n">
        <v>208296</v>
      </c>
      <c r="C14" s="22" t="n">
        <v>178559</v>
      </c>
      <c r="D14" s="22" t="n">
        <v>29737</v>
      </c>
      <c r="E14" s="22" t="n">
        <v>128706</v>
      </c>
      <c r="F14" s="22" t="n">
        <v>118890</v>
      </c>
      <c r="G14" s="22" t="n">
        <v>9816</v>
      </c>
      <c r="H14" s="22" t="n">
        <v>70660</v>
      </c>
      <c r="I14" s="22" t="n">
        <v>63770</v>
      </c>
      <c r="J14" s="22" t="n">
        <v>6890</v>
      </c>
      <c r="K14" s="22" t="n">
        <v>33767</v>
      </c>
      <c r="L14" s="22" t="n">
        <v>28327</v>
      </c>
      <c r="M14" s="22" t="n">
        <v>5440</v>
      </c>
      <c r="N14" s="22" t="n">
        <v>17974</v>
      </c>
      <c r="O14" s="22" t="n">
        <v>14601</v>
      </c>
      <c r="P14" s="22" t="n">
        <v>3373</v>
      </c>
      <c r="Q14" s="23">
        <f>IF(B14=C14+D14,"✓","✗")</f>
        <v/>
      </c>
    </row>
    <row r="15">
      <c r="A15" s="24" t="inlineStr">
        <is>
          <t>The Civil and Military Station, Bangalore...</t>
        </is>
      </c>
      <c r="B15" s="25" t="n">
        <v>5019</v>
      </c>
      <c r="C15" s="25" t="n">
        <v>3810</v>
      </c>
      <c r="D15" s="25" t="n">
        <v>1209</v>
      </c>
      <c r="E15" s="25" t="n">
        <v>4166</v>
      </c>
      <c r="F15" s="25" t="n">
        <v>3665</v>
      </c>
      <c r="G15" s="25" t="n">
        <v>501</v>
      </c>
      <c r="H15" s="25" t="n">
        <v>1710</v>
      </c>
      <c r="I15" s="25" t="n">
        <v>1450</v>
      </c>
      <c r="J15" s="25" t="n">
        <v>260</v>
      </c>
      <c r="K15" s="25" t="n">
        <v>581</v>
      </c>
      <c r="L15" s="25" t="n">
        <v>423</v>
      </c>
      <c r="M15" s="25" t="n">
        <v>158</v>
      </c>
      <c r="N15" s="25" t="n">
        <v>254</v>
      </c>
      <c r="O15" s="25" t="n">
        <v>162</v>
      </c>
      <c r="P15" s="25" t="n">
        <v>92</v>
      </c>
      <c r="Q15" s="26">
        <f>IF(B15=C15+D15,"✓","✗")</f>
        <v/>
      </c>
    </row>
    <row r="16">
      <c r="A16" s="21" t="inlineStr">
        <is>
          <t>GRAND TOTAL...</t>
        </is>
      </c>
      <c r="B16" s="22" t="n">
        <v>213315</v>
      </c>
      <c r="C16" s="22" t="n">
        <v>182369</v>
      </c>
      <c r="D16" s="22" t="n">
        <v>30946</v>
      </c>
      <c r="E16" s="22" t="n">
        <v>132872</v>
      </c>
      <c r="F16" s="22" t="n">
        <v>122555</v>
      </c>
      <c r="G16" s="22" t="n">
        <v>10317</v>
      </c>
      <c r="H16" s="22" t="n">
        <v>72370</v>
      </c>
      <c r="I16" s="22" t="n">
        <v>65220</v>
      </c>
      <c r="J16" s="22" t="n">
        <v>7150</v>
      </c>
      <c r="K16" s="22" t="n">
        <v>34348</v>
      </c>
      <c r="L16" s="22" t="n">
        <v>28750</v>
      </c>
      <c r="M16" s="22" t="n">
        <v>5598</v>
      </c>
      <c r="N16" s="22" t="n">
        <v>18228</v>
      </c>
      <c r="O16" s="22" t="n">
        <v>14763</v>
      </c>
      <c r="P16" s="22" t="n">
        <v>3465</v>
      </c>
      <c r="Q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2026-03-02T21:31:04Z</dcterms:created>
  <dcterms:modified xmlns:dcterms="http://purl.org/dc/terms/" xmlns:xsi="http://www.w3.org/2001/XMLSchema-instance" xsi:type="dcterms:W3CDTF">2026-03-02T21:31:04Z</dcterms:modified>
</cp:coreProperties>
</file>