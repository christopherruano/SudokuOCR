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  <sheet xmlns:r="http://schemas.openxmlformats.org/officeDocument/2006/relationships" name="Adi Hind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Nalgonda</t>
        </is>
      </c>
    </row>
    <row r="2">
      <c r="A2" s="2" t="inlineStr">
        <is>
          <t>Source: TABLE VII. Age, Sex and Civil Condition Part II. - 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2266818</v>
      </c>
      <c r="C6" s="17" t="n">
        <v>1161794</v>
      </c>
      <c r="D6" s="17" t="n">
        <v>1105024</v>
      </c>
      <c r="E6" s="17" t="n">
        <v>911496</v>
      </c>
      <c r="F6" s="17" t="n">
        <v>549598</v>
      </c>
      <c r="G6" s="17" t="n">
        <v>361898</v>
      </c>
      <c r="H6" s="17" t="n">
        <v>1153684</v>
      </c>
      <c r="I6" s="17" t="n">
        <v>577174</v>
      </c>
      <c r="J6" s="17" t="n">
        <v>576510</v>
      </c>
      <c r="K6" s="17" t="n">
        <v>201638</v>
      </c>
      <c r="L6" s="17" t="n">
        <v>35022</v>
      </c>
      <c r="M6" s="17" t="n">
        <v>166616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Total</t>
        </is>
      </c>
      <c r="B7" s="20" t="n">
        <v>1133409</v>
      </c>
      <c r="C7" s="20" t="n">
        <v>580897</v>
      </c>
      <c r="D7" s="20" t="n">
        <v>552512</v>
      </c>
      <c r="E7" s="20" t="n">
        <v>455748</v>
      </c>
      <c r="F7" s="20" t="n">
        <v>274799</v>
      </c>
      <c r="G7" s="20" t="n">
        <v>180949</v>
      </c>
      <c r="H7" s="20" t="n">
        <v>576842</v>
      </c>
      <c r="I7" s="20" t="n">
        <v>288587</v>
      </c>
      <c r="J7" s="20" t="n">
        <v>288255</v>
      </c>
      <c r="K7" s="20" t="n">
        <v>100819</v>
      </c>
      <c r="L7" s="20" t="n">
        <v>17511</v>
      </c>
      <c r="M7" s="20" t="n">
        <v>83308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0-1</t>
        </is>
      </c>
      <c r="B8" s="23" t="n">
        <v>35418</v>
      </c>
      <c r="C8" s="23" t="n">
        <v>16738</v>
      </c>
      <c r="D8" s="23" t="n">
        <v>18680</v>
      </c>
      <c r="E8" s="23" t="n">
        <v>35385</v>
      </c>
      <c r="F8" s="23" t="n">
        <v>16735</v>
      </c>
      <c r="G8" s="23" t="n">
        <v>18650</v>
      </c>
      <c r="H8" s="23" t="n">
        <v>33</v>
      </c>
      <c r="I8" s="23" t="n">
        <v>3</v>
      </c>
      <c r="J8" s="23" t="n">
        <v>30</v>
      </c>
      <c r="K8" s="23" t="n">
        <v>0</v>
      </c>
      <c r="L8" s="23" t="n">
        <v>0</v>
      </c>
      <c r="M8" s="23" t="n">
        <v>0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1-5</t>
        </is>
      </c>
      <c r="B9" s="20" t="n">
        <v>158767</v>
      </c>
      <c r="C9" s="20" t="n">
        <v>78237</v>
      </c>
      <c r="D9" s="20" t="n">
        <v>80530</v>
      </c>
      <c r="E9" s="20" t="n">
        <v>153244</v>
      </c>
      <c r="F9" s="20" t="n">
        <v>77274</v>
      </c>
      <c r="G9" s="20" t="n">
        <v>75970</v>
      </c>
      <c r="H9" s="20" t="n">
        <v>5330</v>
      </c>
      <c r="I9" s="20" t="n">
        <v>947</v>
      </c>
      <c r="J9" s="20" t="n">
        <v>4383</v>
      </c>
      <c r="K9" s="20" t="n">
        <v>193</v>
      </c>
      <c r="L9" s="20" t="n">
        <v>16</v>
      </c>
      <c r="M9" s="20" t="n">
        <v>177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5-10</t>
        </is>
      </c>
      <c r="B10" s="23" t="n">
        <v>147732</v>
      </c>
      <c r="C10" s="23" t="n">
        <v>76174</v>
      </c>
      <c r="D10" s="23" t="n">
        <v>71558</v>
      </c>
      <c r="E10" s="23" t="n">
        <v>123003</v>
      </c>
      <c r="F10" s="23" t="n">
        <v>71501</v>
      </c>
      <c r="G10" s="23" t="n">
        <v>51502</v>
      </c>
      <c r="H10" s="23" t="n">
        <v>24105</v>
      </c>
      <c r="I10" s="23" t="n">
        <v>4640</v>
      </c>
      <c r="J10" s="23" t="n">
        <v>19465</v>
      </c>
      <c r="K10" s="23" t="n">
        <v>624</v>
      </c>
      <c r="L10" s="23" t="n">
        <v>33</v>
      </c>
      <c r="M10" s="23" t="n">
        <v>591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10-15</t>
        </is>
      </c>
      <c r="B11" s="20" t="n">
        <v>130205</v>
      </c>
      <c r="C11" s="20" t="n">
        <v>70399</v>
      </c>
      <c r="D11" s="20" t="n">
        <v>59806</v>
      </c>
      <c r="E11" s="20" t="n">
        <v>84567</v>
      </c>
      <c r="F11" s="20" t="n">
        <v>58721</v>
      </c>
      <c r="G11" s="20" t="n">
        <v>25846</v>
      </c>
      <c r="H11" s="20" t="n">
        <v>44678</v>
      </c>
      <c r="I11" s="20" t="n">
        <v>11614</v>
      </c>
      <c r="J11" s="20" t="n">
        <v>33064</v>
      </c>
      <c r="K11" s="20" t="n">
        <v>960</v>
      </c>
      <c r="L11" s="20" t="n">
        <v>64</v>
      </c>
      <c r="M11" s="20" t="n">
        <v>896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15-20</t>
        </is>
      </c>
      <c r="B12" s="23" t="n">
        <v>104454</v>
      </c>
      <c r="C12" s="23" t="n">
        <v>52080</v>
      </c>
      <c r="D12" s="23" t="n">
        <v>52374</v>
      </c>
      <c r="E12" s="23" t="n">
        <v>29593</v>
      </c>
      <c r="F12" s="23" t="n">
        <v>26528</v>
      </c>
      <c r="G12" s="23" t="n">
        <v>3065</v>
      </c>
      <c r="H12" s="23" t="n">
        <v>72740</v>
      </c>
      <c r="I12" s="23" t="n">
        <v>25339</v>
      </c>
      <c r="J12" s="23" t="n">
        <v>47401</v>
      </c>
      <c r="K12" s="23" t="n">
        <v>2121</v>
      </c>
      <c r="L12" s="23" t="n">
        <v>213</v>
      </c>
      <c r="M12" s="23" t="n">
        <v>1908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20-30</t>
        </is>
      </c>
      <c r="B13" s="20" t="n">
        <v>201848</v>
      </c>
      <c r="C13" s="20" t="n">
        <v>98595</v>
      </c>
      <c r="D13" s="20" t="n">
        <v>103253</v>
      </c>
      <c r="E13" s="20" t="n">
        <v>22525</v>
      </c>
      <c r="F13" s="20" t="n">
        <v>19712</v>
      </c>
      <c r="G13" s="20" t="n">
        <v>2813</v>
      </c>
      <c r="H13" s="20" t="n">
        <v>169367</v>
      </c>
      <c r="I13" s="20" t="n">
        <v>77461</v>
      </c>
      <c r="J13" s="20" t="n">
        <v>91906</v>
      </c>
      <c r="K13" s="20" t="n">
        <v>9956</v>
      </c>
      <c r="L13" s="20" t="n">
        <v>1422</v>
      </c>
      <c r="M13" s="20" t="n">
        <v>8534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30-40</t>
        </is>
      </c>
      <c r="B14" s="23" t="n">
        <v>146629</v>
      </c>
      <c r="C14" s="23" t="n">
        <v>75740</v>
      </c>
      <c r="D14" s="23" t="n">
        <v>70889</v>
      </c>
      <c r="E14" s="23" t="n">
        <v>3712</v>
      </c>
      <c r="F14" s="23" t="n">
        <v>2370</v>
      </c>
      <c r="G14" s="23" t="n">
        <v>1342</v>
      </c>
      <c r="H14" s="23" t="n">
        <v>124464</v>
      </c>
      <c r="I14" s="23" t="n">
        <v>70849</v>
      </c>
      <c r="J14" s="23" t="n">
        <v>53615</v>
      </c>
      <c r="K14" s="23" t="n">
        <v>18453</v>
      </c>
      <c r="L14" s="23" t="n">
        <v>2521</v>
      </c>
      <c r="M14" s="23" t="n">
        <v>15932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40-50</t>
        </is>
      </c>
      <c r="B15" s="20" t="n">
        <v>99874</v>
      </c>
      <c r="C15" s="20" t="n">
        <v>55600</v>
      </c>
      <c r="D15" s="20" t="n">
        <v>44274</v>
      </c>
      <c r="E15" s="20" t="n">
        <v>1764</v>
      </c>
      <c r="F15" s="20" t="n">
        <v>997</v>
      </c>
      <c r="G15" s="20" t="n">
        <v>767</v>
      </c>
      <c r="H15" s="20" t="n">
        <v>74382</v>
      </c>
      <c r="I15" s="20" t="n">
        <v>50673</v>
      </c>
      <c r="J15" s="20" t="n">
        <v>23709</v>
      </c>
      <c r="K15" s="20" t="n">
        <v>23728</v>
      </c>
      <c r="L15" s="20" t="n">
        <v>3930</v>
      </c>
      <c r="M15" s="20" t="n">
        <v>19798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50-60</t>
        </is>
      </c>
      <c r="B16" s="23" t="n">
        <v>61750</v>
      </c>
      <c r="C16" s="23" t="n">
        <v>33886</v>
      </c>
      <c r="D16" s="23" t="n">
        <v>27864</v>
      </c>
      <c r="E16" s="23" t="n">
        <v>983</v>
      </c>
      <c r="F16" s="23" t="n">
        <v>543</v>
      </c>
      <c r="G16" s="23" t="n">
        <v>440</v>
      </c>
      <c r="H16" s="23" t="n">
        <v>39147</v>
      </c>
      <c r="I16" s="23" t="n">
        <v>29046</v>
      </c>
      <c r="J16" s="23" t="n">
        <v>10101</v>
      </c>
      <c r="K16" s="23" t="n">
        <v>21620</v>
      </c>
      <c r="L16" s="23" t="n">
        <v>4297</v>
      </c>
      <c r="M16" s="23" t="n">
        <v>17323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60 and over</t>
        </is>
      </c>
      <c r="B17" s="20" t="n">
        <v>46732</v>
      </c>
      <c r="C17" s="20" t="n">
        <v>23448</v>
      </c>
      <c r="D17" s="20" t="n">
        <v>23284</v>
      </c>
      <c r="E17" s="20" t="n">
        <v>972</v>
      </c>
      <c r="F17" s="20" t="n">
        <v>418</v>
      </c>
      <c r="G17" s="20" t="n">
        <v>554</v>
      </c>
      <c r="H17" s="20" t="n">
        <v>22596</v>
      </c>
      <c r="I17" s="20" t="n">
        <v>18015</v>
      </c>
      <c r="J17" s="20" t="n">
        <v>4581</v>
      </c>
      <c r="K17" s="20" t="n">
        <v>23164</v>
      </c>
      <c r="L17" s="20" t="n">
        <v>5015</v>
      </c>
      <c r="M17" s="20" t="n">
        <v>18149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1560880</v>
      </c>
      <c r="C23" s="17" t="n">
        <v>798498</v>
      </c>
      <c r="D23" s="17" t="n">
        <v>762382</v>
      </c>
      <c r="E23" s="17" t="n">
        <v>608064</v>
      </c>
      <c r="F23" s="17" t="n">
        <v>368332</v>
      </c>
      <c r="G23" s="17" t="n">
        <v>239732</v>
      </c>
      <c r="H23" s="17" t="n">
        <v>802222</v>
      </c>
      <c r="I23" s="17" t="n">
        <v>403794</v>
      </c>
      <c r="J23" s="17" t="n">
        <v>398428</v>
      </c>
      <c r="K23" s="17" t="n">
        <v>150594</v>
      </c>
      <c r="L23" s="17" t="n">
        <v>26372</v>
      </c>
      <c r="M23" s="17" t="n">
        <v>124222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0-1</t>
        </is>
      </c>
      <c r="B24" s="20" t="n">
        <v>23810</v>
      </c>
      <c r="C24" s="20" t="n">
        <v>11196</v>
      </c>
      <c r="D24" s="20" t="n">
        <v>12614</v>
      </c>
      <c r="E24" s="20" t="n">
        <v>23794</v>
      </c>
      <c r="F24" s="20" t="n">
        <v>11193</v>
      </c>
      <c r="G24" s="20" t="n">
        <v>12601</v>
      </c>
      <c r="H24" s="20" t="n">
        <v>16</v>
      </c>
      <c r="I24" s="20" t="n">
        <v>3</v>
      </c>
      <c r="J24" s="20" t="n">
        <v>13</v>
      </c>
      <c r="K24" s="20" t="n">
        <v>0</v>
      </c>
      <c r="L24" s="20" t="n">
        <v>0</v>
      </c>
      <c r="M24" s="20" t="n">
        <v>0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1-5</t>
        </is>
      </c>
      <c r="B25" s="23" t="n">
        <v>106598</v>
      </c>
      <c r="C25" s="23" t="n">
        <v>51863</v>
      </c>
      <c r="D25" s="23" t="n">
        <v>54735</v>
      </c>
      <c r="E25" s="23" t="n">
        <v>102156</v>
      </c>
      <c r="F25" s="23" t="n">
        <v>51126</v>
      </c>
      <c r="G25" s="23" t="n">
        <v>51030</v>
      </c>
      <c r="H25" s="23" t="n">
        <v>4288</v>
      </c>
      <c r="I25" s="23" t="n">
        <v>724</v>
      </c>
      <c r="J25" s="23" t="n">
        <v>3564</v>
      </c>
      <c r="K25" s="23" t="n">
        <v>154</v>
      </c>
      <c r="L25" s="23" t="n">
        <v>13</v>
      </c>
      <c r="M25" s="23" t="n">
        <v>141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5-10</t>
        </is>
      </c>
      <c r="B26" s="20" t="n">
        <v>102084</v>
      </c>
      <c r="C26" s="20" t="n">
        <v>52200</v>
      </c>
      <c r="D26" s="20" t="n">
        <v>49884</v>
      </c>
      <c r="E26" s="20" t="n">
        <v>82498</v>
      </c>
      <c r="F26" s="20" t="n">
        <v>48525</v>
      </c>
      <c r="G26" s="20" t="n">
        <v>33973</v>
      </c>
      <c r="H26" s="20" t="n">
        <v>19063</v>
      </c>
      <c r="I26" s="20" t="n">
        <v>3649</v>
      </c>
      <c r="J26" s="20" t="n">
        <v>15414</v>
      </c>
      <c r="K26" s="20" t="n">
        <v>523</v>
      </c>
      <c r="L26" s="20" t="n">
        <v>26</v>
      </c>
      <c r="M26" s="20" t="n">
        <v>497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10-15</t>
        </is>
      </c>
      <c r="B27" s="23" t="n">
        <v>90497</v>
      </c>
      <c r="C27" s="23" t="n">
        <v>48993</v>
      </c>
      <c r="D27" s="23" t="n">
        <v>41504</v>
      </c>
      <c r="E27" s="23" t="n">
        <v>56010</v>
      </c>
      <c r="F27" s="23" t="n">
        <v>39745</v>
      </c>
      <c r="G27" s="23" t="n">
        <v>16265</v>
      </c>
      <c r="H27" s="23" t="n">
        <v>33766</v>
      </c>
      <c r="I27" s="23" t="n">
        <v>9190</v>
      </c>
      <c r="J27" s="23" t="n">
        <v>24576</v>
      </c>
      <c r="K27" s="23" t="n">
        <v>721</v>
      </c>
      <c r="L27" s="23" t="n">
        <v>58</v>
      </c>
      <c r="M27" s="23" t="n">
        <v>663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15-20</t>
        </is>
      </c>
      <c r="B28" s="20" t="n">
        <v>73121</v>
      </c>
      <c r="C28" s="20" t="n">
        <v>36453</v>
      </c>
      <c r="D28" s="20" t="n">
        <v>36668</v>
      </c>
      <c r="E28" s="20" t="n">
        <v>19213</v>
      </c>
      <c r="F28" s="20" t="n">
        <v>17339</v>
      </c>
      <c r="G28" s="20" t="n">
        <v>1874</v>
      </c>
      <c r="H28" s="20" t="n">
        <v>52257</v>
      </c>
      <c r="I28" s="20" t="n">
        <v>18954</v>
      </c>
      <c r="J28" s="20" t="n">
        <v>33303</v>
      </c>
      <c r="K28" s="20" t="n">
        <v>1651</v>
      </c>
      <c r="L28" s="20" t="n">
        <v>160</v>
      </c>
      <c r="M28" s="20" t="n">
        <v>1491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20-30</t>
        </is>
      </c>
      <c r="B29" s="23" t="n">
        <v>138764</v>
      </c>
      <c r="C29" s="23" t="n">
        <v>67813</v>
      </c>
      <c r="D29" s="23" t="n">
        <v>70951</v>
      </c>
      <c r="E29" s="23" t="n">
        <v>14904</v>
      </c>
      <c r="F29" s="23" t="n">
        <v>13038</v>
      </c>
      <c r="G29" s="23" t="n">
        <v>1866</v>
      </c>
      <c r="H29" s="23" t="n">
        <v>116095</v>
      </c>
      <c r="I29" s="23" t="n">
        <v>53692</v>
      </c>
      <c r="J29" s="23" t="n">
        <v>62403</v>
      </c>
      <c r="K29" s="23" t="n">
        <v>7765</v>
      </c>
      <c r="L29" s="23" t="n">
        <v>1083</v>
      </c>
      <c r="M29" s="23" t="n">
        <v>6682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30-40</t>
        </is>
      </c>
      <c r="B30" s="20" t="n">
        <v>100691</v>
      </c>
      <c r="C30" s="20" t="n">
        <v>52361</v>
      </c>
      <c r="D30" s="20" t="n">
        <v>48330</v>
      </c>
      <c r="E30" s="20" t="n">
        <v>2666</v>
      </c>
      <c r="F30" s="20" t="n">
        <v>1794</v>
      </c>
      <c r="G30" s="20" t="n">
        <v>872</v>
      </c>
      <c r="H30" s="20" t="n">
        <v>84194</v>
      </c>
      <c r="I30" s="20" t="n">
        <v>48622</v>
      </c>
      <c r="J30" s="20" t="n">
        <v>35572</v>
      </c>
      <c r="K30" s="20" t="n">
        <v>13831</v>
      </c>
      <c r="L30" s="20" t="n">
        <v>1945</v>
      </c>
      <c r="M30" s="20" t="n">
        <v>11886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40-50</t>
        </is>
      </c>
      <c r="B31" s="23" t="n">
        <v>68097</v>
      </c>
      <c r="C31" s="23" t="n">
        <v>37844</v>
      </c>
      <c r="D31" s="23" t="n">
        <v>30253</v>
      </c>
      <c r="E31" s="23" t="n">
        <v>1305</v>
      </c>
      <c r="F31" s="23" t="n">
        <v>673</v>
      </c>
      <c r="G31" s="23" t="n">
        <v>632</v>
      </c>
      <c r="H31" s="23" t="n">
        <v>49261</v>
      </c>
      <c r="I31" s="23" t="n">
        <v>34193</v>
      </c>
      <c r="J31" s="23" t="n">
        <v>15068</v>
      </c>
      <c r="K31" s="23" t="n">
        <v>17531</v>
      </c>
      <c r="L31" s="23" t="n">
        <v>2978</v>
      </c>
      <c r="M31" s="23" t="n">
        <v>14553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50-60</t>
        </is>
      </c>
      <c r="B32" s="20" t="n">
        <v>43946</v>
      </c>
      <c r="C32" s="20" t="n">
        <v>24197</v>
      </c>
      <c r="D32" s="20" t="n">
        <v>19749</v>
      </c>
      <c r="E32" s="20" t="n">
        <v>786</v>
      </c>
      <c r="F32" s="20" t="n">
        <v>425</v>
      </c>
      <c r="G32" s="20" t="n">
        <v>361</v>
      </c>
      <c r="H32" s="20" t="n">
        <v>27113</v>
      </c>
      <c r="I32" s="20" t="n">
        <v>20549</v>
      </c>
      <c r="J32" s="20" t="n">
        <v>6564</v>
      </c>
      <c r="K32" s="20" t="n">
        <v>16047</v>
      </c>
      <c r="L32" s="20" t="n">
        <v>3223</v>
      </c>
      <c r="M32" s="20" t="n">
        <v>12824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60 and over</t>
        </is>
      </c>
      <c r="B33" s="23" t="n">
        <v>32832</v>
      </c>
      <c r="C33" s="23" t="n">
        <v>16329</v>
      </c>
      <c r="D33" s="23" t="n">
        <v>16503</v>
      </c>
      <c r="E33" s="23" t="n">
        <v>700</v>
      </c>
      <c r="F33" s="23" t="n">
        <v>308</v>
      </c>
      <c r="G33" s="23" t="n">
        <v>392</v>
      </c>
      <c r="H33" s="23" t="n">
        <v>15058</v>
      </c>
      <c r="I33" s="23" t="n">
        <v>12321</v>
      </c>
      <c r="J33" s="23" t="n">
        <v>2737</v>
      </c>
      <c r="K33" s="23" t="n">
        <v>17074</v>
      </c>
      <c r="L33" s="23" t="n">
        <v>3700</v>
      </c>
      <c r="M33" s="23" t="n">
        <v>13374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Total</t>
        </is>
      </c>
      <c r="B34" s="20" t="n">
        <v>780440</v>
      </c>
      <c r="C34" s="20" t="n">
        <v>399249</v>
      </c>
      <c r="D34" s="20" t="n">
        <v>381191</v>
      </c>
      <c r="E34" s="20" t="n">
        <v>304032</v>
      </c>
      <c r="F34" s="20" t="n">
        <v>184166</v>
      </c>
      <c r="G34" s="20" t="n">
        <v>119866</v>
      </c>
      <c r="H34" s="20" t="n">
        <v>401111</v>
      </c>
      <c r="I34" s="20" t="n">
        <v>201897</v>
      </c>
      <c r="J34" s="20" t="n">
        <v>199214</v>
      </c>
      <c r="K34" s="20" t="n">
        <v>75297</v>
      </c>
      <c r="L34" s="20" t="n">
        <v>13186</v>
      </c>
      <c r="M34" s="20" t="n">
        <v>62111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  <row r="37">
      <c r="A37" s="3" t="inlineStr">
        <is>
          <t>Adi Hindu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Check</t>
        </is>
      </c>
      <c r="O38" s="13" t="inlineStr">
        <is>
          <t>Check</t>
        </is>
      </c>
    </row>
    <row r="39">
      <c r="A39" s="14" t="inlineStr"/>
      <c r="B39" s="15" t="inlineStr">
        <is>
          <t>Persons</t>
        </is>
      </c>
      <c r="C39" s="15" t="inlineStr">
        <is>
          <t>Males</t>
        </is>
      </c>
      <c r="D39" s="15" t="inlineStr">
        <is>
          <t>Females</t>
        </is>
      </c>
      <c r="E39" s="15" t="inlineStr">
        <is>
          <t>Persons</t>
        </is>
      </c>
      <c r="F39" s="15" t="inlineStr">
        <is>
          <t>Males</t>
        </is>
      </c>
      <c r="G39" s="15" t="inlineStr">
        <is>
          <t>Females</t>
        </is>
      </c>
      <c r="H39" s="15" t="inlineStr">
        <is>
          <t>Persons</t>
        </is>
      </c>
      <c r="I39" s="15" t="inlineStr">
        <is>
          <t>Males</t>
        </is>
      </c>
      <c r="J39" s="15" t="inlineStr">
        <is>
          <t>Females</t>
        </is>
      </c>
      <c r="K39" s="15" t="inlineStr">
        <is>
          <t>Persons</t>
        </is>
      </c>
      <c r="L39" s="15" t="inlineStr">
        <is>
          <t>Males</t>
        </is>
      </c>
      <c r="M39" s="15" t="inlineStr">
        <is>
          <t>Females</t>
        </is>
      </c>
      <c r="N39" s="15" t="inlineStr">
        <is>
          <t>P=Sum</t>
        </is>
      </c>
      <c r="O39" s="15" t="inlineStr">
        <is>
          <t>M+F=P</t>
        </is>
      </c>
    </row>
    <row r="40">
      <c r="A40" s="16" t="inlineStr">
        <is>
          <t>Total</t>
        </is>
      </c>
      <c r="B40" s="17" t="n">
        <v>417960</v>
      </c>
      <c r="C40" s="17" t="n">
        <v>213794</v>
      </c>
      <c r="D40" s="17" t="n">
        <v>204166</v>
      </c>
      <c r="E40" s="17" t="n">
        <v>171210</v>
      </c>
      <c r="F40" s="17" t="n">
        <v>103374</v>
      </c>
      <c r="G40" s="17" t="n">
        <v>67836</v>
      </c>
      <c r="H40" s="17" t="n">
        <v>215104</v>
      </c>
      <c r="I40" s="17" t="n">
        <v>105288</v>
      </c>
      <c r="J40" s="17" t="n">
        <v>109816</v>
      </c>
      <c r="K40" s="17" t="n">
        <v>31646</v>
      </c>
      <c r="L40" s="17" t="n">
        <v>5132</v>
      </c>
      <c r="M40" s="17" t="n">
        <v>26514</v>
      </c>
      <c r="N40" s="18">
        <f>IF(B40=E40+H40+K40,"✓","✗")</f>
        <v/>
      </c>
      <c r="O40" s="18">
        <f>IF(B40=C40+D40,"✓","✗")</f>
        <v/>
      </c>
    </row>
    <row r="41">
      <c r="A41" s="19" t="inlineStr">
        <is>
          <t>Total</t>
        </is>
      </c>
      <c r="B41" s="20" t="n">
        <v>208980</v>
      </c>
      <c r="C41" s="20" t="n">
        <v>106897</v>
      </c>
      <c r="D41" s="20" t="n">
        <v>102083</v>
      </c>
      <c r="E41" s="20" t="n">
        <v>85605</v>
      </c>
      <c r="F41" s="20" t="n">
        <v>51687</v>
      </c>
      <c r="G41" s="20" t="n">
        <v>33918</v>
      </c>
      <c r="H41" s="20" t="n">
        <v>107552</v>
      </c>
      <c r="I41" s="20" t="n">
        <v>52644</v>
      </c>
      <c r="J41" s="20" t="n">
        <v>54908</v>
      </c>
      <c r="K41" s="20" t="n">
        <v>15823</v>
      </c>
      <c r="L41" s="20" t="n">
        <v>2566</v>
      </c>
      <c r="M41" s="20" t="n">
        <v>13257</v>
      </c>
      <c r="N41" s="21">
        <f>IF(B41=E41+H41+K41,"✓",B41-(E41+H41+K41))</f>
        <v/>
      </c>
      <c r="O41" s="21">
        <f>IF(B41=C41+D41,"✓","✗")</f>
        <v/>
      </c>
    </row>
    <row r="42">
      <c r="A42" s="22" t="inlineStr">
        <is>
          <t>0-1</t>
        </is>
      </c>
      <c r="B42" s="23" t="n">
        <v>7054</v>
      </c>
      <c r="C42" s="23" t="n">
        <v>3151</v>
      </c>
      <c r="D42" s="23" t="n">
        <v>3903</v>
      </c>
      <c r="E42" s="23" t="n">
        <v>7046</v>
      </c>
      <c r="F42" s="23" t="n">
        <v>3151</v>
      </c>
      <c r="G42" s="23" t="n">
        <v>3895</v>
      </c>
      <c r="H42" s="23" t="n">
        <v>8</v>
      </c>
      <c r="I42" s="23" t="n">
        <v>0</v>
      </c>
      <c r="J42" s="23" t="n">
        <v>8</v>
      </c>
      <c r="K42" s="23" t="n">
        <v>0</v>
      </c>
      <c r="L42" s="23" t="n">
        <v>0</v>
      </c>
      <c r="M42" s="23" t="n">
        <v>0</v>
      </c>
      <c r="N42" s="24">
        <f>IF(B42=E42+H42+K42,"✓",B42-(E42+H42+K42))</f>
        <v/>
      </c>
      <c r="O42" s="24">
        <f>IF(B42=C42+D42,"✓","✗")</f>
        <v/>
      </c>
    </row>
    <row r="43">
      <c r="A43" s="19" t="inlineStr">
        <is>
          <t>1-5</t>
        </is>
      </c>
      <c r="B43" s="20" t="n">
        <v>31015</v>
      </c>
      <c r="C43" s="20" t="n">
        <v>15323</v>
      </c>
      <c r="D43" s="20" t="n">
        <v>15692</v>
      </c>
      <c r="E43" s="20" t="n">
        <v>30424</v>
      </c>
      <c r="F43" s="20" t="n">
        <v>15206</v>
      </c>
      <c r="G43" s="20" t="n">
        <v>15218</v>
      </c>
      <c r="H43" s="20" t="n">
        <v>561</v>
      </c>
      <c r="I43" s="20" t="n">
        <v>115</v>
      </c>
      <c r="J43" s="20" t="n">
        <v>446</v>
      </c>
      <c r="K43" s="20" t="n">
        <v>30</v>
      </c>
      <c r="L43" s="20" t="n">
        <v>2</v>
      </c>
      <c r="M43" s="20" t="n">
        <v>28</v>
      </c>
      <c r="N43" s="21">
        <f>IF(B43=E43+H43+K43,"✓",B43-(E43+H43+K43))</f>
        <v/>
      </c>
      <c r="O43" s="21">
        <f>IF(B43=C43+D43,"✓","✗")</f>
        <v/>
      </c>
    </row>
    <row r="44">
      <c r="A44" s="22" t="inlineStr">
        <is>
          <t>5-10</t>
        </is>
      </c>
      <c r="B44" s="23" t="n">
        <v>26058</v>
      </c>
      <c r="C44" s="23" t="n">
        <v>13607</v>
      </c>
      <c r="D44" s="23" t="n">
        <v>12451</v>
      </c>
      <c r="E44" s="23" t="n">
        <v>22513</v>
      </c>
      <c r="F44" s="23" t="n">
        <v>13069</v>
      </c>
      <c r="G44" s="23" t="n">
        <v>9444</v>
      </c>
      <c r="H44" s="23" t="n">
        <v>3487</v>
      </c>
      <c r="I44" s="23" t="n">
        <v>535</v>
      </c>
      <c r="J44" s="23" t="n">
        <v>2952</v>
      </c>
      <c r="K44" s="23" t="n">
        <v>58</v>
      </c>
      <c r="L44" s="23" t="n">
        <v>3</v>
      </c>
      <c r="M44" s="23" t="n">
        <v>55</v>
      </c>
      <c r="N44" s="24">
        <f>IF(B44=E44+H44+K44,"✓",B44-(E44+H44+K44))</f>
        <v/>
      </c>
      <c r="O44" s="24">
        <f>IF(B44=C44+D44,"✓","✗")</f>
        <v/>
      </c>
    </row>
    <row r="45">
      <c r="A45" s="19" t="inlineStr">
        <is>
          <t>10-15</t>
        </is>
      </c>
      <c r="B45" s="20" t="n">
        <v>23010</v>
      </c>
      <c r="C45" s="20" t="n">
        <v>12649</v>
      </c>
      <c r="D45" s="20" t="n">
        <v>10361</v>
      </c>
      <c r="E45" s="20" t="n">
        <v>15499</v>
      </c>
      <c r="F45" s="20" t="n">
        <v>11055</v>
      </c>
      <c r="G45" s="20" t="n">
        <v>4444</v>
      </c>
      <c r="H45" s="20" t="n">
        <v>7319</v>
      </c>
      <c r="I45" s="20" t="n">
        <v>1590</v>
      </c>
      <c r="J45" s="20" t="n">
        <v>5729</v>
      </c>
      <c r="K45" s="20" t="n">
        <v>192</v>
      </c>
      <c r="L45" s="20" t="n">
        <v>4</v>
      </c>
      <c r="M45" s="20" t="n">
        <v>188</v>
      </c>
      <c r="N45" s="21">
        <f>IF(B45=E45+H45+K45,"✓",B45-(E45+H45+K45))</f>
        <v/>
      </c>
      <c r="O45" s="21">
        <f>IF(B45=C45+D45,"✓","✗")</f>
        <v/>
      </c>
    </row>
    <row r="46">
      <c r="A46" s="22" t="inlineStr">
        <is>
          <t>15-20</t>
        </is>
      </c>
      <c r="B46" s="23" t="n">
        <v>18876</v>
      </c>
      <c r="C46" s="23" t="n">
        <v>9390</v>
      </c>
      <c r="D46" s="23" t="n">
        <v>9486</v>
      </c>
      <c r="E46" s="23" t="n">
        <v>5502</v>
      </c>
      <c r="F46" s="23" t="n">
        <v>5176</v>
      </c>
      <c r="G46" s="23" t="n">
        <v>326</v>
      </c>
      <c r="H46" s="23" t="n">
        <v>13006</v>
      </c>
      <c r="I46" s="23" t="n">
        <v>4186</v>
      </c>
      <c r="J46" s="23" t="n">
        <v>8820</v>
      </c>
      <c r="K46" s="23" t="n">
        <v>368</v>
      </c>
      <c r="L46" s="23" t="n">
        <v>28</v>
      </c>
      <c r="M46" s="23" t="n">
        <v>340</v>
      </c>
      <c r="N46" s="24">
        <f>IF(B46=E46+H46+K46,"✓",B46-(E46+H46+K46))</f>
        <v/>
      </c>
      <c r="O46" s="24">
        <f>IF(B46=C46+D46,"✓","✗")</f>
        <v/>
      </c>
    </row>
    <row r="47">
      <c r="A47" s="19" t="inlineStr">
        <is>
          <t>20-30</t>
        </is>
      </c>
      <c r="B47" s="20" t="n">
        <v>37774</v>
      </c>
      <c r="C47" s="20" t="n">
        <v>18179</v>
      </c>
      <c r="D47" s="20" t="n">
        <v>19595</v>
      </c>
      <c r="E47" s="20" t="n">
        <v>3875</v>
      </c>
      <c r="F47" s="20" t="n">
        <v>3581</v>
      </c>
      <c r="G47" s="20" t="n">
        <v>294</v>
      </c>
      <c r="H47" s="20" t="n">
        <v>32365</v>
      </c>
      <c r="I47" s="20" t="n">
        <v>14362</v>
      </c>
      <c r="J47" s="20" t="n">
        <v>18003</v>
      </c>
      <c r="K47" s="20" t="n">
        <v>1534</v>
      </c>
      <c r="L47" s="20" t="n">
        <v>236</v>
      </c>
      <c r="M47" s="20" t="n">
        <v>1298</v>
      </c>
      <c r="N47" s="21">
        <f>IF(B47=E47+H47+K47,"✓",B47-(E47+H47+K47))</f>
        <v/>
      </c>
      <c r="O47" s="21">
        <f>IF(B47=C47+D47,"✓","✗")</f>
        <v/>
      </c>
    </row>
    <row r="48">
      <c r="A48" s="22" t="inlineStr">
        <is>
          <t>30-40</t>
        </is>
      </c>
      <c r="B48" s="23" t="n">
        <v>27593</v>
      </c>
      <c r="C48" s="23" t="n">
        <v>13847</v>
      </c>
      <c r="D48" s="23" t="n">
        <v>13746</v>
      </c>
      <c r="E48" s="23" t="n">
        <v>371</v>
      </c>
      <c r="F48" s="23" t="n">
        <v>240</v>
      </c>
      <c r="G48" s="23" t="n">
        <v>131</v>
      </c>
      <c r="H48" s="23" t="n">
        <v>24171</v>
      </c>
      <c r="I48" s="23" t="n">
        <v>13264</v>
      </c>
      <c r="J48" s="23" t="n">
        <v>10907</v>
      </c>
      <c r="K48" s="23" t="n">
        <v>3051</v>
      </c>
      <c r="L48" s="23" t="n">
        <v>343</v>
      </c>
      <c r="M48" s="23" t="n">
        <v>2708</v>
      </c>
      <c r="N48" s="24">
        <f>IF(B48=E48+H48+K48,"✓",B48-(E48+H48+K48))</f>
        <v/>
      </c>
      <c r="O48" s="24">
        <f>IF(B48=C48+D48,"✓","✗")</f>
        <v/>
      </c>
    </row>
    <row r="49">
      <c r="A49" s="19" t="inlineStr">
        <is>
          <t>40-50</t>
        </is>
      </c>
      <c r="B49" s="20" t="n">
        <v>20006</v>
      </c>
      <c r="C49" s="20" t="n">
        <v>10939</v>
      </c>
      <c r="D49" s="20" t="n">
        <v>9067</v>
      </c>
      <c r="E49" s="20" t="n">
        <v>181</v>
      </c>
      <c r="F49" s="20" t="n">
        <v>112</v>
      </c>
      <c r="G49" s="20" t="n">
        <v>69</v>
      </c>
      <c r="H49" s="20" t="n">
        <v>15778</v>
      </c>
      <c r="I49" s="20" t="n">
        <v>10269</v>
      </c>
      <c r="J49" s="20" t="n">
        <v>5509</v>
      </c>
      <c r="K49" s="20" t="n">
        <v>4047</v>
      </c>
      <c r="L49" s="20" t="n">
        <v>558</v>
      </c>
      <c r="M49" s="20" t="n">
        <v>3489</v>
      </c>
      <c r="N49" s="21">
        <f>IF(B49=E49+H49+K49,"✓",B49-(E49+H49+K49))</f>
        <v/>
      </c>
      <c r="O49" s="21">
        <f>IF(B49=C49+D49,"✓","✗")</f>
        <v/>
      </c>
    </row>
    <row r="50">
      <c r="A50" s="22" t="inlineStr">
        <is>
          <t>50-60</t>
        </is>
      </c>
      <c r="B50" s="23" t="n">
        <v>10430</v>
      </c>
      <c r="C50" s="23" t="n">
        <v>5800</v>
      </c>
      <c r="D50" s="23" t="n">
        <v>4630</v>
      </c>
      <c r="E50" s="23" t="n">
        <v>107</v>
      </c>
      <c r="F50" s="23" t="n">
        <v>55</v>
      </c>
      <c r="G50" s="23" t="n">
        <v>52</v>
      </c>
      <c r="H50" s="23" t="n">
        <v>6955</v>
      </c>
      <c r="I50" s="23" t="n">
        <v>5106</v>
      </c>
      <c r="J50" s="23" t="n">
        <v>1849</v>
      </c>
      <c r="K50" s="23" t="n">
        <v>3368</v>
      </c>
      <c r="L50" s="23" t="n">
        <v>639</v>
      </c>
      <c r="M50" s="23" t="n">
        <v>2729</v>
      </c>
      <c r="N50" s="24">
        <f>IF(B50=E50+H50+K50,"✓",B50-(E50+H50+K50))</f>
        <v/>
      </c>
      <c r="O50" s="24">
        <f>IF(B50=C50+D50,"✓","✗")</f>
        <v/>
      </c>
    </row>
    <row r="51">
      <c r="A51" s="19" t="inlineStr">
        <is>
          <t>60 and over</t>
        </is>
      </c>
      <c r="B51" s="20" t="n">
        <v>7164</v>
      </c>
      <c r="C51" s="20" t="n">
        <v>4012</v>
      </c>
      <c r="D51" s="20" t="n">
        <v>3152</v>
      </c>
      <c r="E51" s="20" t="n">
        <v>87</v>
      </c>
      <c r="F51" s="20" t="n">
        <v>42</v>
      </c>
      <c r="G51" s="20" t="n">
        <v>45</v>
      </c>
      <c r="H51" s="20" t="n">
        <v>3902</v>
      </c>
      <c r="I51" s="20" t="n">
        <v>3217</v>
      </c>
      <c r="J51" s="20" t="n">
        <v>685</v>
      </c>
      <c r="K51" s="20" t="n">
        <v>3175</v>
      </c>
      <c r="L51" s="20" t="n">
        <v>753</v>
      </c>
      <c r="M51" s="20" t="n">
        <v>2422</v>
      </c>
      <c r="N51" s="21">
        <f>IF(B51=E51+H51+K51,"✓",B51-(E51+H51+K51))</f>
        <v/>
      </c>
      <c r="O51" s="21">
        <f>IF(B51=C51+D51,"✓","✗")</f>
        <v/>
      </c>
    </row>
    <row r="52">
      <c r="A52" s="25" t="inlineStr">
        <is>
          <t>Verify: Sum</t>
        </is>
      </c>
      <c r="B52" s="26">
        <f>IF(SUM(B41:B51)=B40,"✓",SUM(B41:B51)-B40)</f>
        <v/>
      </c>
      <c r="C52" s="26">
        <f>IF(SUM(C41:C51)=C40,"✓",SUM(C41:C51)-C40)</f>
        <v/>
      </c>
      <c r="D52" s="26">
        <f>IF(SUM(D41:D51)=D40,"✓",SUM(D41:D51)-D40)</f>
        <v/>
      </c>
      <c r="E52" s="26">
        <f>IF(SUM(E41:E51)=E40,"✓",SUM(E41:E51)-E40)</f>
        <v/>
      </c>
      <c r="F52" s="26">
        <f>IF(SUM(F41:F51)=F40,"✓",SUM(F41:F51)-F40)</f>
        <v/>
      </c>
      <c r="G52" s="26">
        <f>IF(SUM(G41:G51)=G40,"✓",SUM(G41:G51)-G40)</f>
        <v/>
      </c>
      <c r="H52" s="26">
        <f>IF(SUM(H41:H51)=H40,"✓",SUM(H41:H51)-H40)</f>
        <v/>
      </c>
      <c r="I52" s="26">
        <f>IF(SUM(I41:I51)=I40,"✓",SUM(I41:I51)-I40)</f>
        <v/>
      </c>
      <c r="J52" s="26">
        <f>IF(SUM(J41:J51)=J40,"✓",SUM(J41:J51)-J40)</f>
        <v/>
      </c>
      <c r="K52" s="26">
        <f>IF(SUM(K41:K51)=K40,"✓",SUM(K41:K51)-K40)</f>
        <v/>
      </c>
      <c r="L52" s="26">
        <f>IF(SUM(L41:L51)=L40,"✓",SUM(L41:L51)-L40)</f>
        <v/>
      </c>
      <c r="M52" s="26">
        <f>IF(SUM(M41:M51)=M40,"✓",SUM(M41:M51)-M40)</f>
        <v/>
      </c>
    </row>
  </sheetData>
  <mergeCells count="12">
    <mergeCell ref="H38:J38"/>
    <mergeCell ref="K38:M38"/>
    <mergeCell ref="K4:M4"/>
    <mergeCell ref="B4:D4"/>
    <mergeCell ref="H4:J4"/>
    <mergeCell ref="K21:M21"/>
    <mergeCell ref="E4:G4"/>
    <mergeCell ref="B21:D21"/>
    <mergeCell ref="E21:G21"/>
    <mergeCell ref="B38:D38"/>
    <mergeCell ref="H21:J21"/>
    <mergeCell ref="E38:G38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N40:N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O40:O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Nalgonda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2266818</v>
      </c>
      <c r="C5" s="17" t="n">
        <v>1161794</v>
      </c>
      <c r="D5" s="17" t="n">
        <v>1105024</v>
      </c>
      <c r="E5" s="17" t="n">
        <v>911496</v>
      </c>
      <c r="F5" s="17" t="n">
        <v>549598</v>
      </c>
      <c r="G5" s="17" t="n">
        <v>361898</v>
      </c>
      <c r="H5" s="17" t="n">
        <v>1153684</v>
      </c>
      <c r="I5" s="17" t="n">
        <v>577174</v>
      </c>
      <c r="J5" s="17" t="n">
        <v>576510</v>
      </c>
      <c r="K5" s="17" t="n">
        <v>201638</v>
      </c>
      <c r="L5" s="17" t="n">
        <v>35022</v>
      </c>
      <c r="M5" s="17" t="n">
        <v>166616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1133409</v>
      </c>
      <c r="C6" s="20" t="n">
        <v>580897</v>
      </c>
      <c r="D6" s="20" t="n">
        <v>552512</v>
      </c>
      <c r="E6" s="20" t="n">
        <v>455748</v>
      </c>
      <c r="F6" s="20" t="n">
        <v>274799</v>
      </c>
      <c r="G6" s="20" t="n">
        <v>180949</v>
      </c>
      <c r="H6" s="20" t="n">
        <v>576842</v>
      </c>
      <c r="I6" s="20" t="n">
        <v>288587</v>
      </c>
      <c r="J6" s="20" t="n">
        <v>288255</v>
      </c>
      <c r="K6" s="20" t="n">
        <v>100819</v>
      </c>
      <c r="L6" s="20" t="n">
        <v>17511</v>
      </c>
      <c r="M6" s="20" t="n">
        <v>83308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35418</v>
      </c>
      <c r="C7" s="23" t="n">
        <v>16738</v>
      </c>
      <c r="D7" s="23" t="n">
        <v>18680</v>
      </c>
      <c r="E7" s="23" t="n">
        <v>35385</v>
      </c>
      <c r="F7" s="23" t="n">
        <v>16735</v>
      </c>
      <c r="G7" s="23" t="n">
        <v>18650</v>
      </c>
      <c r="H7" s="23" t="n">
        <v>33</v>
      </c>
      <c r="I7" s="23" t="n">
        <v>3</v>
      </c>
      <c r="J7" s="23" t="n">
        <v>30</v>
      </c>
      <c r="K7" s="23" t="n">
        <v>0</v>
      </c>
      <c r="L7" s="23" t="n">
        <v>0</v>
      </c>
      <c r="M7" s="23" t="n">
        <v>0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158767</v>
      </c>
      <c r="C8" s="20" t="n">
        <v>78237</v>
      </c>
      <c r="D8" s="20" t="n">
        <v>80530</v>
      </c>
      <c r="E8" s="20" t="n">
        <v>153244</v>
      </c>
      <c r="F8" s="20" t="n">
        <v>77274</v>
      </c>
      <c r="G8" s="20" t="n">
        <v>75970</v>
      </c>
      <c r="H8" s="20" t="n">
        <v>5330</v>
      </c>
      <c r="I8" s="20" t="n">
        <v>947</v>
      </c>
      <c r="J8" s="20" t="n">
        <v>4383</v>
      </c>
      <c r="K8" s="20" t="n">
        <v>193</v>
      </c>
      <c r="L8" s="20" t="n">
        <v>16</v>
      </c>
      <c r="M8" s="20" t="n">
        <v>177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147732</v>
      </c>
      <c r="C9" s="23" t="n">
        <v>76174</v>
      </c>
      <c r="D9" s="23" t="n">
        <v>71558</v>
      </c>
      <c r="E9" s="23" t="n">
        <v>123003</v>
      </c>
      <c r="F9" s="23" t="n">
        <v>71501</v>
      </c>
      <c r="G9" s="23" t="n">
        <v>51502</v>
      </c>
      <c r="H9" s="23" t="n">
        <v>24105</v>
      </c>
      <c r="I9" s="23" t="n">
        <v>4640</v>
      </c>
      <c r="J9" s="23" t="n">
        <v>19465</v>
      </c>
      <c r="K9" s="23" t="n">
        <v>624</v>
      </c>
      <c r="L9" s="23" t="n">
        <v>33</v>
      </c>
      <c r="M9" s="23" t="n">
        <v>591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130205</v>
      </c>
      <c r="C10" s="20" t="n">
        <v>70399</v>
      </c>
      <c r="D10" s="20" t="n">
        <v>59806</v>
      </c>
      <c r="E10" s="20" t="n">
        <v>84567</v>
      </c>
      <c r="F10" s="20" t="n">
        <v>58721</v>
      </c>
      <c r="G10" s="20" t="n">
        <v>25846</v>
      </c>
      <c r="H10" s="20" t="n">
        <v>44678</v>
      </c>
      <c r="I10" s="20" t="n">
        <v>11614</v>
      </c>
      <c r="J10" s="20" t="n">
        <v>33064</v>
      </c>
      <c r="K10" s="20" t="n">
        <v>960</v>
      </c>
      <c r="L10" s="20" t="n">
        <v>64</v>
      </c>
      <c r="M10" s="20" t="n">
        <v>896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104454</v>
      </c>
      <c r="C11" s="23" t="n">
        <v>52080</v>
      </c>
      <c r="D11" s="23" t="n">
        <v>52374</v>
      </c>
      <c r="E11" s="23" t="n">
        <v>29593</v>
      </c>
      <c r="F11" s="23" t="n">
        <v>26528</v>
      </c>
      <c r="G11" s="23" t="n">
        <v>3065</v>
      </c>
      <c r="H11" s="23" t="n">
        <v>72740</v>
      </c>
      <c r="I11" s="23" t="n">
        <v>25339</v>
      </c>
      <c r="J11" s="23" t="n">
        <v>47401</v>
      </c>
      <c r="K11" s="23" t="n">
        <v>2121</v>
      </c>
      <c r="L11" s="23" t="n">
        <v>213</v>
      </c>
      <c r="M11" s="23" t="n">
        <v>1908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201848</v>
      </c>
      <c r="C12" s="20" t="n">
        <v>98595</v>
      </c>
      <c r="D12" s="20" t="n">
        <v>103253</v>
      </c>
      <c r="E12" s="20" t="n">
        <v>22525</v>
      </c>
      <c r="F12" s="20" t="n">
        <v>19712</v>
      </c>
      <c r="G12" s="20" t="n">
        <v>2813</v>
      </c>
      <c r="H12" s="20" t="n">
        <v>169367</v>
      </c>
      <c r="I12" s="20" t="n">
        <v>77461</v>
      </c>
      <c r="J12" s="20" t="n">
        <v>91906</v>
      </c>
      <c r="K12" s="20" t="n">
        <v>9956</v>
      </c>
      <c r="L12" s="20" t="n">
        <v>1422</v>
      </c>
      <c r="M12" s="20" t="n">
        <v>8534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146629</v>
      </c>
      <c r="C13" s="23" t="n">
        <v>75740</v>
      </c>
      <c r="D13" s="23" t="n">
        <v>70889</v>
      </c>
      <c r="E13" s="23" t="n">
        <v>3712</v>
      </c>
      <c r="F13" s="23" t="n">
        <v>2370</v>
      </c>
      <c r="G13" s="23" t="n">
        <v>1342</v>
      </c>
      <c r="H13" s="23" t="n">
        <v>124464</v>
      </c>
      <c r="I13" s="23" t="n">
        <v>70849</v>
      </c>
      <c r="J13" s="23" t="n">
        <v>53615</v>
      </c>
      <c r="K13" s="23" t="n">
        <v>18453</v>
      </c>
      <c r="L13" s="23" t="n">
        <v>2521</v>
      </c>
      <c r="M13" s="23" t="n">
        <v>15932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99874</v>
      </c>
      <c r="C14" s="20" t="n">
        <v>55600</v>
      </c>
      <c r="D14" s="20" t="n">
        <v>44274</v>
      </c>
      <c r="E14" s="20" t="n">
        <v>1764</v>
      </c>
      <c r="F14" s="20" t="n">
        <v>997</v>
      </c>
      <c r="G14" s="20" t="n">
        <v>767</v>
      </c>
      <c r="H14" s="20" t="n">
        <v>74382</v>
      </c>
      <c r="I14" s="20" t="n">
        <v>50673</v>
      </c>
      <c r="J14" s="20" t="n">
        <v>23709</v>
      </c>
      <c r="K14" s="20" t="n">
        <v>23728</v>
      </c>
      <c r="L14" s="20" t="n">
        <v>3930</v>
      </c>
      <c r="M14" s="20" t="n">
        <v>19798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61750</v>
      </c>
      <c r="C15" s="23" t="n">
        <v>33886</v>
      </c>
      <c r="D15" s="23" t="n">
        <v>27864</v>
      </c>
      <c r="E15" s="23" t="n">
        <v>983</v>
      </c>
      <c r="F15" s="23" t="n">
        <v>543</v>
      </c>
      <c r="G15" s="23" t="n">
        <v>440</v>
      </c>
      <c r="H15" s="23" t="n">
        <v>39147</v>
      </c>
      <c r="I15" s="23" t="n">
        <v>29046</v>
      </c>
      <c r="J15" s="23" t="n">
        <v>10101</v>
      </c>
      <c r="K15" s="23" t="n">
        <v>21620</v>
      </c>
      <c r="L15" s="23" t="n">
        <v>4297</v>
      </c>
      <c r="M15" s="23" t="n">
        <v>17323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46732</v>
      </c>
      <c r="C16" s="20" t="n">
        <v>23448</v>
      </c>
      <c r="D16" s="20" t="n">
        <v>23284</v>
      </c>
      <c r="E16" s="20" t="n">
        <v>972</v>
      </c>
      <c r="F16" s="20" t="n">
        <v>418</v>
      </c>
      <c r="G16" s="20" t="n">
        <v>554</v>
      </c>
      <c r="H16" s="20" t="n">
        <v>22596</v>
      </c>
      <c r="I16" s="20" t="n">
        <v>18015</v>
      </c>
      <c r="J16" s="20" t="n">
        <v>4581</v>
      </c>
      <c r="K16" s="20" t="n">
        <v>23164</v>
      </c>
      <c r="L16" s="20" t="n">
        <v>5015</v>
      </c>
      <c r="M16" s="20" t="n">
        <v>18149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Nalgonda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1560880</v>
      </c>
      <c r="C5" s="17" t="n">
        <v>798498</v>
      </c>
      <c r="D5" s="17" t="n">
        <v>762382</v>
      </c>
      <c r="E5" s="17" t="n">
        <v>608064</v>
      </c>
      <c r="F5" s="17" t="n">
        <v>368332</v>
      </c>
      <c r="G5" s="17" t="n">
        <v>239732</v>
      </c>
      <c r="H5" s="17" t="n">
        <v>802222</v>
      </c>
      <c r="I5" s="17" t="n">
        <v>403794</v>
      </c>
      <c r="J5" s="17" t="n">
        <v>398428</v>
      </c>
      <c r="K5" s="17" t="n">
        <v>150594</v>
      </c>
      <c r="L5" s="17" t="n">
        <v>26372</v>
      </c>
      <c r="M5" s="17" t="n">
        <v>124222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23810</v>
      </c>
      <c r="C6" s="20" t="n">
        <v>11196</v>
      </c>
      <c r="D6" s="20" t="n">
        <v>12614</v>
      </c>
      <c r="E6" s="20" t="n">
        <v>23794</v>
      </c>
      <c r="F6" s="20" t="n">
        <v>11193</v>
      </c>
      <c r="G6" s="20" t="n">
        <v>12601</v>
      </c>
      <c r="H6" s="20" t="n">
        <v>16</v>
      </c>
      <c r="I6" s="20" t="n">
        <v>3</v>
      </c>
      <c r="J6" s="20" t="n">
        <v>13</v>
      </c>
      <c r="K6" s="20" t="n">
        <v>0</v>
      </c>
      <c r="L6" s="20" t="n">
        <v>0</v>
      </c>
      <c r="M6" s="20" t="n">
        <v>0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106598</v>
      </c>
      <c r="C7" s="23" t="n">
        <v>51863</v>
      </c>
      <c r="D7" s="23" t="n">
        <v>54735</v>
      </c>
      <c r="E7" s="23" t="n">
        <v>102156</v>
      </c>
      <c r="F7" s="23" t="n">
        <v>51126</v>
      </c>
      <c r="G7" s="23" t="n">
        <v>51030</v>
      </c>
      <c r="H7" s="23" t="n">
        <v>4288</v>
      </c>
      <c r="I7" s="23" t="n">
        <v>724</v>
      </c>
      <c r="J7" s="23" t="n">
        <v>3564</v>
      </c>
      <c r="K7" s="23" t="n">
        <v>154</v>
      </c>
      <c r="L7" s="23" t="n">
        <v>13</v>
      </c>
      <c r="M7" s="23" t="n">
        <v>141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102084</v>
      </c>
      <c r="C8" s="20" t="n">
        <v>52200</v>
      </c>
      <c r="D8" s="20" t="n">
        <v>49884</v>
      </c>
      <c r="E8" s="20" t="n">
        <v>82498</v>
      </c>
      <c r="F8" s="20" t="n">
        <v>48525</v>
      </c>
      <c r="G8" s="20" t="n">
        <v>33973</v>
      </c>
      <c r="H8" s="20" t="n">
        <v>19063</v>
      </c>
      <c r="I8" s="20" t="n">
        <v>3649</v>
      </c>
      <c r="J8" s="20" t="n">
        <v>15414</v>
      </c>
      <c r="K8" s="20" t="n">
        <v>523</v>
      </c>
      <c r="L8" s="20" t="n">
        <v>26</v>
      </c>
      <c r="M8" s="20" t="n">
        <v>497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90497</v>
      </c>
      <c r="C9" s="23" t="n">
        <v>48993</v>
      </c>
      <c r="D9" s="23" t="n">
        <v>41504</v>
      </c>
      <c r="E9" s="23" t="n">
        <v>56010</v>
      </c>
      <c r="F9" s="23" t="n">
        <v>39745</v>
      </c>
      <c r="G9" s="23" t="n">
        <v>16265</v>
      </c>
      <c r="H9" s="23" t="n">
        <v>33766</v>
      </c>
      <c r="I9" s="23" t="n">
        <v>9190</v>
      </c>
      <c r="J9" s="23" t="n">
        <v>24576</v>
      </c>
      <c r="K9" s="23" t="n">
        <v>721</v>
      </c>
      <c r="L9" s="23" t="n">
        <v>58</v>
      </c>
      <c r="M9" s="23" t="n">
        <v>663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73121</v>
      </c>
      <c r="C10" s="20" t="n">
        <v>36453</v>
      </c>
      <c r="D10" s="20" t="n">
        <v>36668</v>
      </c>
      <c r="E10" s="20" t="n">
        <v>19213</v>
      </c>
      <c r="F10" s="20" t="n">
        <v>17339</v>
      </c>
      <c r="G10" s="20" t="n">
        <v>1874</v>
      </c>
      <c r="H10" s="20" t="n">
        <v>52257</v>
      </c>
      <c r="I10" s="20" t="n">
        <v>18954</v>
      </c>
      <c r="J10" s="20" t="n">
        <v>33303</v>
      </c>
      <c r="K10" s="20" t="n">
        <v>1651</v>
      </c>
      <c r="L10" s="20" t="n">
        <v>160</v>
      </c>
      <c r="M10" s="20" t="n">
        <v>1491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138764</v>
      </c>
      <c r="C11" s="23" t="n">
        <v>67813</v>
      </c>
      <c r="D11" s="23" t="n">
        <v>70951</v>
      </c>
      <c r="E11" s="23" t="n">
        <v>14904</v>
      </c>
      <c r="F11" s="23" t="n">
        <v>13038</v>
      </c>
      <c r="G11" s="23" t="n">
        <v>1866</v>
      </c>
      <c r="H11" s="23" t="n">
        <v>116095</v>
      </c>
      <c r="I11" s="23" t="n">
        <v>53692</v>
      </c>
      <c r="J11" s="23" t="n">
        <v>62403</v>
      </c>
      <c r="K11" s="23" t="n">
        <v>7765</v>
      </c>
      <c r="L11" s="23" t="n">
        <v>1083</v>
      </c>
      <c r="M11" s="23" t="n">
        <v>6682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100691</v>
      </c>
      <c r="C12" s="20" t="n">
        <v>52361</v>
      </c>
      <c r="D12" s="20" t="n">
        <v>48330</v>
      </c>
      <c r="E12" s="20" t="n">
        <v>2666</v>
      </c>
      <c r="F12" s="20" t="n">
        <v>1794</v>
      </c>
      <c r="G12" s="20" t="n">
        <v>872</v>
      </c>
      <c r="H12" s="20" t="n">
        <v>84194</v>
      </c>
      <c r="I12" s="20" t="n">
        <v>48622</v>
      </c>
      <c r="J12" s="20" t="n">
        <v>35572</v>
      </c>
      <c r="K12" s="20" t="n">
        <v>13831</v>
      </c>
      <c r="L12" s="20" t="n">
        <v>1945</v>
      </c>
      <c r="M12" s="20" t="n">
        <v>11886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68097</v>
      </c>
      <c r="C13" s="23" t="n">
        <v>37844</v>
      </c>
      <c r="D13" s="23" t="n">
        <v>30253</v>
      </c>
      <c r="E13" s="23" t="n">
        <v>1305</v>
      </c>
      <c r="F13" s="23" t="n">
        <v>673</v>
      </c>
      <c r="G13" s="23" t="n">
        <v>632</v>
      </c>
      <c r="H13" s="23" t="n">
        <v>49261</v>
      </c>
      <c r="I13" s="23" t="n">
        <v>34193</v>
      </c>
      <c r="J13" s="23" t="n">
        <v>15068</v>
      </c>
      <c r="K13" s="23" t="n">
        <v>17531</v>
      </c>
      <c r="L13" s="23" t="n">
        <v>2978</v>
      </c>
      <c r="M13" s="23" t="n">
        <v>14553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43946</v>
      </c>
      <c r="C14" s="20" t="n">
        <v>24197</v>
      </c>
      <c r="D14" s="20" t="n">
        <v>19749</v>
      </c>
      <c r="E14" s="20" t="n">
        <v>786</v>
      </c>
      <c r="F14" s="20" t="n">
        <v>425</v>
      </c>
      <c r="G14" s="20" t="n">
        <v>361</v>
      </c>
      <c r="H14" s="20" t="n">
        <v>27113</v>
      </c>
      <c r="I14" s="20" t="n">
        <v>20549</v>
      </c>
      <c r="J14" s="20" t="n">
        <v>6564</v>
      </c>
      <c r="K14" s="20" t="n">
        <v>16047</v>
      </c>
      <c r="L14" s="20" t="n">
        <v>3223</v>
      </c>
      <c r="M14" s="20" t="n">
        <v>12824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32832</v>
      </c>
      <c r="C15" s="23" t="n">
        <v>16329</v>
      </c>
      <c r="D15" s="23" t="n">
        <v>16503</v>
      </c>
      <c r="E15" s="23" t="n">
        <v>700</v>
      </c>
      <c r="F15" s="23" t="n">
        <v>308</v>
      </c>
      <c r="G15" s="23" t="n">
        <v>392</v>
      </c>
      <c r="H15" s="23" t="n">
        <v>15058</v>
      </c>
      <c r="I15" s="23" t="n">
        <v>12321</v>
      </c>
      <c r="J15" s="23" t="n">
        <v>2737</v>
      </c>
      <c r="K15" s="23" t="n">
        <v>17074</v>
      </c>
      <c r="L15" s="23" t="n">
        <v>3700</v>
      </c>
      <c r="M15" s="23" t="n">
        <v>13374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780440</v>
      </c>
      <c r="C16" s="20" t="n">
        <v>399249</v>
      </c>
      <c r="D16" s="20" t="n">
        <v>381191</v>
      </c>
      <c r="E16" s="20" t="n">
        <v>304032</v>
      </c>
      <c r="F16" s="20" t="n">
        <v>184166</v>
      </c>
      <c r="G16" s="20" t="n">
        <v>119866</v>
      </c>
      <c r="H16" s="20" t="n">
        <v>401111</v>
      </c>
      <c r="I16" s="20" t="n">
        <v>201897</v>
      </c>
      <c r="J16" s="20" t="n">
        <v>199214</v>
      </c>
      <c r="K16" s="20" t="n">
        <v>75297</v>
      </c>
      <c r="L16" s="20" t="n">
        <v>13186</v>
      </c>
      <c r="M16" s="20" t="n">
        <v>62111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Nalgonda</t>
        </is>
      </c>
    </row>
    <row r="2">
      <c r="A2" s="3" t="inlineStr">
        <is>
          <t>Adi Hindu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417960</v>
      </c>
      <c r="C5" s="17" t="n">
        <v>213794</v>
      </c>
      <c r="D5" s="17" t="n">
        <v>204166</v>
      </c>
      <c r="E5" s="17" t="n">
        <v>171210</v>
      </c>
      <c r="F5" s="17" t="n">
        <v>103374</v>
      </c>
      <c r="G5" s="17" t="n">
        <v>67836</v>
      </c>
      <c r="H5" s="17" t="n">
        <v>215104</v>
      </c>
      <c r="I5" s="17" t="n">
        <v>105288</v>
      </c>
      <c r="J5" s="17" t="n">
        <v>109816</v>
      </c>
      <c r="K5" s="17" t="n">
        <v>31646</v>
      </c>
      <c r="L5" s="17" t="n">
        <v>5132</v>
      </c>
      <c r="M5" s="17" t="n">
        <v>26514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208980</v>
      </c>
      <c r="C6" s="20" t="n">
        <v>106897</v>
      </c>
      <c r="D6" s="20" t="n">
        <v>102083</v>
      </c>
      <c r="E6" s="20" t="n">
        <v>85605</v>
      </c>
      <c r="F6" s="20" t="n">
        <v>51687</v>
      </c>
      <c r="G6" s="20" t="n">
        <v>33918</v>
      </c>
      <c r="H6" s="20" t="n">
        <v>107552</v>
      </c>
      <c r="I6" s="20" t="n">
        <v>52644</v>
      </c>
      <c r="J6" s="20" t="n">
        <v>54908</v>
      </c>
      <c r="K6" s="20" t="n">
        <v>15823</v>
      </c>
      <c r="L6" s="20" t="n">
        <v>2566</v>
      </c>
      <c r="M6" s="20" t="n">
        <v>13257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7054</v>
      </c>
      <c r="C7" s="23" t="n">
        <v>3151</v>
      </c>
      <c r="D7" s="23" t="n">
        <v>3903</v>
      </c>
      <c r="E7" s="23" t="n">
        <v>7046</v>
      </c>
      <c r="F7" s="23" t="n">
        <v>3151</v>
      </c>
      <c r="G7" s="23" t="n">
        <v>3895</v>
      </c>
      <c r="H7" s="23" t="n">
        <v>8</v>
      </c>
      <c r="I7" s="23" t="n">
        <v>0</v>
      </c>
      <c r="J7" s="23" t="n">
        <v>8</v>
      </c>
      <c r="K7" s="23" t="n">
        <v>0</v>
      </c>
      <c r="L7" s="23" t="n">
        <v>0</v>
      </c>
      <c r="M7" s="23" t="n">
        <v>0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31015</v>
      </c>
      <c r="C8" s="20" t="n">
        <v>15323</v>
      </c>
      <c r="D8" s="20" t="n">
        <v>15692</v>
      </c>
      <c r="E8" s="20" t="n">
        <v>30424</v>
      </c>
      <c r="F8" s="20" t="n">
        <v>15206</v>
      </c>
      <c r="G8" s="20" t="n">
        <v>15218</v>
      </c>
      <c r="H8" s="20" t="n">
        <v>561</v>
      </c>
      <c r="I8" s="20" t="n">
        <v>115</v>
      </c>
      <c r="J8" s="20" t="n">
        <v>446</v>
      </c>
      <c r="K8" s="20" t="n">
        <v>30</v>
      </c>
      <c r="L8" s="20" t="n">
        <v>2</v>
      </c>
      <c r="M8" s="20" t="n">
        <v>28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26058</v>
      </c>
      <c r="C9" s="23" t="n">
        <v>13607</v>
      </c>
      <c r="D9" s="23" t="n">
        <v>12451</v>
      </c>
      <c r="E9" s="23" t="n">
        <v>22513</v>
      </c>
      <c r="F9" s="23" t="n">
        <v>13069</v>
      </c>
      <c r="G9" s="23" t="n">
        <v>9444</v>
      </c>
      <c r="H9" s="23" t="n">
        <v>3487</v>
      </c>
      <c r="I9" s="23" t="n">
        <v>535</v>
      </c>
      <c r="J9" s="23" t="n">
        <v>2952</v>
      </c>
      <c r="K9" s="23" t="n">
        <v>58</v>
      </c>
      <c r="L9" s="23" t="n">
        <v>3</v>
      </c>
      <c r="M9" s="23" t="n">
        <v>55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23010</v>
      </c>
      <c r="C10" s="20" t="n">
        <v>12649</v>
      </c>
      <c r="D10" s="20" t="n">
        <v>10361</v>
      </c>
      <c r="E10" s="20" t="n">
        <v>15499</v>
      </c>
      <c r="F10" s="20" t="n">
        <v>11055</v>
      </c>
      <c r="G10" s="20" t="n">
        <v>4444</v>
      </c>
      <c r="H10" s="20" t="n">
        <v>7319</v>
      </c>
      <c r="I10" s="20" t="n">
        <v>1590</v>
      </c>
      <c r="J10" s="20" t="n">
        <v>5729</v>
      </c>
      <c r="K10" s="20" t="n">
        <v>192</v>
      </c>
      <c r="L10" s="20" t="n">
        <v>4</v>
      </c>
      <c r="M10" s="20" t="n">
        <v>188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18876</v>
      </c>
      <c r="C11" s="23" t="n">
        <v>9390</v>
      </c>
      <c r="D11" s="23" t="n">
        <v>9486</v>
      </c>
      <c r="E11" s="23" t="n">
        <v>5502</v>
      </c>
      <c r="F11" s="23" t="n">
        <v>5176</v>
      </c>
      <c r="G11" s="23" t="n">
        <v>326</v>
      </c>
      <c r="H11" s="23" t="n">
        <v>13006</v>
      </c>
      <c r="I11" s="23" t="n">
        <v>4186</v>
      </c>
      <c r="J11" s="23" t="n">
        <v>8820</v>
      </c>
      <c r="K11" s="23" t="n">
        <v>368</v>
      </c>
      <c r="L11" s="23" t="n">
        <v>28</v>
      </c>
      <c r="M11" s="23" t="n">
        <v>340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37774</v>
      </c>
      <c r="C12" s="20" t="n">
        <v>18179</v>
      </c>
      <c r="D12" s="20" t="n">
        <v>19595</v>
      </c>
      <c r="E12" s="20" t="n">
        <v>3875</v>
      </c>
      <c r="F12" s="20" t="n">
        <v>3581</v>
      </c>
      <c r="G12" s="20" t="n">
        <v>294</v>
      </c>
      <c r="H12" s="20" t="n">
        <v>32365</v>
      </c>
      <c r="I12" s="20" t="n">
        <v>14362</v>
      </c>
      <c r="J12" s="20" t="n">
        <v>18003</v>
      </c>
      <c r="K12" s="20" t="n">
        <v>1534</v>
      </c>
      <c r="L12" s="20" t="n">
        <v>236</v>
      </c>
      <c r="M12" s="20" t="n">
        <v>1298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27593</v>
      </c>
      <c r="C13" s="23" t="n">
        <v>13847</v>
      </c>
      <c r="D13" s="23" t="n">
        <v>13746</v>
      </c>
      <c r="E13" s="23" t="n">
        <v>371</v>
      </c>
      <c r="F13" s="23" t="n">
        <v>240</v>
      </c>
      <c r="G13" s="23" t="n">
        <v>131</v>
      </c>
      <c r="H13" s="23" t="n">
        <v>24171</v>
      </c>
      <c r="I13" s="23" t="n">
        <v>13264</v>
      </c>
      <c r="J13" s="23" t="n">
        <v>10907</v>
      </c>
      <c r="K13" s="23" t="n">
        <v>3051</v>
      </c>
      <c r="L13" s="23" t="n">
        <v>343</v>
      </c>
      <c r="M13" s="23" t="n">
        <v>2708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20006</v>
      </c>
      <c r="C14" s="20" t="n">
        <v>10939</v>
      </c>
      <c r="D14" s="20" t="n">
        <v>9067</v>
      </c>
      <c r="E14" s="20" t="n">
        <v>181</v>
      </c>
      <c r="F14" s="20" t="n">
        <v>112</v>
      </c>
      <c r="G14" s="20" t="n">
        <v>69</v>
      </c>
      <c r="H14" s="20" t="n">
        <v>15778</v>
      </c>
      <c r="I14" s="20" t="n">
        <v>10269</v>
      </c>
      <c r="J14" s="20" t="n">
        <v>5509</v>
      </c>
      <c r="K14" s="20" t="n">
        <v>4047</v>
      </c>
      <c r="L14" s="20" t="n">
        <v>558</v>
      </c>
      <c r="M14" s="20" t="n">
        <v>3489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10430</v>
      </c>
      <c r="C15" s="23" t="n">
        <v>5800</v>
      </c>
      <c r="D15" s="23" t="n">
        <v>4630</v>
      </c>
      <c r="E15" s="23" t="n">
        <v>107</v>
      </c>
      <c r="F15" s="23" t="n">
        <v>55</v>
      </c>
      <c r="G15" s="23" t="n">
        <v>52</v>
      </c>
      <c r="H15" s="23" t="n">
        <v>6955</v>
      </c>
      <c r="I15" s="23" t="n">
        <v>5106</v>
      </c>
      <c r="J15" s="23" t="n">
        <v>1849</v>
      </c>
      <c r="K15" s="23" t="n">
        <v>3368</v>
      </c>
      <c r="L15" s="23" t="n">
        <v>639</v>
      </c>
      <c r="M15" s="23" t="n">
        <v>2729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7164</v>
      </c>
      <c r="C16" s="20" t="n">
        <v>4012</v>
      </c>
      <c r="D16" s="20" t="n">
        <v>3152</v>
      </c>
      <c r="E16" s="20" t="n">
        <v>87</v>
      </c>
      <c r="F16" s="20" t="n">
        <v>42</v>
      </c>
      <c r="G16" s="20" t="n">
        <v>45</v>
      </c>
      <c r="H16" s="20" t="n">
        <v>3902</v>
      </c>
      <c r="I16" s="20" t="n">
        <v>3217</v>
      </c>
      <c r="J16" s="20" t="n">
        <v>685</v>
      </c>
      <c r="K16" s="20" t="n">
        <v>3175</v>
      </c>
      <c r="L16" s="20" t="n">
        <v>753</v>
      </c>
      <c r="M16" s="20" t="n">
        <v>2422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2026-02-26T05:10:46Z</dcterms:created>
  <dcterms:modified xmlns:dcterms="http://purl.org/dc/terms/" xmlns:xsi="http://www.w3.org/2001/XMLSchema-instance" xsi:type="dcterms:W3CDTF">2026-02-26T05:10:46Z</dcterms:modified>
</cp:coreProperties>
</file>