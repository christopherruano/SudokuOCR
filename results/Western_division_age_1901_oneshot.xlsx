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ge, Sex and Civil Condition. 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2" pivotButton="0" quotePrefix="0" xfId="0"/>
    <xf numFmtId="3" fontId="6" fillId="5" borderId="2" pivotButton="0" quotePrefix="0" xfId="0"/>
    <xf numFmtId="0" fontId="6" fillId="5" borderId="2" applyAlignment="1" pivotButton="0" quotePrefix="0" xfId="0">
      <alignment horizontal="center"/>
    </xf>
    <xf numFmtId="0" fontId="7" fillId="6" borderId="2" pivotButton="0" quotePrefix="0" xfId="0"/>
    <xf numFmtId="3" fontId="7" fillId="6" borderId="2" pivotButton="0" quotePrefix="0" xfId="0"/>
    <xf numFmtId="0" fontId="7" fillId="6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</cols>
  <sheetData>
    <row r="1">
      <c r="A1" s="1" t="inlineStr">
        <is>
          <t>Western Division</t>
        </is>
      </c>
    </row>
    <row r="2">
      <c r="A2" s="2" t="inlineStr">
        <is>
          <t>Source: Age, Sex and Civil Condition. - Western Division. A - Total Population.</t>
        </is>
      </c>
    </row>
    <row r="3">
      <c r="A3" s="3" t="inlineStr">
        <is>
          <t>Age, Sex and Civil Condition. - Western Division. A - Total Population.</t>
        </is>
      </c>
    </row>
    <row r="4">
      <c r="A4" s="4" t="inlineStr">
        <is>
          <t>Age</t>
        </is>
      </c>
      <c r="B4" s="5" t="inlineStr">
        <is>
          <t>MARRIED.</t>
        </is>
      </c>
      <c r="C4" s="6" t="n"/>
      <c r="D4" s="6" t="n"/>
      <c r="E4" s="7" t="inlineStr">
        <is>
          <t>WIDOWED.</t>
        </is>
      </c>
      <c r="F4" s="8" t="n"/>
      <c r="G4" s="8" t="n"/>
      <c r="H4" s="9" t="inlineStr">
        <is>
          <t>Check</t>
        </is>
      </c>
    </row>
    <row r="5">
      <c r="A5" s="10" t="inlineStr"/>
      <c r="B5" s="11" t="inlineStr">
        <is>
          <t>Persons</t>
        </is>
      </c>
      <c r="C5" s="11" t="inlineStr">
        <is>
          <t>Males</t>
        </is>
      </c>
      <c r="D5" s="11" t="inlineStr">
        <is>
          <t>Females</t>
        </is>
      </c>
      <c r="E5" s="11" t="inlineStr">
        <is>
          <t>Persons</t>
        </is>
      </c>
      <c r="F5" s="11" t="inlineStr">
        <is>
          <t>Males</t>
        </is>
      </c>
      <c r="G5" s="11" t="inlineStr">
        <is>
          <t>Females</t>
        </is>
      </c>
      <c r="H5" s="11" t="inlineStr">
        <is>
          <t>M+F=P</t>
        </is>
      </c>
    </row>
    <row r="6">
      <c r="A6" s="12" t="inlineStr">
        <is>
          <t>Total</t>
        </is>
      </c>
      <c r="B6" s="13" t="n">
        <v>1389317</v>
      </c>
      <c r="C6" s="13" t="n">
        <v>702772</v>
      </c>
      <c r="D6" s="13" t="n">
        <v>686545</v>
      </c>
      <c r="E6" s="13" t="n">
        <v>336138</v>
      </c>
      <c r="F6" s="13" t="n">
        <v>81274</v>
      </c>
      <c r="G6" s="13" t="n">
        <v>254864</v>
      </c>
      <c r="H6" s="14">
        <f>IF(B6=C6+D6,"✓","✗")</f>
        <v/>
      </c>
    </row>
    <row r="7">
      <c r="A7" s="15" t="inlineStr">
        <is>
          <t>0-1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>
        <f>IF(B7=C7+D7,"✓","✗")</f>
        <v/>
      </c>
    </row>
    <row r="8">
      <c r="A8" s="18" t="inlineStr">
        <is>
          <t>1-2</t>
        </is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20">
        <f>IF(B8=C8+D8,"✓","✗")</f>
        <v/>
      </c>
    </row>
    <row r="9">
      <c r="A9" s="15" t="inlineStr">
        <is>
          <t>2-3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7">
        <f>IF(B9=C9+D9,"✓","✗")</f>
        <v/>
      </c>
    </row>
    <row r="10">
      <c r="A10" s="18" t="inlineStr">
        <is>
          <t>3-4</t>
        </is>
      </c>
      <c r="B10" s="19" t="n">
        <v>4</v>
      </c>
      <c r="C10" s="19" t="n">
        <v>0</v>
      </c>
      <c r="D10" s="19" t="n">
        <v>4</v>
      </c>
      <c r="E10" s="19" t="n">
        <v>0</v>
      </c>
      <c r="F10" s="19" t="n">
        <v>0</v>
      </c>
      <c r="G10" s="19" t="n">
        <v>0</v>
      </c>
      <c r="H10" s="20">
        <f>IF(B10=C10+D10,"✓","✗")</f>
        <v/>
      </c>
    </row>
    <row r="11">
      <c r="A11" s="15" t="inlineStr">
        <is>
          <t>4-5</t>
        </is>
      </c>
      <c r="B11" s="16" t="n">
        <v>7</v>
      </c>
      <c r="C11" s="16" t="n">
        <v>0</v>
      </c>
      <c r="D11" s="16" t="n">
        <v>7</v>
      </c>
      <c r="E11" s="16" t="n">
        <v>0</v>
      </c>
      <c r="F11" s="16" t="n">
        <v>0</v>
      </c>
      <c r="G11" s="16" t="n">
        <v>0</v>
      </c>
      <c r="H11" s="17">
        <f>IF(B11=C11+D11,"✓","✗")</f>
        <v/>
      </c>
    </row>
    <row r="12">
      <c r="A12" s="18" t="inlineStr">
        <is>
          <t>0-5</t>
        </is>
      </c>
      <c r="B12" s="19" t="n">
        <v>11</v>
      </c>
      <c r="C12" s="19" t="n">
        <v>0</v>
      </c>
      <c r="D12" s="19" t="n">
        <v>11</v>
      </c>
      <c r="E12" s="19" t="n">
        <v>0</v>
      </c>
      <c r="F12" s="19" t="n">
        <v>0</v>
      </c>
      <c r="G12" s="19" t="n">
        <v>0</v>
      </c>
      <c r="H12" s="20">
        <f>IF(B12=C12+D12,"✓","✗")</f>
        <v/>
      </c>
    </row>
    <row r="13">
      <c r="A13" s="15" t="inlineStr">
        <is>
          <t>5-10</t>
        </is>
      </c>
      <c r="B13" s="16" t="n">
        <v>556</v>
      </c>
      <c r="C13" s="16" t="n">
        <v>97</v>
      </c>
      <c r="D13" s="16" t="n">
        <v>459</v>
      </c>
      <c r="E13" s="16" t="n">
        <v>73</v>
      </c>
      <c r="F13" s="16" t="n">
        <v>32</v>
      </c>
      <c r="G13" s="16" t="n">
        <v>41</v>
      </c>
      <c r="H13" s="17">
        <f>IF(B13=C13+D13,"✓","✗")</f>
        <v/>
      </c>
    </row>
    <row r="14">
      <c r="A14" s="18" t="inlineStr">
        <is>
          <t>10-15</t>
        </is>
      </c>
      <c r="B14" s="19" t="n">
        <v>7926</v>
      </c>
      <c r="C14" s="19" t="n">
        <v>890</v>
      </c>
      <c r="D14" s="19" t="n">
        <v>7036</v>
      </c>
      <c r="E14" s="19" t="n">
        <v>425</v>
      </c>
      <c r="F14" s="19" t="n">
        <v>112</v>
      </c>
      <c r="G14" s="19" t="n">
        <v>313</v>
      </c>
      <c r="H14" s="20">
        <f>IF(B14=C14+D14,"✓","✗")</f>
        <v/>
      </c>
    </row>
    <row r="15">
      <c r="A15" s="15" t="inlineStr">
        <is>
          <t>15-20</t>
        </is>
      </c>
      <c r="B15" s="16" t="n">
        <v>49359</v>
      </c>
      <c r="C15" s="16" t="n">
        <v>7237</v>
      </c>
      <c r="D15" s="16" t="n">
        <v>42122</v>
      </c>
      <c r="E15" s="16" t="n">
        <v>2184</v>
      </c>
      <c r="F15" s="16" t="n">
        <v>460</v>
      </c>
      <c r="G15" s="16" t="n">
        <v>1724</v>
      </c>
      <c r="H15" s="17">
        <f>IF(B15=C15+D15,"✓","✗")</f>
        <v/>
      </c>
    </row>
    <row r="16">
      <c r="A16" s="18" t="inlineStr">
        <is>
          <t>20-25</t>
        </is>
      </c>
      <c r="B16" s="19" t="n">
        <v>90671</v>
      </c>
      <c r="C16" s="19" t="n">
        <v>27696</v>
      </c>
      <c r="D16" s="19" t="n">
        <v>62975</v>
      </c>
      <c r="E16" s="19" t="n">
        <v>6179</v>
      </c>
      <c r="F16" s="19" t="n">
        <v>1790</v>
      </c>
      <c r="G16" s="19" t="n">
        <v>4389</v>
      </c>
      <c r="H16" s="20">
        <f>IF(B16=C16+D16,"✓","✗")</f>
        <v/>
      </c>
    </row>
    <row r="17">
      <c r="A17" s="15" t="inlineStr">
        <is>
          <t>25-30</t>
        </is>
      </c>
      <c r="B17" s="16" t="n">
        <v>127086</v>
      </c>
      <c r="C17" s="16" t="n">
        <v>56659</v>
      </c>
      <c r="D17" s="16" t="n">
        <v>70427</v>
      </c>
      <c r="E17" s="16" t="n">
        <v>11206</v>
      </c>
      <c r="F17" s="16" t="n">
        <v>3456</v>
      </c>
      <c r="G17" s="16" t="n">
        <v>7750</v>
      </c>
      <c r="H17" s="17">
        <f>IF(B17=C17+D17,"✓","✗")</f>
        <v/>
      </c>
    </row>
    <row r="18">
      <c r="A18" s="18" t="inlineStr">
        <is>
          <t>30-35</t>
        </is>
      </c>
      <c r="B18" s="19" t="n">
        <v>106780</v>
      </c>
      <c r="C18" s="19" t="n">
        <v>54975</v>
      </c>
      <c r="D18" s="19" t="n">
        <v>51805</v>
      </c>
      <c r="E18" s="19" t="n">
        <v>13766</v>
      </c>
      <c r="F18" s="19" t="n">
        <v>4088</v>
      </c>
      <c r="G18" s="19" t="n">
        <v>9678</v>
      </c>
      <c r="H18" s="20">
        <f>IF(B18=C18+D18,"✓","✗")</f>
        <v/>
      </c>
    </row>
    <row r="19">
      <c r="A19" s="15" t="inlineStr">
        <is>
          <t>35-40</t>
        </is>
      </c>
      <c r="B19" s="16" t="n">
        <v>101116</v>
      </c>
      <c r="C19" s="16" t="n">
        <v>59201</v>
      </c>
      <c r="D19" s="16" t="n">
        <v>41915</v>
      </c>
      <c r="E19" s="16" t="n">
        <v>15644</v>
      </c>
      <c r="F19" s="16" t="n">
        <v>4179</v>
      </c>
      <c r="G19" s="16" t="n">
        <v>11465</v>
      </c>
      <c r="H19" s="17">
        <f>IF(B19=C19+D19,"✓","✗")</f>
        <v/>
      </c>
    </row>
    <row r="20">
      <c r="A20" s="18" t="inlineStr">
        <is>
          <t>40-45</t>
        </is>
      </c>
      <c r="B20" s="19" t="n">
        <v>71930</v>
      </c>
      <c r="C20" s="19" t="n">
        <v>44642</v>
      </c>
      <c r="D20" s="19" t="n">
        <v>27288</v>
      </c>
      <c r="E20" s="19" t="n">
        <v>20065</v>
      </c>
      <c r="F20" s="19" t="n">
        <v>4413</v>
      </c>
      <c r="G20" s="19" t="n">
        <v>15652</v>
      </c>
      <c r="H20" s="20">
        <f>IF(B20=C20+D20,"✓","✗")</f>
        <v/>
      </c>
    </row>
    <row r="21">
      <c r="A21" s="15" t="inlineStr">
        <is>
          <t>45-50</t>
        </is>
      </c>
      <c r="B21" s="16" t="n">
        <v>52849</v>
      </c>
      <c r="C21" s="16" t="n">
        <v>35150</v>
      </c>
      <c r="D21" s="16" t="n">
        <v>17699</v>
      </c>
      <c r="E21" s="16" t="n">
        <v>18226</v>
      </c>
      <c r="F21" s="16" t="n">
        <v>3922</v>
      </c>
      <c r="G21" s="16" t="n">
        <v>14304</v>
      </c>
      <c r="H21" s="17">
        <f>IF(B21=C21+D21,"✓","✗")</f>
        <v/>
      </c>
    </row>
    <row r="22">
      <c r="A22" s="18" t="inlineStr">
        <is>
          <t>50-55</t>
        </is>
      </c>
      <c r="B22" s="19" t="n">
        <v>37206</v>
      </c>
      <c r="C22" s="19" t="n">
        <v>26030</v>
      </c>
      <c r="D22" s="19" t="n">
        <v>11176</v>
      </c>
      <c r="E22" s="19" t="n">
        <v>23031</v>
      </c>
      <c r="F22" s="19" t="n">
        <v>4641</v>
      </c>
      <c r="G22" s="19" t="n">
        <v>18390</v>
      </c>
      <c r="H22" s="20">
        <f>IF(B22=C22+D22,"✓","✗")</f>
        <v/>
      </c>
    </row>
    <row r="23">
      <c r="A23" s="15" t="inlineStr">
        <is>
          <t>55-60</t>
        </is>
      </c>
      <c r="B23" s="16" t="n">
        <v>21043</v>
      </c>
      <c r="C23" s="16" t="n">
        <v>15767</v>
      </c>
      <c r="D23" s="16" t="n">
        <v>5276</v>
      </c>
      <c r="E23" s="16" t="n">
        <v>14733</v>
      </c>
      <c r="F23" s="16" t="n">
        <v>3261</v>
      </c>
      <c r="G23" s="16" t="n">
        <v>11472</v>
      </c>
      <c r="H23" s="17">
        <f>IF(B23=C23+D23,"✓","✗")</f>
        <v/>
      </c>
    </row>
    <row r="24">
      <c r="A24" s="18" t="inlineStr">
        <is>
          <t>60 and over</t>
        </is>
      </c>
      <c r="B24" s="19" t="n">
        <v>28120</v>
      </c>
      <c r="C24" s="19" t="n">
        <v>23042</v>
      </c>
      <c r="D24" s="19" t="n">
        <v>5078</v>
      </c>
      <c r="E24" s="19" t="n">
        <v>42537</v>
      </c>
      <c r="F24" s="19" t="n">
        <v>10283</v>
      </c>
      <c r="G24" s="19" t="n">
        <v>32254</v>
      </c>
      <c r="H24" s="20">
        <f>IF(B24=C24+D24,"✓","✗")</f>
        <v/>
      </c>
    </row>
    <row r="25">
      <c r="A25" s="15" t="inlineStr">
        <is>
          <t>Total</t>
        </is>
      </c>
      <c r="B25" s="16" t="n">
        <v>694653</v>
      </c>
      <c r="C25" s="16" t="n">
        <v>351386</v>
      </c>
      <c r="D25" s="16" t="n">
        <v>343267</v>
      </c>
      <c r="E25" s="16" t="n">
        <v>168069</v>
      </c>
      <c r="F25" s="16" t="n">
        <v>40637</v>
      </c>
      <c r="G25" s="16" t="n">
        <v>127432</v>
      </c>
      <c r="H25" s="17">
        <f>IF(B25=C25+D25,"✓","✗")</f>
        <v/>
      </c>
    </row>
    <row r="26">
      <c r="A26" s="21" t="inlineStr">
        <is>
          <t>Verify: Sum</t>
        </is>
      </c>
      <c r="B26" s="22">
        <f>IF(SUM(B7:B25)=B6,"✓",SUM(B7:B25)-B6)</f>
        <v/>
      </c>
      <c r="C26" s="22">
        <f>IF(SUM(C7:C25)=C6,"✓",SUM(C7:C25)-C6)</f>
        <v/>
      </c>
      <c r="D26" s="22">
        <f>IF(SUM(D7:D25)=D6,"✓",SUM(D7:D25)-D6)</f>
        <v/>
      </c>
      <c r="E26" s="22">
        <f>IF(SUM(E7:E25)=E6,"✓",SUM(E7:E25)-E6)</f>
        <v/>
      </c>
      <c r="F26" s="22">
        <f>IF(SUM(F7:F25)=F6,"✓",SUM(F7:F25)-F6)</f>
        <v/>
      </c>
      <c r="G26" s="22">
        <f>IF(SUM(G7:G25)=G6,"✓",SUM(G7:G25)-G6)</f>
        <v/>
      </c>
    </row>
  </sheetData>
  <mergeCells count="2">
    <mergeCell ref="E4:G4"/>
    <mergeCell ref="B4:D4"/>
  </mergeCells>
  <conditionalFormatting sqref="H6:H2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</cols>
  <sheetData>
    <row r="1">
      <c r="A1" s="23" t="inlineStr">
        <is>
          <t>Western Division</t>
        </is>
      </c>
    </row>
    <row r="2">
      <c r="A2" s="3" t="inlineStr">
        <is>
          <t>Age, Sex and Civil Condition. - Western Division. A - Total Population.</t>
        </is>
      </c>
    </row>
    <row r="3">
      <c r="A3" s="4" t="inlineStr">
        <is>
          <t>Age</t>
        </is>
      </c>
      <c r="B3" s="5" t="inlineStr">
        <is>
          <t>MARRIED.</t>
        </is>
      </c>
      <c r="C3" s="6" t="n"/>
      <c r="D3" s="6" t="n"/>
      <c r="E3" s="7" t="inlineStr">
        <is>
          <t>WIDOWED.</t>
        </is>
      </c>
      <c r="F3" s="8" t="n"/>
      <c r="G3" s="8" t="n"/>
      <c r="H3" s="9" t="inlineStr">
        <is>
          <t>Check</t>
        </is>
      </c>
    </row>
    <row r="4">
      <c r="A4" s="10" t="inlineStr"/>
      <c r="B4" s="11" t="inlineStr">
        <is>
          <t>Persons</t>
        </is>
      </c>
      <c r="C4" s="11" t="inlineStr">
        <is>
          <t>Males</t>
        </is>
      </c>
      <c r="D4" s="11" t="inlineStr">
        <is>
          <t>Females</t>
        </is>
      </c>
      <c r="E4" s="11" t="inlineStr">
        <is>
          <t>Persons</t>
        </is>
      </c>
      <c r="F4" s="11" t="inlineStr">
        <is>
          <t>Males</t>
        </is>
      </c>
      <c r="G4" s="11" t="inlineStr">
        <is>
          <t>Females</t>
        </is>
      </c>
      <c r="H4" s="11" t="inlineStr">
        <is>
          <t>M+F=P</t>
        </is>
      </c>
    </row>
    <row r="5">
      <c r="A5" s="12" t="inlineStr">
        <is>
          <t>Total</t>
        </is>
      </c>
      <c r="B5" s="13" t="n">
        <v>1389317</v>
      </c>
      <c r="C5" s="13" t="n">
        <v>702772</v>
      </c>
      <c r="D5" s="13" t="n">
        <v>686545</v>
      </c>
      <c r="E5" s="13" t="n">
        <v>336138</v>
      </c>
      <c r="F5" s="13" t="n">
        <v>81274</v>
      </c>
      <c r="G5" s="13" t="n">
        <v>254864</v>
      </c>
      <c r="H5" s="14">
        <f>IF(B5=C5+D5,"✓","✗")</f>
        <v/>
      </c>
    </row>
    <row r="6">
      <c r="A6" s="15" t="inlineStr">
        <is>
          <t>0-1</t>
        </is>
      </c>
      <c r="B6" s="16" t="n">
        <v>0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>
        <f>IF(B6=C6+D6,"✓","✗")</f>
        <v/>
      </c>
    </row>
    <row r="7">
      <c r="A7" s="18" t="inlineStr">
        <is>
          <t>1-2</t>
        </is>
      </c>
      <c r="B7" s="19" t="n">
        <v>0</v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20">
        <f>IF(B7=C7+D7,"✓","✗")</f>
        <v/>
      </c>
    </row>
    <row r="8">
      <c r="A8" s="15" t="inlineStr">
        <is>
          <t>2-3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>
        <f>IF(B8=C8+D8,"✓","✗")</f>
        <v/>
      </c>
    </row>
    <row r="9">
      <c r="A9" s="18" t="inlineStr">
        <is>
          <t>3-4</t>
        </is>
      </c>
      <c r="B9" s="19" t="n">
        <v>4</v>
      </c>
      <c r="C9" s="19" t="n">
        <v>0</v>
      </c>
      <c r="D9" s="19" t="n">
        <v>4</v>
      </c>
      <c r="E9" s="19" t="n">
        <v>0</v>
      </c>
      <c r="F9" s="19" t="n">
        <v>0</v>
      </c>
      <c r="G9" s="19" t="n">
        <v>0</v>
      </c>
      <c r="H9" s="20">
        <f>IF(B9=C9+D9,"✓","✗")</f>
        <v/>
      </c>
    </row>
    <row r="10">
      <c r="A10" s="15" t="inlineStr">
        <is>
          <t>4-5</t>
        </is>
      </c>
      <c r="B10" s="16" t="n">
        <v>7</v>
      </c>
      <c r="C10" s="16" t="n">
        <v>0</v>
      </c>
      <c r="D10" s="16" t="n">
        <v>7</v>
      </c>
      <c r="E10" s="16" t="n">
        <v>0</v>
      </c>
      <c r="F10" s="16" t="n">
        <v>0</v>
      </c>
      <c r="G10" s="16" t="n">
        <v>0</v>
      </c>
      <c r="H10" s="17">
        <f>IF(B10=C10+D10,"✓","✗")</f>
        <v/>
      </c>
    </row>
    <row r="11">
      <c r="A11" s="18" t="inlineStr">
        <is>
          <t>0-5</t>
        </is>
      </c>
      <c r="B11" s="19" t="n">
        <v>11</v>
      </c>
      <c r="C11" s="19" t="n">
        <v>0</v>
      </c>
      <c r="D11" s="19" t="n">
        <v>11</v>
      </c>
      <c r="E11" s="19" t="n">
        <v>0</v>
      </c>
      <c r="F11" s="19" t="n">
        <v>0</v>
      </c>
      <c r="G11" s="19" t="n">
        <v>0</v>
      </c>
      <c r="H11" s="20">
        <f>IF(B11=C11+D11,"✓","✗")</f>
        <v/>
      </c>
    </row>
    <row r="12">
      <c r="A12" s="15" t="inlineStr">
        <is>
          <t>5-10</t>
        </is>
      </c>
      <c r="B12" s="16" t="n">
        <v>556</v>
      </c>
      <c r="C12" s="16" t="n">
        <v>97</v>
      </c>
      <c r="D12" s="16" t="n">
        <v>459</v>
      </c>
      <c r="E12" s="16" t="n">
        <v>73</v>
      </c>
      <c r="F12" s="16" t="n">
        <v>32</v>
      </c>
      <c r="G12" s="16" t="n">
        <v>41</v>
      </c>
      <c r="H12" s="17">
        <f>IF(B12=C12+D12,"✓","✗")</f>
        <v/>
      </c>
    </row>
    <row r="13">
      <c r="A13" s="18" t="inlineStr">
        <is>
          <t>10-15</t>
        </is>
      </c>
      <c r="B13" s="19" t="n">
        <v>7926</v>
      </c>
      <c r="C13" s="19" t="n">
        <v>890</v>
      </c>
      <c r="D13" s="19" t="n">
        <v>7036</v>
      </c>
      <c r="E13" s="19" t="n">
        <v>425</v>
      </c>
      <c r="F13" s="19" t="n">
        <v>112</v>
      </c>
      <c r="G13" s="19" t="n">
        <v>313</v>
      </c>
      <c r="H13" s="20">
        <f>IF(B13=C13+D13,"✓","✗")</f>
        <v/>
      </c>
    </row>
    <row r="14">
      <c r="A14" s="15" t="inlineStr">
        <is>
          <t>15-20</t>
        </is>
      </c>
      <c r="B14" s="16" t="n">
        <v>49359</v>
      </c>
      <c r="C14" s="16" t="n">
        <v>7237</v>
      </c>
      <c r="D14" s="16" t="n">
        <v>42122</v>
      </c>
      <c r="E14" s="16" t="n">
        <v>2184</v>
      </c>
      <c r="F14" s="16" t="n">
        <v>460</v>
      </c>
      <c r="G14" s="16" t="n">
        <v>1724</v>
      </c>
      <c r="H14" s="17">
        <f>IF(B14=C14+D14,"✓","✗")</f>
        <v/>
      </c>
    </row>
    <row r="15">
      <c r="A15" s="18" t="inlineStr">
        <is>
          <t>20-25</t>
        </is>
      </c>
      <c r="B15" s="19" t="n">
        <v>90671</v>
      </c>
      <c r="C15" s="19" t="n">
        <v>27696</v>
      </c>
      <c r="D15" s="19" t="n">
        <v>62975</v>
      </c>
      <c r="E15" s="19" t="n">
        <v>6179</v>
      </c>
      <c r="F15" s="19" t="n">
        <v>1790</v>
      </c>
      <c r="G15" s="19" t="n">
        <v>4389</v>
      </c>
      <c r="H15" s="20">
        <f>IF(B15=C15+D15,"✓","✗")</f>
        <v/>
      </c>
    </row>
    <row r="16">
      <c r="A16" s="15" t="inlineStr">
        <is>
          <t>25-30</t>
        </is>
      </c>
      <c r="B16" s="16" t="n">
        <v>127086</v>
      </c>
      <c r="C16" s="16" t="n">
        <v>56659</v>
      </c>
      <c r="D16" s="16" t="n">
        <v>70427</v>
      </c>
      <c r="E16" s="16" t="n">
        <v>11206</v>
      </c>
      <c r="F16" s="16" t="n">
        <v>3456</v>
      </c>
      <c r="G16" s="16" t="n">
        <v>7750</v>
      </c>
      <c r="H16" s="17">
        <f>IF(B16=C16+D16,"✓","✗")</f>
        <v/>
      </c>
    </row>
    <row r="17">
      <c r="A17" s="18" t="inlineStr">
        <is>
          <t>30-35</t>
        </is>
      </c>
      <c r="B17" s="19" t="n">
        <v>106780</v>
      </c>
      <c r="C17" s="19" t="n">
        <v>54975</v>
      </c>
      <c r="D17" s="19" t="n">
        <v>51805</v>
      </c>
      <c r="E17" s="19" t="n">
        <v>13766</v>
      </c>
      <c r="F17" s="19" t="n">
        <v>4088</v>
      </c>
      <c r="G17" s="19" t="n">
        <v>9678</v>
      </c>
      <c r="H17" s="20">
        <f>IF(B17=C17+D17,"✓","✗")</f>
        <v/>
      </c>
    </row>
    <row r="18">
      <c r="A18" s="15" t="inlineStr">
        <is>
          <t>35-40</t>
        </is>
      </c>
      <c r="B18" s="16" t="n">
        <v>101116</v>
      </c>
      <c r="C18" s="16" t="n">
        <v>59201</v>
      </c>
      <c r="D18" s="16" t="n">
        <v>41915</v>
      </c>
      <c r="E18" s="16" t="n">
        <v>15644</v>
      </c>
      <c r="F18" s="16" t="n">
        <v>4179</v>
      </c>
      <c r="G18" s="16" t="n">
        <v>11465</v>
      </c>
      <c r="H18" s="17">
        <f>IF(B18=C18+D18,"✓","✗")</f>
        <v/>
      </c>
    </row>
    <row r="19">
      <c r="A19" s="18" t="inlineStr">
        <is>
          <t>40-45</t>
        </is>
      </c>
      <c r="B19" s="19" t="n">
        <v>71930</v>
      </c>
      <c r="C19" s="19" t="n">
        <v>44642</v>
      </c>
      <c r="D19" s="19" t="n">
        <v>27288</v>
      </c>
      <c r="E19" s="19" t="n">
        <v>20065</v>
      </c>
      <c r="F19" s="19" t="n">
        <v>4413</v>
      </c>
      <c r="G19" s="19" t="n">
        <v>15652</v>
      </c>
      <c r="H19" s="20">
        <f>IF(B19=C19+D19,"✓","✗")</f>
        <v/>
      </c>
    </row>
    <row r="20">
      <c r="A20" s="15" t="inlineStr">
        <is>
          <t>45-50</t>
        </is>
      </c>
      <c r="B20" s="16" t="n">
        <v>52849</v>
      </c>
      <c r="C20" s="16" t="n">
        <v>35150</v>
      </c>
      <c r="D20" s="16" t="n">
        <v>17699</v>
      </c>
      <c r="E20" s="16" t="n">
        <v>18226</v>
      </c>
      <c r="F20" s="16" t="n">
        <v>3922</v>
      </c>
      <c r="G20" s="16" t="n">
        <v>14304</v>
      </c>
      <c r="H20" s="17">
        <f>IF(B20=C20+D20,"✓","✗")</f>
        <v/>
      </c>
    </row>
    <row r="21">
      <c r="A21" s="18" t="inlineStr">
        <is>
          <t>50-55</t>
        </is>
      </c>
      <c r="B21" s="19" t="n">
        <v>37206</v>
      </c>
      <c r="C21" s="19" t="n">
        <v>26030</v>
      </c>
      <c r="D21" s="19" t="n">
        <v>11176</v>
      </c>
      <c r="E21" s="19" t="n">
        <v>23031</v>
      </c>
      <c r="F21" s="19" t="n">
        <v>4641</v>
      </c>
      <c r="G21" s="19" t="n">
        <v>18390</v>
      </c>
      <c r="H21" s="20">
        <f>IF(B21=C21+D21,"✓","✗")</f>
        <v/>
      </c>
    </row>
    <row r="22">
      <c r="A22" s="15" t="inlineStr">
        <is>
          <t>55-60</t>
        </is>
      </c>
      <c r="B22" s="16" t="n">
        <v>21043</v>
      </c>
      <c r="C22" s="16" t="n">
        <v>15767</v>
      </c>
      <c r="D22" s="16" t="n">
        <v>5276</v>
      </c>
      <c r="E22" s="16" t="n">
        <v>14733</v>
      </c>
      <c r="F22" s="16" t="n">
        <v>3261</v>
      </c>
      <c r="G22" s="16" t="n">
        <v>11472</v>
      </c>
      <c r="H22" s="17">
        <f>IF(B22=C22+D22,"✓","✗")</f>
        <v/>
      </c>
    </row>
    <row r="23">
      <c r="A23" s="18" t="inlineStr">
        <is>
          <t>60 and over</t>
        </is>
      </c>
      <c r="B23" s="19" t="n">
        <v>28120</v>
      </c>
      <c r="C23" s="19" t="n">
        <v>23042</v>
      </c>
      <c r="D23" s="19" t="n">
        <v>5078</v>
      </c>
      <c r="E23" s="19" t="n">
        <v>42537</v>
      </c>
      <c r="F23" s="19" t="n">
        <v>10283</v>
      </c>
      <c r="G23" s="19" t="n">
        <v>32254</v>
      </c>
      <c r="H23" s="20">
        <f>IF(B23=C23+D23,"✓","✗")</f>
        <v/>
      </c>
    </row>
    <row r="24">
      <c r="A24" s="15" t="inlineStr">
        <is>
          <t>Total</t>
        </is>
      </c>
      <c r="B24" s="16" t="n">
        <v>694653</v>
      </c>
      <c r="C24" s="16" t="n">
        <v>351386</v>
      </c>
      <c r="D24" s="16" t="n">
        <v>343267</v>
      </c>
      <c r="E24" s="16" t="n">
        <v>168069</v>
      </c>
      <c r="F24" s="16" t="n">
        <v>40637</v>
      </c>
      <c r="G24" s="16" t="n">
        <v>127432</v>
      </c>
      <c r="H24" s="17">
        <f>IF(B24=C24+D24,"✓","✗")</f>
        <v/>
      </c>
    </row>
    <row r="25">
      <c r="A25" s="21" t="inlineStr">
        <is>
          <t>Verify: Sum</t>
        </is>
      </c>
      <c r="B25" s="22">
        <f>IF(SUM(B6:B24)=B5,"✓",SUM(B6:B24)-B5)</f>
        <v/>
      </c>
      <c r="C25" s="22">
        <f>IF(SUM(C6:C24)=C5,"✓",SUM(C6:C24)-C5)</f>
        <v/>
      </c>
      <c r="D25" s="22">
        <f>IF(SUM(D6:D24)=D5,"✓",SUM(D6:D24)-D5)</f>
        <v/>
      </c>
      <c r="E25" s="22">
        <f>IF(SUM(E6:E24)=E5,"✓",SUM(E6:E24)-E5)</f>
        <v/>
      </c>
      <c r="F25" s="22">
        <f>IF(SUM(F6:F24)=F5,"✓",SUM(F6:F24)-F5)</f>
        <v/>
      </c>
      <c r="G25" s="22">
        <f>IF(SUM(G6:G24)=G5,"✓",SUM(G6:G24)-G5)</f>
        <v/>
      </c>
    </row>
  </sheetData>
  <mergeCells count="2">
    <mergeCell ref="B3:D3"/>
    <mergeCell ref="E3:G3"/>
  </mergeCells>
  <conditionalFormatting sqref="H5:H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2026-03-03T04:30:24Z</dcterms:created>
  <dcterms:modified xmlns:dcterms="http://purl.org/dc/terms/" xmlns:xsi="http://www.w3.org/2001/XMLSchema-instance" xsi:type="dcterms:W3CDTF">2026-03-03T04:30:24Z</dcterms:modified>
</cp:coreProperties>
</file>