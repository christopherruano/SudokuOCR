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(3) Widowed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</cols>
  <sheetData>
    <row r="1">
      <c r="A1" s="1" t="inlineStr">
        <is>
          <t>Mysore — 1911</t>
        </is>
      </c>
    </row>
    <row r="2">
      <c r="A2" s="2" t="inlineStr">
        <is>
          <t>Source: TABLE VIII PART A - Continued</t>
        </is>
      </c>
    </row>
    <row r="3">
      <c r="A3" s="3" t="inlineStr">
        <is>
          <t>(3) Widowed.</t>
        </is>
      </c>
    </row>
    <row r="4">
      <c r="A4" s="4" t="inlineStr">
        <is>
          <t>Age</t>
        </is>
      </c>
      <c r="B4" s="5" t="inlineStr">
        <is>
          <t>20-24</t>
        </is>
      </c>
      <c r="C4" s="6" t="n"/>
      <c r="D4" s="6" t="n"/>
      <c r="E4" s="7" t="inlineStr">
        <is>
          <t>25-29</t>
        </is>
      </c>
      <c r="F4" s="8" t="n"/>
      <c r="G4" s="8" t="n"/>
      <c r="H4" s="9" t="inlineStr">
        <is>
          <t>30-34</t>
        </is>
      </c>
      <c r="I4" s="10" t="n"/>
      <c r="J4" s="10" t="n"/>
      <c r="K4" s="11" t="inlineStr">
        <is>
          <t>35-39</t>
        </is>
      </c>
      <c r="L4" s="12" t="n"/>
      <c r="M4" s="12" t="n"/>
      <c r="N4" s="13" t="inlineStr">
        <is>
          <t>40-44</t>
        </is>
      </c>
      <c r="O4" s="14" t="n"/>
      <c r="P4" s="14" t="n"/>
      <c r="Q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M+F=P</t>
        </is>
      </c>
    </row>
    <row r="6">
      <c r="A6" s="18" t="inlineStr">
        <is>
          <t>Total</t>
        </is>
      </c>
      <c r="B6" s="19" t="n">
        <v>55111</v>
      </c>
      <c r="C6" s="19" t="n">
        <v>5488</v>
      </c>
      <c r="D6" s="19" t="n">
        <v>49623</v>
      </c>
      <c r="E6" s="19" t="n">
        <v>105864</v>
      </c>
      <c r="F6" s="19" t="n">
        <v>15064</v>
      </c>
      <c r="G6" s="19" t="n">
        <v>90800</v>
      </c>
      <c r="H6" s="19" t="n">
        <v>175786</v>
      </c>
      <c r="I6" s="19" t="n">
        <v>25715</v>
      </c>
      <c r="J6" s="19" t="n">
        <v>150071</v>
      </c>
      <c r="K6" s="19" t="n">
        <v>175663</v>
      </c>
      <c r="L6" s="19" t="n">
        <v>29940</v>
      </c>
      <c r="M6" s="19" t="n">
        <v>145723</v>
      </c>
      <c r="N6" s="19" t="n">
        <v>268996</v>
      </c>
      <c r="O6" s="19" t="n">
        <v>45579</v>
      </c>
      <c r="P6" s="19" t="n">
        <v>223417</v>
      </c>
      <c r="Q6" s="20">
        <f>IF(B6=C6+D6,"✓","✗")</f>
        <v/>
      </c>
    </row>
    <row r="7">
      <c r="A7" s="21" t="inlineStr">
        <is>
          <t>1 Bangalore</t>
        </is>
      </c>
      <c r="B7" s="22" t="n">
        <v>2129</v>
      </c>
      <c r="C7" s="22" t="n">
        <v>241</v>
      </c>
      <c r="D7" s="22" t="n">
        <v>1888</v>
      </c>
      <c r="E7" s="22" t="n">
        <v>4385</v>
      </c>
      <c r="F7" s="22" t="n">
        <v>607</v>
      </c>
      <c r="G7" s="22" t="n">
        <v>3778</v>
      </c>
      <c r="H7" s="22" t="n">
        <v>7685</v>
      </c>
      <c r="I7" s="22" t="n">
        <v>1091</v>
      </c>
      <c r="J7" s="22" t="n">
        <v>6594</v>
      </c>
      <c r="K7" s="22" t="n">
        <v>7730</v>
      </c>
      <c r="L7" s="22" t="n">
        <v>1304</v>
      </c>
      <c r="M7" s="22" t="n">
        <v>6426</v>
      </c>
      <c r="N7" s="22" t="n">
        <v>12513</v>
      </c>
      <c r="O7" s="22" t="n">
        <v>2147</v>
      </c>
      <c r="P7" s="22" t="n">
        <v>10366</v>
      </c>
      <c r="Q7" s="23">
        <f>IF(B7=C7+D7,"✓","✗")</f>
        <v/>
      </c>
    </row>
    <row r="8">
      <c r="A8" s="24" t="inlineStr">
        <is>
          <t>2 Kolar</t>
        </is>
      </c>
      <c r="B8" s="25" t="n">
        <v>2668</v>
      </c>
      <c r="C8" s="25" t="n">
        <v>240</v>
      </c>
      <c r="D8" s="25" t="n">
        <v>2428</v>
      </c>
      <c r="E8" s="25" t="n">
        <v>4599</v>
      </c>
      <c r="F8" s="25" t="n">
        <v>612</v>
      </c>
      <c r="G8" s="25" t="n">
        <v>3987</v>
      </c>
      <c r="H8" s="25" t="n">
        <v>8166</v>
      </c>
      <c r="I8" s="25" t="n">
        <v>1121</v>
      </c>
      <c r="J8" s="25" t="n">
        <v>7045</v>
      </c>
      <c r="K8" s="25" t="n">
        <v>7313</v>
      </c>
      <c r="L8" s="25" t="n">
        <v>1333</v>
      </c>
      <c r="M8" s="25" t="n">
        <v>5980</v>
      </c>
      <c r="N8" s="25" t="n">
        <v>11466</v>
      </c>
      <c r="O8" s="25" t="n">
        <v>2261</v>
      </c>
      <c r="P8" s="25" t="n">
        <v>9205</v>
      </c>
      <c r="Q8" s="26">
        <f>IF(B8=C8+D8,"✓","✗")</f>
        <v/>
      </c>
    </row>
    <row r="9">
      <c r="A9" s="21" t="inlineStr">
        <is>
          <t>3 Tumkur</t>
        </is>
      </c>
      <c r="B9" s="22" t="n">
        <v>2506</v>
      </c>
      <c r="C9" s="22" t="n">
        <v>223</v>
      </c>
      <c r="D9" s="22" t="n">
        <v>2283</v>
      </c>
      <c r="E9" s="22" t="n">
        <v>4933</v>
      </c>
      <c r="F9" s="22" t="n">
        <v>647</v>
      </c>
      <c r="G9" s="22" t="n">
        <v>4286</v>
      </c>
      <c r="H9" s="22" t="n">
        <v>8323</v>
      </c>
      <c r="I9" s="22" t="n">
        <v>1138</v>
      </c>
      <c r="J9" s="22" t="n">
        <v>7185</v>
      </c>
      <c r="K9" s="22" t="n">
        <v>8626</v>
      </c>
      <c r="L9" s="22" t="n">
        <v>1472</v>
      </c>
      <c r="M9" s="22" t="n">
        <v>7154</v>
      </c>
      <c r="N9" s="22" t="n">
        <v>12047</v>
      </c>
      <c r="O9" s="22" t="n">
        <v>2072</v>
      </c>
      <c r="P9" s="22" t="n">
        <v>9975</v>
      </c>
      <c r="Q9" s="23">
        <f>IF(B9=C9+D9,"✓","✗")</f>
        <v/>
      </c>
    </row>
    <row r="10">
      <c r="A10" s="24" t="inlineStr">
        <is>
          <t>4 Mysore</t>
        </is>
      </c>
      <c r="B10" s="25" t="n">
        <v>3530</v>
      </c>
      <c r="C10" s="25" t="n">
        <v>320</v>
      </c>
      <c r="D10" s="25" t="n">
        <v>3210</v>
      </c>
      <c r="E10" s="25" t="n">
        <v>6708</v>
      </c>
      <c r="F10" s="25" t="n">
        <v>791</v>
      </c>
      <c r="G10" s="25" t="n">
        <v>5917</v>
      </c>
      <c r="H10" s="25" t="n">
        <v>11072</v>
      </c>
      <c r="I10" s="25" t="n">
        <v>1260</v>
      </c>
      <c r="J10" s="25" t="n">
        <v>9812</v>
      </c>
      <c r="K10" s="25" t="n">
        <v>11939</v>
      </c>
      <c r="L10" s="25" t="n">
        <v>1413</v>
      </c>
      <c r="M10" s="25" t="n">
        <v>10526</v>
      </c>
      <c r="N10" s="25" t="n">
        <v>19764</v>
      </c>
      <c r="O10" s="25" t="n">
        <v>2384</v>
      </c>
      <c r="P10" s="25" t="n">
        <v>17380</v>
      </c>
      <c r="Q10" s="26">
        <f>IF(B10=C10+D10,"✓","✗")</f>
        <v/>
      </c>
    </row>
    <row r="11">
      <c r="A11" s="21" t="inlineStr">
        <is>
          <t>5 Hassan</t>
        </is>
      </c>
      <c r="B11" s="22" t="n">
        <v>1760</v>
      </c>
      <c r="C11" s="22" t="n">
        <v>178</v>
      </c>
      <c r="D11" s="22" t="n">
        <v>1582</v>
      </c>
      <c r="E11" s="22" t="n">
        <v>3415</v>
      </c>
      <c r="F11" s="22" t="n">
        <v>503</v>
      </c>
      <c r="G11" s="22" t="n">
        <v>2912</v>
      </c>
      <c r="H11" s="22" t="n">
        <v>5837</v>
      </c>
      <c r="I11" s="22" t="n">
        <v>826</v>
      </c>
      <c r="J11" s="22" t="n">
        <v>5011</v>
      </c>
      <c r="K11" s="22" t="n">
        <v>5946</v>
      </c>
      <c r="L11" s="22" t="n">
        <v>945</v>
      </c>
      <c r="M11" s="22" t="n">
        <v>5001</v>
      </c>
      <c r="N11" s="22" t="n">
        <v>9337</v>
      </c>
      <c r="O11" s="22" t="n">
        <v>1309</v>
      </c>
      <c r="P11" s="22" t="n">
        <v>8028</v>
      </c>
      <c r="Q11" s="23">
        <f>IF(B11=C11+D11,"✓","✗")</f>
        <v/>
      </c>
    </row>
    <row r="12">
      <c r="A12" s="24" t="inlineStr">
        <is>
          <t>6 Shimoga</t>
        </is>
      </c>
      <c r="B12" s="25" t="n">
        <v>2726</v>
      </c>
      <c r="C12" s="25" t="n">
        <v>270</v>
      </c>
      <c r="D12" s="25" t="n">
        <v>2456</v>
      </c>
      <c r="E12" s="25" t="n">
        <v>4786</v>
      </c>
      <c r="F12" s="25" t="n">
        <v>811</v>
      </c>
      <c r="G12" s="25" t="n">
        <v>3975</v>
      </c>
      <c r="H12" s="25" t="n">
        <v>7208</v>
      </c>
      <c r="I12" s="25" t="n">
        <v>1409</v>
      </c>
      <c r="J12" s="25" t="n">
        <v>5799</v>
      </c>
      <c r="K12" s="25" t="n">
        <v>7009</v>
      </c>
      <c r="L12" s="25" t="n">
        <v>1614</v>
      </c>
      <c r="M12" s="25" t="n">
        <v>5395</v>
      </c>
      <c r="N12" s="25" t="n">
        <v>10394</v>
      </c>
      <c r="O12" s="25" t="n">
        <v>2393</v>
      </c>
      <c r="P12" s="25" t="n">
        <v>8001</v>
      </c>
      <c r="Q12" s="26">
        <f>IF(B12=C12+D12,"✓","✗")</f>
        <v/>
      </c>
    </row>
    <row r="13">
      <c r="A13" s="21" t="inlineStr">
        <is>
          <t>7 Kadur</t>
        </is>
      </c>
      <c r="B13" s="22" t="n">
        <v>1383</v>
      </c>
      <c r="C13" s="22" t="n">
        <v>140</v>
      </c>
      <c r="D13" s="22" t="n">
        <v>1243</v>
      </c>
      <c r="E13" s="22" t="n">
        <v>2862</v>
      </c>
      <c r="F13" s="22" t="n">
        <v>481</v>
      </c>
      <c r="G13" s="22" t="n">
        <v>2381</v>
      </c>
      <c r="H13" s="22" t="n">
        <v>4488</v>
      </c>
      <c r="I13" s="22" t="n">
        <v>859</v>
      </c>
      <c r="J13" s="22" t="n">
        <v>3629</v>
      </c>
      <c r="K13" s="22" t="n">
        <v>4293</v>
      </c>
      <c r="L13" s="22" t="n">
        <v>928</v>
      </c>
      <c r="M13" s="22" t="n">
        <v>3365</v>
      </c>
      <c r="N13" s="22" t="n">
        <v>6201</v>
      </c>
      <c r="O13" s="22" t="n">
        <v>1212</v>
      </c>
      <c r="P13" s="22" t="n">
        <v>4989</v>
      </c>
      <c r="Q13" s="23">
        <f>IF(B13=C13+D13,"✓","✗")</f>
        <v/>
      </c>
    </row>
    <row r="14">
      <c r="A14" s="24" t="inlineStr">
        <is>
          <t>8 Chitaldrug</t>
        </is>
      </c>
      <c r="B14" s="25" t="n">
        <v>1457</v>
      </c>
      <c r="C14" s="25" t="n">
        <v>190</v>
      </c>
      <c r="D14" s="25" t="n">
        <v>1267</v>
      </c>
      <c r="E14" s="25" t="n">
        <v>3256</v>
      </c>
      <c r="F14" s="25" t="n">
        <v>512</v>
      </c>
      <c r="G14" s="25" t="n">
        <v>2744</v>
      </c>
      <c r="H14" s="25" t="n">
        <v>5243</v>
      </c>
      <c r="I14" s="25" t="n">
        <v>787</v>
      </c>
      <c r="J14" s="25" t="n">
        <v>4456</v>
      </c>
      <c r="K14" s="25" t="n">
        <v>5195</v>
      </c>
      <c r="L14" s="25" t="n">
        <v>889</v>
      </c>
      <c r="M14" s="25" t="n">
        <v>4306</v>
      </c>
      <c r="N14" s="25" t="n">
        <v>6954</v>
      </c>
      <c r="O14" s="25" t="n">
        <v>1293</v>
      </c>
      <c r="P14" s="25" t="n">
        <v>5661</v>
      </c>
      <c r="Q14" s="26">
        <f>IF(B14=C14+D14,"✓","✗")</f>
        <v/>
      </c>
    </row>
    <row r="15">
      <c r="A15" s="21" t="inlineStr">
        <is>
          <t>Total</t>
        </is>
      </c>
      <c r="B15" s="22" t="n">
        <v>18159</v>
      </c>
      <c r="C15" s="22" t="n">
        <v>1802</v>
      </c>
      <c r="D15" s="22" t="n">
        <v>16357</v>
      </c>
      <c r="E15" s="22" t="n">
        <v>34944</v>
      </c>
      <c r="F15" s="22" t="n">
        <v>4964</v>
      </c>
      <c r="G15" s="22" t="n">
        <v>29980</v>
      </c>
      <c r="H15" s="22" t="n">
        <v>58022</v>
      </c>
      <c r="I15" s="22" t="n">
        <v>8491</v>
      </c>
      <c r="J15" s="22" t="n">
        <v>49531</v>
      </c>
      <c r="K15" s="22" t="n">
        <v>58051</v>
      </c>
      <c r="L15" s="22" t="n">
        <v>9898</v>
      </c>
      <c r="M15" s="22" t="n">
        <v>48153</v>
      </c>
      <c r="N15" s="22" t="n">
        <v>88676</v>
      </c>
      <c r="O15" s="22" t="n">
        <v>15071</v>
      </c>
      <c r="P15" s="22" t="n">
        <v>73605</v>
      </c>
      <c r="Q15" s="23">
        <f>IF(B15=C15+D15,"✓","✗")</f>
        <v/>
      </c>
    </row>
    <row r="16">
      <c r="A16" s="24" t="inlineStr">
        <is>
          <t>The Civil and Military Station, Bangalore</t>
        </is>
      </c>
      <c r="B16" s="25" t="n">
        <v>317</v>
      </c>
      <c r="C16" s="25" t="n">
        <v>41</v>
      </c>
      <c r="D16" s="25" t="n">
        <v>276</v>
      </c>
      <c r="E16" s="25" t="n">
        <v>516</v>
      </c>
      <c r="F16" s="25" t="n">
        <v>86</v>
      </c>
      <c r="G16" s="25" t="n">
        <v>430</v>
      </c>
      <c r="H16" s="25" t="n">
        <v>860</v>
      </c>
      <c r="I16" s="25" t="n">
        <v>121</v>
      </c>
      <c r="J16" s="25" t="n">
        <v>739</v>
      </c>
      <c r="K16" s="25" t="n">
        <v>755</v>
      </c>
      <c r="L16" s="25" t="n">
        <v>123</v>
      </c>
      <c r="M16" s="25" t="n">
        <v>632</v>
      </c>
      <c r="N16" s="25" t="n">
        <v>1484</v>
      </c>
      <c r="O16" s="25" t="n">
        <v>183</v>
      </c>
      <c r="P16" s="25" t="n">
        <v>1301</v>
      </c>
      <c r="Q16" s="26">
        <f>IF(B16=C16+D16,"✓","✗")</f>
        <v/>
      </c>
    </row>
    <row r="17">
      <c r="A17" s="21" t="inlineStr">
        <is>
          <t>GRAND TOTAL</t>
        </is>
      </c>
      <c r="B17" s="22" t="n">
        <v>18476</v>
      </c>
      <c r="C17" s="22" t="n">
        <v>1843</v>
      </c>
      <c r="D17" s="22" t="n">
        <v>16633</v>
      </c>
      <c r="E17" s="22" t="n">
        <v>35460</v>
      </c>
      <c r="F17" s="22" t="n">
        <v>5050</v>
      </c>
      <c r="G17" s="22" t="n">
        <v>30410</v>
      </c>
      <c r="H17" s="22" t="n">
        <v>58882</v>
      </c>
      <c r="I17" s="22" t="n">
        <v>8612</v>
      </c>
      <c r="J17" s="22" t="n">
        <v>50270</v>
      </c>
      <c r="K17" s="22" t="n">
        <v>58806</v>
      </c>
      <c r="L17" s="22" t="n">
        <v>10021</v>
      </c>
      <c r="M17" s="22" t="n">
        <v>48785</v>
      </c>
      <c r="N17" s="22" t="n">
        <v>90160</v>
      </c>
      <c r="O17" s="22" t="n">
        <v>15254</v>
      </c>
      <c r="P17" s="22" t="n">
        <v>74906</v>
      </c>
      <c r="Q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</sheetData>
  <mergeCells count="5">
    <mergeCell ref="K4:M4"/>
    <mergeCell ref="B4:D4"/>
    <mergeCell ref="H4:J4"/>
    <mergeCell ref="E4:G4"/>
    <mergeCell ref="N4:P4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</cols>
  <sheetData>
    <row r="1">
      <c r="A1" s="29" t="inlineStr">
        <is>
          <t>Mysore — 1911</t>
        </is>
      </c>
    </row>
    <row r="2">
      <c r="A2" s="3" t="inlineStr">
        <is>
          <t>(3) Widowed.</t>
        </is>
      </c>
    </row>
    <row r="3">
      <c r="A3" s="4" t="inlineStr">
        <is>
          <t>Age</t>
        </is>
      </c>
      <c r="B3" s="5" t="inlineStr">
        <is>
          <t>20-24</t>
        </is>
      </c>
      <c r="C3" s="6" t="n"/>
      <c r="D3" s="6" t="n"/>
      <c r="E3" s="7" t="inlineStr">
        <is>
          <t>25-29</t>
        </is>
      </c>
      <c r="F3" s="8" t="n"/>
      <c r="G3" s="8" t="n"/>
      <c r="H3" s="9" t="inlineStr">
        <is>
          <t>30-34</t>
        </is>
      </c>
      <c r="I3" s="10" t="n"/>
      <c r="J3" s="10" t="n"/>
      <c r="K3" s="11" t="inlineStr">
        <is>
          <t>35-39</t>
        </is>
      </c>
      <c r="L3" s="12" t="n"/>
      <c r="M3" s="12" t="n"/>
      <c r="N3" s="13" t="inlineStr">
        <is>
          <t>40-44</t>
        </is>
      </c>
      <c r="O3" s="14" t="n"/>
      <c r="P3" s="14" t="n"/>
      <c r="Q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M+F=P</t>
        </is>
      </c>
    </row>
    <row r="5">
      <c r="A5" s="18" t="inlineStr">
        <is>
          <t>Total</t>
        </is>
      </c>
      <c r="B5" s="19" t="n">
        <v>55111</v>
      </c>
      <c r="C5" s="19" t="n">
        <v>5488</v>
      </c>
      <c r="D5" s="19" t="n">
        <v>49623</v>
      </c>
      <c r="E5" s="19" t="n">
        <v>105864</v>
      </c>
      <c r="F5" s="19" t="n">
        <v>15064</v>
      </c>
      <c r="G5" s="19" t="n">
        <v>90800</v>
      </c>
      <c r="H5" s="19" t="n">
        <v>175786</v>
      </c>
      <c r="I5" s="19" t="n">
        <v>25715</v>
      </c>
      <c r="J5" s="19" t="n">
        <v>150071</v>
      </c>
      <c r="K5" s="19" t="n">
        <v>175663</v>
      </c>
      <c r="L5" s="19" t="n">
        <v>29940</v>
      </c>
      <c r="M5" s="19" t="n">
        <v>145723</v>
      </c>
      <c r="N5" s="19" t="n">
        <v>268996</v>
      </c>
      <c r="O5" s="19" t="n">
        <v>45579</v>
      </c>
      <c r="P5" s="19" t="n">
        <v>223417</v>
      </c>
      <c r="Q5" s="20">
        <f>IF(B5=C5+D5,"✓","✗")</f>
        <v/>
      </c>
    </row>
    <row r="6">
      <c r="A6" s="21" t="inlineStr">
        <is>
          <t>1 Bangalore</t>
        </is>
      </c>
      <c r="B6" s="22" t="n">
        <v>2129</v>
      </c>
      <c r="C6" s="22" t="n">
        <v>241</v>
      </c>
      <c r="D6" s="22" t="n">
        <v>1888</v>
      </c>
      <c r="E6" s="22" t="n">
        <v>4385</v>
      </c>
      <c r="F6" s="22" t="n">
        <v>607</v>
      </c>
      <c r="G6" s="22" t="n">
        <v>3778</v>
      </c>
      <c r="H6" s="22" t="n">
        <v>7685</v>
      </c>
      <c r="I6" s="22" t="n">
        <v>1091</v>
      </c>
      <c r="J6" s="22" t="n">
        <v>6594</v>
      </c>
      <c r="K6" s="22" t="n">
        <v>7730</v>
      </c>
      <c r="L6" s="22" t="n">
        <v>1304</v>
      </c>
      <c r="M6" s="22" t="n">
        <v>6426</v>
      </c>
      <c r="N6" s="22" t="n">
        <v>12513</v>
      </c>
      <c r="O6" s="22" t="n">
        <v>2147</v>
      </c>
      <c r="P6" s="22" t="n">
        <v>10366</v>
      </c>
      <c r="Q6" s="23">
        <f>IF(B6=C6+D6,"✓","✗")</f>
        <v/>
      </c>
    </row>
    <row r="7">
      <c r="A7" s="24" t="inlineStr">
        <is>
          <t>2 Kolar</t>
        </is>
      </c>
      <c r="B7" s="25" t="n">
        <v>2668</v>
      </c>
      <c r="C7" s="25" t="n">
        <v>240</v>
      </c>
      <c r="D7" s="25" t="n">
        <v>2428</v>
      </c>
      <c r="E7" s="25" t="n">
        <v>4599</v>
      </c>
      <c r="F7" s="25" t="n">
        <v>612</v>
      </c>
      <c r="G7" s="25" t="n">
        <v>3987</v>
      </c>
      <c r="H7" s="25" t="n">
        <v>8166</v>
      </c>
      <c r="I7" s="25" t="n">
        <v>1121</v>
      </c>
      <c r="J7" s="25" t="n">
        <v>7045</v>
      </c>
      <c r="K7" s="25" t="n">
        <v>7313</v>
      </c>
      <c r="L7" s="25" t="n">
        <v>1333</v>
      </c>
      <c r="M7" s="25" t="n">
        <v>5980</v>
      </c>
      <c r="N7" s="25" t="n">
        <v>11466</v>
      </c>
      <c r="O7" s="25" t="n">
        <v>2261</v>
      </c>
      <c r="P7" s="25" t="n">
        <v>9205</v>
      </c>
      <c r="Q7" s="26">
        <f>IF(B7=C7+D7,"✓","✗")</f>
        <v/>
      </c>
    </row>
    <row r="8">
      <c r="A8" s="21" t="inlineStr">
        <is>
          <t>3 Tumkur</t>
        </is>
      </c>
      <c r="B8" s="22" t="n">
        <v>2506</v>
      </c>
      <c r="C8" s="22" t="n">
        <v>223</v>
      </c>
      <c r="D8" s="22" t="n">
        <v>2283</v>
      </c>
      <c r="E8" s="22" t="n">
        <v>4933</v>
      </c>
      <c r="F8" s="22" t="n">
        <v>647</v>
      </c>
      <c r="G8" s="22" t="n">
        <v>4286</v>
      </c>
      <c r="H8" s="22" t="n">
        <v>8323</v>
      </c>
      <c r="I8" s="22" t="n">
        <v>1138</v>
      </c>
      <c r="J8" s="22" t="n">
        <v>7185</v>
      </c>
      <c r="K8" s="22" t="n">
        <v>8626</v>
      </c>
      <c r="L8" s="22" t="n">
        <v>1472</v>
      </c>
      <c r="M8" s="22" t="n">
        <v>7154</v>
      </c>
      <c r="N8" s="22" t="n">
        <v>12047</v>
      </c>
      <c r="O8" s="22" t="n">
        <v>2072</v>
      </c>
      <c r="P8" s="22" t="n">
        <v>9975</v>
      </c>
      <c r="Q8" s="23">
        <f>IF(B8=C8+D8,"✓","✗")</f>
        <v/>
      </c>
    </row>
    <row r="9">
      <c r="A9" s="24" t="inlineStr">
        <is>
          <t>4 Mysore</t>
        </is>
      </c>
      <c r="B9" s="25" t="n">
        <v>3530</v>
      </c>
      <c r="C9" s="25" t="n">
        <v>320</v>
      </c>
      <c r="D9" s="25" t="n">
        <v>3210</v>
      </c>
      <c r="E9" s="25" t="n">
        <v>6708</v>
      </c>
      <c r="F9" s="25" t="n">
        <v>791</v>
      </c>
      <c r="G9" s="25" t="n">
        <v>5917</v>
      </c>
      <c r="H9" s="25" t="n">
        <v>11072</v>
      </c>
      <c r="I9" s="25" t="n">
        <v>1260</v>
      </c>
      <c r="J9" s="25" t="n">
        <v>9812</v>
      </c>
      <c r="K9" s="25" t="n">
        <v>11939</v>
      </c>
      <c r="L9" s="25" t="n">
        <v>1413</v>
      </c>
      <c r="M9" s="25" t="n">
        <v>10526</v>
      </c>
      <c r="N9" s="25" t="n">
        <v>19764</v>
      </c>
      <c r="O9" s="25" t="n">
        <v>2384</v>
      </c>
      <c r="P9" s="25" t="n">
        <v>17380</v>
      </c>
      <c r="Q9" s="26">
        <f>IF(B9=C9+D9,"✓","✗")</f>
        <v/>
      </c>
    </row>
    <row r="10">
      <c r="A10" s="21" t="inlineStr">
        <is>
          <t>5 Hassan</t>
        </is>
      </c>
      <c r="B10" s="22" t="n">
        <v>1760</v>
      </c>
      <c r="C10" s="22" t="n">
        <v>178</v>
      </c>
      <c r="D10" s="22" t="n">
        <v>1582</v>
      </c>
      <c r="E10" s="22" t="n">
        <v>3415</v>
      </c>
      <c r="F10" s="22" t="n">
        <v>503</v>
      </c>
      <c r="G10" s="22" t="n">
        <v>2912</v>
      </c>
      <c r="H10" s="22" t="n">
        <v>5837</v>
      </c>
      <c r="I10" s="22" t="n">
        <v>826</v>
      </c>
      <c r="J10" s="22" t="n">
        <v>5011</v>
      </c>
      <c r="K10" s="22" t="n">
        <v>5946</v>
      </c>
      <c r="L10" s="22" t="n">
        <v>945</v>
      </c>
      <c r="M10" s="22" t="n">
        <v>5001</v>
      </c>
      <c r="N10" s="22" t="n">
        <v>9337</v>
      </c>
      <c r="O10" s="22" t="n">
        <v>1309</v>
      </c>
      <c r="P10" s="22" t="n">
        <v>8028</v>
      </c>
      <c r="Q10" s="23">
        <f>IF(B10=C10+D10,"✓","✗")</f>
        <v/>
      </c>
    </row>
    <row r="11">
      <c r="A11" s="24" t="inlineStr">
        <is>
          <t>6 Shimoga</t>
        </is>
      </c>
      <c r="B11" s="25" t="n">
        <v>2726</v>
      </c>
      <c r="C11" s="25" t="n">
        <v>270</v>
      </c>
      <c r="D11" s="25" t="n">
        <v>2456</v>
      </c>
      <c r="E11" s="25" t="n">
        <v>4786</v>
      </c>
      <c r="F11" s="25" t="n">
        <v>811</v>
      </c>
      <c r="G11" s="25" t="n">
        <v>3975</v>
      </c>
      <c r="H11" s="25" t="n">
        <v>7208</v>
      </c>
      <c r="I11" s="25" t="n">
        <v>1409</v>
      </c>
      <c r="J11" s="25" t="n">
        <v>5799</v>
      </c>
      <c r="K11" s="25" t="n">
        <v>7009</v>
      </c>
      <c r="L11" s="25" t="n">
        <v>1614</v>
      </c>
      <c r="M11" s="25" t="n">
        <v>5395</v>
      </c>
      <c r="N11" s="25" t="n">
        <v>10394</v>
      </c>
      <c r="O11" s="25" t="n">
        <v>2393</v>
      </c>
      <c r="P11" s="25" t="n">
        <v>8001</v>
      </c>
      <c r="Q11" s="26">
        <f>IF(B11=C11+D11,"✓","✗")</f>
        <v/>
      </c>
    </row>
    <row r="12">
      <c r="A12" s="21" t="inlineStr">
        <is>
          <t>7 Kadur</t>
        </is>
      </c>
      <c r="B12" s="22" t="n">
        <v>1383</v>
      </c>
      <c r="C12" s="22" t="n">
        <v>140</v>
      </c>
      <c r="D12" s="22" t="n">
        <v>1243</v>
      </c>
      <c r="E12" s="22" t="n">
        <v>2862</v>
      </c>
      <c r="F12" s="22" t="n">
        <v>481</v>
      </c>
      <c r="G12" s="22" t="n">
        <v>2381</v>
      </c>
      <c r="H12" s="22" t="n">
        <v>4488</v>
      </c>
      <c r="I12" s="22" t="n">
        <v>859</v>
      </c>
      <c r="J12" s="22" t="n">
        <v>3629</v>
      </c>
      <c r="K12" s="22" t="n">
        <v>4293</v>
      </c>
      <c r="L12" s="22" t="n">
        <v>928</v>
      </c>
      <c r="M12" s="22" t="n">
        <v>3365</v>
      </c>
      <c r="N12" s="22" t="n">
        <v>6201</v>
      </c>
      <c r="O12" s="22" t="n">
        <v>1212</v>
      </c>
      <c r="P12" s="22" t="n">
        <v>4989</v>
      </c>
      <c r="Q12" s="23">
        <f>IF(B12=C12+D12,"✓","✗")</f>
        <v/>
      </c>
    </row>
    <row r="13">
      <c r="A13" s="24" t="inlineStr">
        <is>
          <t>8 Chitaldrug</t>
        </is>
      </c>
      <c r="B13" s="25" t="n">
        <v>1457</v>
      </c>
      <c r="C13" s="25" t="n">
        <v>190</v>
      </c>
      <c r="D13" s="25" t="n">
        <v>1267</v>
      </c>
      <c r="E13" s="25" t="n">
        <v>3256</v>
      </c>
      <c r="F13" s="25" t="n">
        <v>512</v>
      </c>
      <c r="G13" s="25" t="n">
        <v>2744</v>
      </c>
      <c r="H13" s="25" t="n">
        <v>5243</v>
      </c>
      <c r="I13" s="25" t="n">
        <v>787</v>
      </c>
      <c r="J13" s="25" t="n">
        <v>4456</v>
      </c>
      <c r="K13" s="25" t="n">
        <v>5195</v>
      </c>
      <c r="L13" s="25" t="n">
        <v>889</v>
      </c>
      <c r="M13" s="25" t="n">
        <v>4306</v>
      </c>
      <c r="N13" s="25" t="n">
        <v>6954</v>
      </c>
      <c r="O13" s="25" t="n">
        <v>1293</v>
      </c>
      <c r="P13" s="25" t="n">
        <v>5661</v>
      </c>
      <c r="Q13" s="26">
        <f>IF(B13=C13+D13,"✓","✗")</f>
        <v/>
      </c>
    </row>
    <row r="14">
      <c r="A14" s="21" t="inlineStr">
        <is>
          <t>Total</t>
        </is>
      </c>
      <c r="B14" s="22" t="n">
        <v>18159</v>
      </c>
      <c r="C14" s="22" t="n">
        <v>1802</v>
      </c>
      <c r="D14" s="22" t="n">
        <v>16357</v>
      </c>
      <c r="E14" s="22" t="n">
        <v>34944</v>
      </c>
      <c r="F14" s="22" t="n">
        <v>4964</v>
      </c>
      <c r="G14" s="22" t="n">
        <v>29980</v>
      </c>
      <c r="H14" s="22" t="n">
        <v>58022</v>
      </c>
      <c r="I14" s="22" t="n">
        <v>8491</v>
      </c>
      <c r="J14" s="22" t="n">
        <v>49531</v>
      </c>
      <c r="K14" s="22" t="n">
        <v>58051</v>
      </c>
      <c r="L14" s="22" t="n">
        <v>9898</v>
      </c>
      <c r="M14" s="22" t="n">
        <v>48153</v>
      </c>
      <c r="N14" s="22" t="n">
        <v>88676</v>
      </c>
      <c r="O14" s="22" t="n">
        <v>15071</v>
      </c>
      <c r="P14" s="22" t="n">
        <v>73605</v>
      </c>
      <c r="Q14" s="23">
        <f>IF(B14=C14+D14,"✓","✗")</f>
        <v/>
      </c>
    </row>
    <row r="15">
      <c r="A15" s="24" t="inlineStr">
        <is>
          <t>The Civil and Military Station, Bangalore</t>
        </is>
      </c>
      <c r="B15" s="25" t="n">
        <v>317</v>
      </c>
      <c r="C15" s="25" t="n">
        <v>41</v>
      </c>
      <c r="D15" s="25" t="n">
        <v>276</v>
      </c>
      <c r="E15" s="25" t="n">
        <v>516</v>
      </c>
      <c r="F15" s="25" t="n">
        <v>86</v>
      </c>
      <c r="G15" s="25" t="n">
        <v>430</v>
      </c>
      <c r="H15" s="25" t="n">
        <v>860</v>
      </c>
      <c r="I15" s="25" t="n">
        <v>121</v>
      </c>
      <c r="J15" s="25" t="n">
        <v>739</v>
      </c>
      <c r="K15" s="25" t="n">
        <v>755</v>
      </c>
      <c r="L15" s="25" t="n">
        <v>123</v>
      </c>
      <c r="M15" s="25" t="n">
        <v>632</v>
      </c>
      <c r="N15" s="25" t="n">
        <v>1484</v>
      </c>
      <c r="O15" s="25" t="n">
        <v>183</v>
      </c>
      <c r="P15" s="25" t="n">
        <v>1301</v>
      </c>
      <c r="Q15" s="26">
        <f>IF(B15=C15+D15,"✓","✗")</f>
        <v/>
      </c>
    </row>
    <row r="16">
      <c r="A16" s="21" t="inlineStr">
        <is>
          <t>GRAND TOTAL</t>
        </is>
      </c>
      <c r="B16" s="22" t="n">
        <v>18476</v>
      </c>
      <c r="C16" s="22" t="n">
        <v>1843</v>
      </c>
      <c r="D16" s="22" t="n">
        <v>16633</v>
      </c>
      <c r="E16" s="22" t="n">
        <v>35460</v>
      </c>
      <c r="F16" s="22" t="n">
        <v>5050</v>
      </c>
      <c r="G16" s="22" t="n">
        <v>30410</v>
      </c>
      <c r="H16" s="22" t="n">
        <v>58882</v>
      </c>
      <c r="I16" s="22" t="n">
        <v>8612</v>
      </c>
      <c r="J16" s="22" t="n">
        <v>50270</v>
      </c>
      <c r="K16" s="22" t="n">
        <v>58806</v>
      </c>
      <c r="L16" s="22" t="n">
        <v>10021</v>
      </c>
      <c r="M16" s="22" t="n">
        <v>48785</v>
      </c>
      <c r="N16" s="22" t="n">
        <v>90160</v>
      </c>
      <c r="O16" s="22" t="n">
        <v>15254</v>
      </c>
      <c r="P16" s="22" t="n">
        <v>74906</v>
      </c>
      <c r="Q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2026-03-03T04:18:51Z</dcterms:created>
  <dcterms:modified xmlns:dcterms="http://purl.org/dc/terms/" xmlns:xsi="http://www.w3.org/2001/XMLSchema-instance" xsi:type="dcterms:W3CDTF">2026-03-03T04:18:51Z</dcterms:modified>
</cp:coreProperties>
</file>