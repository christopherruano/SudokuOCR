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" sheetId="2" state="visible" r:id="rId2"/>
    <sheet xmlns:r="http://schemas.openxmlformats.org/officeDocument/2006/relationships" name="Hindu (Brahmanic)" sheetId="3" state="visible" r:id="rId3"/>
    <sheet xmlns:r="http://schemas.openxmlformats.org/officeDocument/2006/relationships" name="Adi Hindu" sheetId="4" state="visible" r:id="rId4"/>
    <sheet xmlns:r="http://schemas.openxmlformats.org/officeDocument/2006/relationships" name="Musli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8" borderId="2" pivotButton="0" quotePrefix="0" xfId="0"/>
    <xf numFmtId="3" fontId="7" fillId="8" borderId="2" pivotButton="0" quotePrefix="0" xfId="0"/>
    <xf numFmtId="0" fontId="7" fillId="8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1" t="inlineStr">
        <is>
          <t>Gulbarga</t>
        </is>
      </c>
    </row>
    <row r="2">
      <c r="A2" s="2" t="inlineStr">
        <is>
          <t>Source: TABLE VII. Age, Sex and Civil Condition Part II.-Districts.</t>
        </is>
      </c>
    </row>
    <row r="3">
      <c r="A3" s="3" t="inlineStr">
        <is>
          <t>All Religions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Check</t>
        </is>
      </c>
      <c r="O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P=Sum</t>
        </is>
      </c>
      <c r="O5" s="15" t="inlineStr">
        <is>
          <t>M+F=P</t>
        </is>
      </c>
    </row>
    <row r="6">
      <c r="A6" s="16" t="inlineStr">
        <is>
          <t>Total</t>
        </is>
      </c>
      <c r="B6" s="17" t="n">
        <v>2450016</v>
      </c>
      <c r="C6" s="17" t="n">
        <v>1243374</v>
      </c>
      <c r="D6" s="17" t="n">
        <v>1206642</v>
      </c>
      <c r="E6" s="17" t="n">
        <v>877708</v>
      </c>
      <c r="F6" s="17" t="n">
        <v>511122</v>
      </c>
      <c r="G6" s="17" t="n">
        <v>366586</v>
      </c>
      <c r="H6" s="17" t="n">
        <v>1315030</v>
      </c>
      <c r="I6" s="17" t="n">
        <v>664738</v>
      </c>
      <c r="J6" s="17" t="n">
        <v>650292</v>
      </c>
      <c r="K6" s="17" t="n">
        <v>257278</v>
      </c>
      <c r="L6" s="17" t="n">
        <v>67514</v>
      </c>
      <c r="M6" s="17" t="n">
        <v>189764</v>
      </c>
      <c r="N6" s="18">
        <f>IF(B6=E6+H6+K6,"✓","✗")</f>
        <v/>
      </c>
      <c r="O6" s="18">
        <f>IF(B6=C6+D6,"✓","✗")</f>
        <v/>
      </c>
    </row>
    <row r="7">
      <c r="A7" s="19" t="inlineStr">
        <is>
          <t>0-1</t>
        </is>
      </c>
      <c r="B7" s="20" t="n">
        <v>32923</v>
      </c>
      <c r="C7" s="20" t="n">
        <v>15376</v>
      </c>
      <c r="D7" s="20" t="n">
        <v>17547</v>
      </c>
      <c r="E7" s="20" t="n">
        <v>31650</v>
      </c>
      <c r="F7" s="20" t="n">
        <v>14598</v>
      </c>
      <c r="G7" s="20" t="n">
        <v>17052</v>
      </c>
      <c r="H7" s="20" t="n">
        <v>1214</v>
      </c>
      <c r="I7" s="20" t="n">
        <v>732</v>
      </c>
      <c r="J7" s="20" t="n">
        <v>482</v>
      </c>
      <c r="K7" s="20" t="n">
        <v>59</v>
      </c>
      <c r="L7" s="20" t="n">
        <v>46</v>
      </c>
      <c r="M7" s="20" t="n">
        <v>13</v>
      </c>
      <c r="N7" s="21">
        <f>IF(B7=E7+H7+K7,"✓",B7-(E7+H7+K7))</f>
        <v/>
      </c>
      <c r="O7" s="21">
        <f>IF(B7=C7+D7,"✓","✗")</f>
        <v/>
      </c>
    </row>
    <row r="8">
      <c r="A8" s="22" t="inlineStr">
        <is>
          <t>1-5</t>
        </is>
      </c>
      <c r="B8" s="23" t="n">
        <v>157873</v>
      </c>
      <c r="C8" s="23" t="n">
        <v>76617</v>
      </c>
      <c r="D8" s="23" t="n">
        <v>81256</v>
      </c>
      <c r="E8" s="23" t="n">
        <v>143308</v>
      </c>
      <c r="F8" s="23" t="n">
        <v>68494</v>
      </c>
      <c r="G8" s="23" t="n">
        <v>74814</v>
      </c>
      <c r="H8" s="23" t="n">
        <v>13699</v>
      </c>
      <c r="I8" s="23" t="n">
        <v>7757</v>
      </c>
      <c r="J8" s="23" t="n">
        <v>5942</v>
      </c>
      <c r="K8" s="23" t="n">
        <v>866</v>
      </c>
      <c r="L8" s="23" t="n">
        <v>366</v>
      </c>
      <c r="M8" s="23" t="n">
        <v>500</v>
      </c>
      <c r="N8" s="24">
        <f>IF(B8=E8+H8+K8,"✓",B8-(E8+H8+K8))</f>
        <v/>
      </c>
      <c r="O8" s="24">
        <f>IF(B8=C8+D8,"✓","✗")</f>
        <v/>
      </c>
    </row>
    <row r="9">
      <c r="A9" s="19" t="inlineStr">
        <is>
          <t>5-10</t>
        </is>
      </c>
      <c r="B9" s="20" t="n">
        <v>146342</v>
      </c>
      <c r="C9" s="20" t="n">
        <v>74670</v>
      </c>
      <c r="D9" s="20" t="n">
        <v>71672</v>
      </c>
      <c r="E9" s="20" t="n">
        <v>112388</v>
      </c>
      <c r="F9" s="20" t="n">
        <v>61296</v>
      </c>
      <c r="G9" s="20" t="n">
        <v>51092</v>
      </c>
      <c r="H9" s="20" t="n">
        <v>32955</v>
      </c>
      <c r="I9" s="20" t="n">
        <v>13002</v>
      </c>
      <c r="J9" s="20" t="n">
        <v>19953</v>
      </c>
      <c r="K9" s="20" t="n">
        <v>999</v>
      </c>
      <c r="L9" s="20" t="n">
        <v>372</v>
      </c>
      <c r="M9" s="20" t="n">
        <v>627</v>
      </c>
      <c r="N9" s="21">
        <f>IF(B9=E9+H9+K9,"✓",B9-(E9+H9+K9))</f>
        <v/>
      </c>
      <c r="O9" s="21">
        <f>IF(B9=C9+D9,"✓","✗")</f>
        <v/>
      </c>
    </row>
    <row r="10">
      <c r="A10" s="22" t="inlineStr">
        <is>
          <t>10-15</t>
        </is>
      </c>
      <c r="B10" s="23" t="n">
        <v>129572</v>
      </c>
      <c r="C10" s="23" t="n">
        <v>68599</v>
      </c>
      <c r="D10" s="23" t="n">
        <v>60973</v>
      </c>
      <c r="E10" s="23" t="n">
        <v>78542</v>
      </c>
      <c r="F10" s="23" t="n">
        <v>50546</v>
      </c>
      <c r="G10" s="23" t="n">
        <v>27996</v>
      </c>
      <c r="H10" s="23" t="n">
        <v>49684</v>
      </c>
      <c r="I10" s="23" t="n">
        <v>17473</v>
      </c>
      <c r="J10" s="23" t="n">
        <v>32211</v>
      </c>
      <c r="K10" s="23" t="n">
        <v>1346</v>
      </c>
      <c r="L10" s="23" t="n">
        <v>580</v>
      </c>
      <c r="M10" s="23" t="n">
        <v>766</v>
      </c>
      <c r="N10" s="24">
        <f>IF(B10=E10+H10+K10,"✓",B10-(E10+H10+K10))</f>
        <v/>
      </c>
      <c r="O10" s="24">
        <f>IF(B10=C10+D10,"✓","✗")</f>
        <v/>
      </c>
    </row>
    <row r="11">
      <c r="A11" s="19" t="inlineStr">
        <is>
          <t>15-20</t>
        </is>
      </c>
      <c r="B11" s="20" t="n">
        <v>104008</v>
      </c>
      <c r="C11" s="20" t="n">
        <v>51550</v>
      </c>
      <c r="D11" s="20" t="n">
        <v>52458</v>
      </c>
      <c r="E11" s="20" t="n">
        <v>26847</v>
      </c>
      <c r="F11" s="20" t="n">
        <v>22787</v>
      </c>
      <c r="G11" s="20" t="n">
        <v>4060</v>
      </c>
      <c r="H11" s="20" t="n">
        <v>74809</v>
      </c>
      <c r="I11" s="20" t="n">
        <v>27950</v>
      </c>
      <c r="J11" s="20" t="n">
        <v>46859</v>
      </c>
      <c r="K11" s="20" t="n">
        <v>2352</v>
      </c>
      <c r="L11" s="20" t="n">
        <v>813</v>
      </c>
      <c r="M11" s="20" t="n">
        <v>1539</v>
      </c>
      <c r="N11" s="21">
        <f>IF(B11=E11+H11+K11,"✓",B11-(E11+H11+K11))</f>
        <v/>
      </c>
      <c r="O11" s="21">
        <f>IF(B11=C11+D11,"✓","✗")</f>
        <v/>
      </c>
    </row>
    <row r="12">
      <c r="A12" s="22" t="inlineStr">
        <is>
          <t>20-30</t>
        </is>
      </c>
      <c r="B12" s="23" t="n">
        <v>224251</v>
      </c>
      <c r="C12" s="23" t="n">
        <v>110028</v>
      </c>
      <c r="D12" s="23" t="n">
        <v>114223</v>
      </c>
      <c r="E12" s="23" t="n">
        <v>25070</v>
      </c>
      <c r="F12" s="23" t="n">
        <v>20812</v>
      </c>
      <c r="G12" s="23" t="n">
        <v>4258</v>
      </c>
      <c r="H12" s="23" t="n">
        <v>187986</v>
      </c>
      <c r="I12" s="23" t="n">
        <v>86299</v>
      </c>
      <c r="J12" s="23" t="n">
        <v>101687</v>
      </c>
      <c r="K12" s="23" t="n">
        <v>11195</v>
      </c>
      <c r="L12" s="23" t="n">
        <v>2917</v>
      </c>
      <c r="M12" s="23" t="n">
        <v>8278</v>
      </c>
      <c r="N12" s="24">
        <f>IF(B12=E12+H12+K12,"✓",B12-(E12+H12+K12))</f>
        <v/>
      </c>
      <c r="O12" s="24">
        <f>IF(B12=C12+D12,"✓","✗")</f>
        <v/>
      </c>
    </row>
    <row r="13">
      <c r="A13" s="19" t="inlineStr">
        <is>
          <t>30-40</t>
        </is>
      </c>
      <c r="B13" s="20" t="n">
        <v>175144</v>
      </c>
      <c r="C13" s="20" t="n">
        <v>92425</v>
      </c>
      <c r="D13" s="20" t="n">
        <v>82719</v>
      </c>
      <c r="E13" s="20" t="n">
        <v>8770</v>
      </c>
      <c r="F13" s="20" t="n">
        <v>6711</v>
      </c>
      <c r="G13" s="20" t="n">
        <v>2059</v>
      </c>
      <c r="H13" s="20" t="n">
        <v>143255</v>
      </c>
      <c r="I13" s="20" t="n">
        <v>80272</v>
      </c>
      <c r="J13" s="20" t="n">
        <v>62983</v>
      </c>
      <c r="K13" s="20" t="n">
        <v>23119</v>
      </c>
      <c r="L13" s="20" t="n">
        <v>5442</v>
      </c>
      <c r="M13" s="20" t="n">
        <v>17677</v>
      </c>
      <c r="N13" s="21">
        <f>IF(B13=E13+H13+K13,"✓",B13-(E13+H13+K13))</f>
        <v/>
      </c>
      <c r="O13" s="21">
        <f>IF(B13=C13+D13,"✓","✗")</f>
        <v/>
      </c>
    </row>
    <row r="14">
      <c r="A14" s="22" t="inlineStr">
        <is>
          <t>40-50</t>
        </is>
      </c>
      <c r="B14" s="23" t="n">
        <v>117657</v>
      </c>
      <c r="C14" s="23" t="n">
        <v>62710</v>
      </c>
      <c r="D14" s="23" t="n">
        <v>54947</v>
      </c>
      <c r="E14" s="23" t="n">
        <v>4870</v>
      </c>
      <c r="F14" s="23" t="n">
        <v>4018</v>
      </c>
      <c r="G14" s="23" t="n">
        <v>852</v>
      </c>
      <c r="H14" s="23" t="n">
        <v>82830</v>
      </c>
      <c r="I14" s="23" t="n">
        <v>51494</v>
      </c>
      <c r="J14" s="23" t="n">
        <v>31336</v>
      </c>
      <c r="K14" s="23" t="n">
        <v>29957</v>
      </c>
      <c r="L14" s="23" t="n">
        <v>7198</v>
      </c>
      <c r="M14" s="23" t="n">
        <v>22759</v>
      </c>
      <c r="N14" s="24">
        <f>IF(B14=E14+H14+K14,"✓",B14-(E14+H14+K14))</f>
        <v/>
      </c>
      <c r="O14" s="24">
        <f>IF(B14=C14+D14,"✓","✗")</f>
        <v/>
      </c>
    </row>
    <row r="15">
      <c r="A15" s="19" t="inlineStr">
        <is>
          <t>50-60</t>
        </is>
      </c>
      <c r="B15" s="20" t="n">
        <v>76409</v>
      </c>
      <c r="C15" s="20" t="n">
        <v>39077</v>
      </c>
      <c r="D15" s="20" t="n">
        <v>37332</v>
      </c>
      <c r="E15" s="20" t="n">
        <v>4847</v>
      </c>
      <c r="F15" s="20" t="n">
        <v>4208</v>
      </c>
      <c r="G15" s="20" t="n">
        <v>639</v>
      </c>
      <c r="H15" s="20" t="n">
        <v>42767</v>
      </c>
      <c r="I15" s="20" t="n">
        <v>27445</v>
      </c>
      <c r="J15" s="20" t="n">
        <v>15322</v>
      </c>
      <c r="K15" s="20" t="n">
        <v>28795</v>
      </c>
      <c r="L15" s="20" t="n">
        <v>7424</v>
      </c>
      <c r="M15" s="20" t="n">
        <v>21371</v>
      </c>
      <c r="N15" s="21">
        <f>IF(B15=E15+H15+K15,"✓",B15-(E15+H15+K15))</f>
        <v/>
      </c>
      <c r="O15" s="21">
        <f>IF(B15=C15+D15,"✓","✗")</f>
        <v/>
      </c>
    </row>
    <row r="16">
      <c r="A16" s="22" t="inlineStr">
        <is>
          <t>60 and over</t>
        </is>
      </c>
      <c r="B16" s="23" t="n">
        <v>60829</v>
      </c>
      <c r="C16" s="23" t="n">
        <v>30635</v>
      </c>
      <c r="D16" s="23" t="n">
        <v>30194</v>
      </c>
      <c r="E16" s="23" t="n">
        <v>2562</v>
      </c>
      <c r="F16" s="23" t="n">
        <v>2091</v>
      </c>
      <c r="G16" s="23" t="n">
        <v>471</v>
      </c>
      <c r="H16" s="23" t="n">
        <v>28316</v>
      </c>
      <c r="I16" s="23" t="n">
        <v>19945</v>
      </c>
      <c r="J16" s="23" t="n">
        <v>8371</v>
      </c>
      <c r="K16" s="23" t="n">
        <v>29951</v>
      </c>
      <c r="L16" s="23" t="n">
        <v>8599</v>
      </c>
      <c r="M16" s="23" t="n">
        <v>21352</v>
      </c>
      <c r="N16" s="24">
        <f>IF(B16=E16+H16+K16,"✓",B16-(E16+H16+K16))</f>
        <v/>
      </c>
      <c r="O16" s="24">
        <f>IF(B16=C16+D16,"✓","✗")</f>
        <v/>
      </c>
    </row>
    <row r="17">
      <c r="A17" s="19" t="inlineStr">
        <is>
          <t>Total</t>
        </is>
      </c>
      <c r="B17" s="20" t="n">
        <v>1225008</v>
      </c>
      <c r="C17" s="20" t="n">
        <v>621687</v>
      </c>
      <c r="D17" s="20" t="n">
        <v>603321</v>
      </c>
      <c r="E17" s="20" t="n">
        <v>438854</v>
      </c>
      <c r="F17" s="20" t="n">
        <v>255561</v>
      </c>
      <c r="G17" s="20" t="n">
        <v>183293</v>
      </c>
      <c r="H17" s="20" t="n">
        <v>657515</v>
      </c>
      <c r="I17" s="20" t="n">
        <v>332369</v>
      </c>
      <c r="J17" s="20" t="n">
        <v>325146</v>
      </c>
      <c r="K17" s="20" t="n">
        <v>128639</v>
      </c>
      <c r="L17" s="20" t="n">
        <v>33757</v>
      </c>
      <c r="M17" s="20" t="n">
        <v>94882</v>
      </c>
      <c r="N17" s="21">
        <f>IF(B17=E17+H17+K17,"✓",B17-(E17+H17+K17))</f>
        <v/>
      </c>
      <c r="O17" s="21">
        <f>IF(B17=C17+D17,"✓","✗")</f>
        <v/>
      </c>
    </row>
    <row r="18">
      <c r="A18" s="25" t="inlineStr">
        <is>
          <t>Verify: Sum</t>
        </is>
      </c>
      <c r="B18" s="26">
        <f>IF(SUM(B7:B17)=B6,"✓",SUM(B7:B17)-B6)</f>
        <v/>
      </c>
      <c r="C18" s="26">
        <f>IF(SUM(C7:C17)=C6,"✓",SUM(C7:C17)-C6)</f>
        <v/>
      </c>
      <c r="D18" s="26">
        <f>IF(SUM(D7:D17)=D6,"✓",SUM(D7:D17)-D6)</f>
        <v/>
      </c>
      <c r="E18" s="26">
        <f>IF(SUM(E7:E17)=E6,"✓",SUM(E7:E17)-E6)</f>
        <v/>
      </c>
      <c r="F18" s="26">
        <f>IF(SUM(F7:F17)=F6,"✓",SUM(F7:F17)-F6)</f>
        <v/>
      </c>
      <c r="G18" s="26">
        <f>IF(SUM(G7:G17)=G6,"✓",SUM(G7:G17)-G6)</f>
        <v/>
      </c>
      <c r="H18" s="26">
        <f>IF(SUM(H7:H17)=H6,"✓",SUM(H7:H17)-H6)</f>
        <v/>
      </c>
      <c r="I18" s="26">
        <f>IF(SUM(I7:I17)=I6,"✓",SUM(I7:I17)-I6)</f>
        <v/>
      </c>
      <c r="J18" s="26">
        <f>IF(SUM(J7:J17)=J6,"✓",SUM(J7:J17)-J6)</f>
        <v/>
      </c>
      <c r="K18" s="26">
        <f>IF(SUM(K7:K17)=K6,"✓",SUM(K7:K17)-K6)</f>
        <v/>
      </c>
      <c r="L18" s="26">
        <f>IF(SUM(L7:L17)=L6,"✓",SUM(L7:L17)-L6)</f>
        <v/>
      </c>
      <c r="M18" s="26">
        <f>IF(SUM(M7:M17)=M6,"✓",SUM(M7:M17)-M6)</f>
        <v/>
      </c>
    </row>
    <row r="20">
      <c r="A20" s="3" t="inlineStr">
        <is>
          <t>Hindu (Brahmanic)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Check</t>
        </is>
      </c>
      <c r="O21" s="13" t="inlineStr">
        <is>
          <t>Check</t>
        </is>
      </c>
    </row>
    <row r="22">
      <c r="A22" s="14" t="inlineStr"/>
      <c r="B22" s="15" t="inlineStr">
        <is>
          <t>Persons</t>
        </is>
      </c>
      <c r="C22" s="15" t="inlineStr">
        <is>
          <t>Males</t>
        </is>
      </c>
      <c r="D22" s="15" t="inlineStr">
        <is>
          <t>Females</t>
        </is>
      </c>
      <c r="E22" s="15" t="inlineStr">
        <is>
          <t>Persons</t>
        </is>
      </c>
      <c r="F22" s="15" t="inlineStr">
        <is>
          <t>Males</t>
        </is>
      </c>
      <c r="G22" s="15" t="inlineStr">
        <is>
          <t>Females</t>
        </is>
      </c>
      <c r="H22" s="15" t="inlineStr">
        <is>
          <t>Persons</t>
        </is>
      </c>
      <c r="I22" s="15" t="inlineStr">
        <is>
          <t>Males</t>
        </is>
      </c>
      <c r="J22" s="15" t="inlineStr">
        <is>
          <t>Females</t>
        </is>
      </c>
      <c r="K22" s="15" t="inlineStr">
        <is>
          <t>Persons</t>
        </is>
      </c>
      <c r="L22" s="15" t="inlineStr">
        <is>
          <t>Males</t>
        </is>
      </c>
      <c r="M22" s="15" t="inlineStr">
        <is>
          <t>Females</t>
        </is>
      </c>
      <c r="N22" s="15" t="inlineStr">
        <is>
          <t>P=Sum</t>
        </is>
      </c>
      <c r="O22" s="15" t="inlineStr">
        <is>
          <t>M+F=P</t>
        </is>
      </c>
    </row>
    <row r="23">
      <c r="A23" s="16" t="inlineStr">
        <is>
          <t>Total</t>
        </is>
      </c>
      <c r="B23" s="17" t="n">
        <v>1571858</v>
      </c>
      <c r="C23" s="17" t="n">
        <v>797048</v>
      </c>
      <c r="D23" s="17" t="n">
        <v>774810</v>
      </c>
      <c r="E23" s="17" t="n">
        <v>532824</v>
      </c>
      <c r="F23" s="17" t="n">
        <v>312694</v>
      </c>
      <c r="G23" s="17" t="n">
        <v>220130</v>
      </c>
      <c r="H23" s="17" t="n">
        <v>859066</v>
      </c>
      <c r="I23" s="17" t="n">
        <v>434564</v>
      </c>
      <c r="J23" s="17" t="n">
        <v>424502</v>
      </c>
      <c r="K23" s="17" t="n">
        <v>179968</v>
      </c>
      <c r="L23" s="17" t="n">
        <v>49790</v>
      </c>
      <c r="M23" s="17" t="n">
        <v>130178</v>
      </c>
      <c r="N23" s="18">
        <f>IF(B23=E23+H23+K23,"✓","✗")</f>
        <v/>
      </c>
      <c r="O23" s="18">
        <f>IF(B23=C23+D23,"✓","✗")</f>
        <v/>
      </c>
    </row>
    <row r="24">
      <c r="A24" s="19" t="inlineStr">
        <is>
          <t>Total</t>
        </is>
      </c>
      <c r="B24" s="20" t="n">
        <v>785929</v>
      </c>
      <c r="C24" s="20" t="n">
        <v>398524</v>
      </c>
      <c r="D24" s="20" t="n">
        <v>387405</v>
      </c>
      <c r="E24" s="20" t="n">
        <v>266412</v>
      </c>
      <c r="F24" s="20" t="n">
        <v>156347</v>
      </c>
      <c r="G24" s="20" t="n">
        <v>110065</v>
      </c>
      <c r="H24" s="20" t="n">
        <v>429533</v>
      </c>
      <c r="I24" s="20" t="n">
        <v>217282</v>
      </c>
      <c r="J24" s="20" t="n">
        <v>212251</v>
      </c>
      <c r="K24" s="20" t="n">
        <v>89984</v>
      </c>
      <c r="L24" s="20" t="n">
        <v>24895</v>
      </c>
      <c r="M24" s="20" t="n">
        <v>65089</v>
      </c>
      <c r="N24" s="21">
        <f>IF(B24=E24+H24+K24,"✓",B24-(E24+H24+K24))</f>
        <v/>
      </c>
      <c r="O24" s="21">
        <f>IF(B24=C24+D24,"✓","✗")</f>
        <v/>
      </c>
    </row>
    <row r="25">
      <c r="A25" s="22" t="inlineStr">
        <is>
          <t>0-1</t>
        </is>
      </c>
      <c r="B25" s="23" t="n">
        <v>20043</v>
      </c>
      <c r="C25" s="23" t="n">
        <v>9132</v>
      </c>
      <c r="D25" s="23" t="n">
        <v>10911</v>
      </c>
      <c r="E25" s="23" t="n">
        <v>19430</v>
      </c>
      <c r="F25" s="23" t="n">
        <v>8808</v>
      </c>
      <c r="G25" s="23" t="n">
        <v>10622</v>
      </c>
      <c r="H25" s="23" t="n">
        <v>582</v>
      </c>
      <c r="I25" s="23" t="n">
        <v>297</v>
      </c>
      <c r="J25" s="23" t="n">
        <v>285</v>
      </c>
      <c r="K25" s="23" t="n">
        <v>31</v>
      </c>
      <c r="L25" s="23" t="n">
        <v>27</v>
      </c>
      <c r="M25" s="23" t="n">
        <v>4</v>
      </c>
      <c r="N25" s="24">
        <f>IF(B25=E25+H25+K25,"✓",B25-(E25+H25+K25))</f>
        <v/>
      </c>
      <c r="O25" s="24">
        <f>IF(B25=C25+D25,"✓","✗")</f>
        <v/>
      </c>
    </row>
    <row r="26">
      <c r="A26" s="19" t="inlineStr">
        <is>
          <t>1-5</t>
        </is>
      </c>
      <c r="B26" s="20" t="n">
        <v>93752</v>
      </c>
      <c r="C26" s="20" t="n">
        <v>44750</v>
      </c>
      <c r="D26" s="20" t="n">
        <v>49002</v>
      </c>
      <c r="E26" s="20" t="n">
        <v>84985</v>
      </c>
      <c r="F26" s="20" t="n">
        <v>39599</v>
      </c>
      <c r="G26" s="20" t="n">
        <v>45386</v>
      </c>
      <c r="H26" s="20" t="n">
        <v>8086</v>
      </c>
      <c r="I26" s="20" t="n">
        <v>4815</v>
      </c>
      <c r="J26" s="20" t="n">
        <v>3271</v>
      </c>
      <c r="K26" s="20" t="n">
        <v>681</v>
      </c>
      <c r="L26" s="20" t="n">
        <v>336</v>
      </c>
      <c r="M26" s="20" t="n">
        <v>345</v>
      </c>
      <c r="N26" s="21">
        <f>IF(B26=E26+H26+K26,"✓",B26-(E26+H26+K26))</f>
        <v/>
      </c>
      <c r="O26" s="21">
        <f>IF(B26=C26+D26,"✓","✗")</f>
        <v/>
      </c>
    </row>
    <row r="27">
      <c r="A27" s="22" t="inlineStr">
        <is>
          <t>5-10</t>
        </is>
      </c>
      <c r="B27" s="23" t="n">
        <v>90906</v>
      </c>
      <c r="C27" s="23" t="n">
        <v>45242</v>
      </c>
      <c r="D27" s="23" t="n">
        <v>45664</v>
      </c>
      <c r="E27" s="23" t="n">
        <v>67595</v>
      </c>
      <c r="F27" s="23" t="n">
        <v>36457</v>
      </c>
      <c r="G27" s="23" t="n">
        <v>31138</v>
      </c>
      <c r="H27" s="23" t="n">
        <v>22720</v>
      </c>
      <c r="I27" s="23" t="n">
        <v>8584</v>
      </c>
      <c r="J27" s="23" t="n">
        <v>14136</v>
      </c>
      <c r="K27" s="23" t="n">
        <v>591</v>
      </c>
      <c r="L27" s="23" t="n">
        <v>201</v>
      </c>
      <c r="M27" s="23" t="n">
        <v>390</v>
      </c>
      <c r="N27" s="24">
        <f>IF(B27=E27+H27+K27,"✓",B27-(E27+H27+K27))</f>
        <v/>
      </c>
      <c r="O27" s="24">
        <f>IF(B27=C27+D27,"✓","✗")</f>
        <v/>
      </c>
    </row>
    <row r="28">
      <c r="A28" s="19" t="inlineStr">
        <is>
          <t>10-15</t>
        </is>
      </c>
      <c r="B28" s="20" t="n">
        <v>82999</v>
      </c>
      <c r="C28" s="20" t="n">
        <v>43648</v>
      </c>
      <c r="D28" s="20" t="n">
        <v>39351</v>
      </c>
      <c r="E28" s="20" t="n">
        <v>48760</v>
      </c>
      <c r="F28" s="20" t="n">
        <v>31918</v>
      </c>
      <c r="G28" s="20" t="n">
        <v>16842</v>
      </c>
      <c r="H28" s="20" t="n">
        <v>33374</v>
      </c>
      <c r="I28" s="20" t="n">
        <v>11377</v>
      </c>
      <c r="J28" s="20" t="n">
        <v>21997</v>
      </c>
      <c r="K28" s="20" t="n">
        <v>865</v>
      </c>
      <c r="L28" s="20" t="n">
        <v>353</v>
      </c>
      <c r="M28" s="20" t="n">
        <v>512</v>
      </c>
      <c r="N28" s="21">
        <f>IF(B28=E28+H28+K28,"✓",B28-(E28+H28+K28))</f>
        <v/>
      </c>
      <c r="O28" s="21">
        <f>IF(B28=C28+D28,"✓","✗")</f>
        <v/>
      </c>
    </row>
    <row r="29">
      <c r="A29" s="22" t="inlineStr">
        <is>
          <t>15-20</t>
        </is>
      </c>
      <c r="B29" s="23" t="n">
        <v>67441</v>
      </c>
      <c r="C29" s="23" t="n">
        <v>33452</v>
      </c>
      <c r="D29" s="23" t="n">
        <v>33989</v>
      </c>
      <c r="E29" s="23" t="n">
        <v>16316</v>
      </c>
      <c r="F29" s="23" t="n">
        <v>14341</v>
      </c>
      <c r="G29" s="23" t="n">
        <v>1975</v>
      </c>
      <c r="H29" s="23" t="n">
        <v>49522</v>
      </c>
      <c r="I29" s="23" t="n">
        <v>18562</v>
      </c>
      <c r="J29" s="23" t="n">
        <v>30960</v>
      </c>
      <c r="K29" s="23" t="n">
        <v>1603</v>
      </c>
      <c r="L29" s="23" t="n">
        <v>549</v>
      </c>
      <c r="M29" s="23" t="n">
        <v>1054</v>
      </c>
      <c r="N29" s="24">
        <f>IF(B29=E29+H29+K29,"✓",B29-(E29+H29+K29))</f>
        <v/>
      </c>
      <c r="O29" s="24">
        <f>IF(B29=C29+D29,"✓","✗")</f>
        <v/>
      </c>
    </row>
    <row r="30">
      <c r="A30" s="19" t="inlineStr">
        <is>
          <t>20-30</t>
        </is>
      </c>
      <c r="B30" s="20" t="n">
        <v>143517</v>
      </c>
      <c r="C30" s="20" t="n">
        <v>71003</v>
      </c>
      <c r="D30" s="20" t="n">
        <v>72514</v>
      </c>
      <c r="E30" s="20" t="n">
        <v>15286</v>
      </c>
      <c r="F30" s="20" t="n">
        <v>13069</v>
      </c>
      <c r="G30" s="20" t="n">
        <v>2217</v>
      </c>
      <c r="H30" s="20" t="n">
        <v>120444</v>
      </c>
      <c r="I30" s="20" t="n">
        <v>55815</v>
      </c>
      <c r="J30" s="20" t="n">
        <v>64629</v>
      </c>
      <c r="K30" s="20" t="n">
        <v>7787</v>
      </c>
      <c r="L30" s="20" t="n">
        <v>2119</v>
      </c>
      <c r="M30" s="20" t="n">
        <v>5668</v>
      </c>
      <c r="N30" s="21">
        <f>IF(B30=E30+H30+K30,"✓",B30-(E30+H30+K30))</f>
        <v/>
      </c>
      <c r="O30" s="21">
        <f>IF(B30=C30+D30,"✓","✗")</f>
        <v/>
      </c>
    </row>
    <row r="31">
      <c r="A31" s="22" t="inlineStr">
        <is>
          <t>30-40</t>
        </is>
      </c>
      <c r="B31" s="23" t="n">
        <v>114954</v>
      </c>
      <c r="C31" s="23" t="n">
        <v>60645</v>
      </c>
      <c r="D31" s="23" t="n">
        <v>54309</v>
      </c>
      <c r="E31" s="23" t="n">
        <v>5562</v>
      </c>
      <c r="F31" s="23" t="n">
        <v>4503</v>
      </c>
      <c r="G31" s="23" t="n">
        <v>1059</v>
      </c>
      <c r="H31" s="23" t="n">
        <v>93200</v>
      </c>
      <c r="I31" s="23" t="n">
        <v>52108</v>
      </c>
      <c r="J31" s="23" t="n">
        <v>41092</v>
      </c>
      <c r="K31" s="23" t="n">
        <v>16192</v>
      </c>
      <c r="L31" s="23" t="n">
        <v>4034</v>
      </c>
      <c r="M31" s="23" t="n">
        <v>12158</v>
      </c>
      <c r="N31" s="24">
        <f>IF(B31=E31+H31+K31,"✓",B31-(E31+H31+K31))</f>
        <v/>
      </c>
      <c r="O31" s="24">
        <f>IF(B31=C31+D31,"✓","✗")</f>
        <v/>
      </c>
    </row>
    <row r="32">
      <c r="A32" s="19" t="inlineStr">
        <is>
          <t>40-50</t>
        </is>
      </c>
      <c r="B32" s="20" t="n">
        <v>77860</v>
      </c>
      <c r="C32" s="20" t="n">
        <v>41535</v>
      </c>
      <c r="D32" s="20" t="n">
        <v>36325</v>
      </c>
      <c r="E32" s="20" t="n">
        <v>3038</v>
      </c>
      <c r="F32" s="20" t="n">
        <v>2639</v>
      </c>
      <c r="G32" s="20" t="n">
        <v>399</v>
      </c>
      <c r="H32" s="20" t="n">
        <v>53849</v>
      </c>
      <c r="I32" s="20" t="n">
        <v>33524</v>
      </c>
      <c r="J32" s="20" t="n">
        <v>20325</v>
      </c>
      <c r="K32" s="20" t="n">
        <v>20973</v>
      </c>
      <c r="L32" s="20" t="n">
        <v>5372</v>
      </c>
      <c r="M32" s="20" t="n">
        <v>15601</v>
      </c>
      <c r="N32" s="21">
        <f>IF(B32=E32+H32+K32,"✓",B32-(E32+H32+K32))</f>
        <v/>
      </c>
      <c r="O32" s="21">
        <f>IF(B32=C32+D32,"✓","✗")</f>
        <v/>
      </c>
    </row>
    <row r="33">
      <c r="A33" s="22" t="inlineStr">
        <is>
          <t>50-60</t>
        </is>
      </c>
      <c r="B33" s="23" t="n">
        <v>53476</v>
      </c>
      <c r="C33" s="23" t="n">
        <v>27790</v>
      </c>
      <c r="D33" s="23" t="n">
        <v>25686</v>
      </c>
      <c r="E33" s="23" t="n">
        <v>3874</v>
      </c>
      <c r="F33" s="23" t="n">
        <v>3630</v>
      </c>
      <c r="G33" s="23" t="n">
        <v>244</v>
      </c>
      <c r="H33" s="23" t="n">
        <v>29329</v>
      </c>
      <c r="I33" s="23" t="n">
        <v>18604</v>
      </c>
      <c r="J33" s="23" t="n">
        <v>10725</v>
      </c>
      <c r="K33" s="23" t="n">
        <v>20273</v>
      </c>
      <c r="L33" s="23" t="n">
        <v>5556</v>
      </c>
      <c r="M33" s="23" t="n">
        <v>14717</v>
      </c>
      <c r="N33" s="24">
        <f>IF(B33=E33+H33+K33,"✓",B33-(E33+H33+K33))</f>
        <v/>
      </c>
      <c r="O33" s="24">
        <f>IF(B33=C33+D33,"✓","✗")</f>
        <v/>
      </c>
    </row>
    <row r="34">
      <c r="A34" s="19" t="inlineStr">
        <is>
          <t>60 and over</t>
        </is>
      </c>
      <c r="B34" s="20" t="n">
        <v>40981</v>
      </c>
      <c r="C34" s="20" t="n">
        <v>21327</v>
      </c>
      <c r="D34" s="20" t="n">
        <v>19654</v>
      </c>
      <c r="E34" s="20" t="n">
        <v>1566</v>
      </c>
      <c r="F34" s="20" t="n">
        <v>1383</v>
      </c>
      <c r="G34" s="20" t="n">
        <v>183</v>
      </c>
      <c r="H34" s="20" t="n">
        <v>18427</v>
      </c>
      <c r="I34" s="20" t="n">
        <v>13596</v>
      </c>
      <c r="J34" s="20" t="n">
        <v>4831</v>
      </c>
      <c r="K34" s="20" t="n">
        <v>20988</v>
      </c>
      <c r="L34" s="20" t="n">
        <v>6348</v>
      </c>
      <c r="M34" s="20" t="n">
        <v>14640</v>
      </c>
      <c r="N34" s="21">
        <f>IF(B34=E34+H34+K34,"✓",B34-(E34+H34+K34))</f>
        <v/>
      </c>
      <c r="O34" s="21">
        <f>IF(B34=C34+D34,"✓","✗")</f>
        <v/>
      </c>
    </row>
    <row r="35">
      <c r="A35" s="25" t="inlineStr">
        <is>
          <t>Verify: Sum</t>
        </is>
      </c>
      <c r="B35" s="26">
        <f>IF(SUM(B24:B34)=B23,"✓",SUM(B24:B34)-B23)</f>
        <v/>
      </c>
      <c r="C35" s="26">
        <f>IF(SUM(C24:C34)=C23,"✓",SUM(C24:C34)-C23)</f>
        <v/>
      </c>
      <c r="D35" s="26">
        <f>IF(SUM(D24:D34)=D23,"✓",SUM(D24:D34)-D23)</f>
        <v/>
      </c>
      <c r="E35" s="26">
        <f>IF(SUM(E24:E34)=E23,"✓",SUM(E24:E34)-E23)</f>
        <v/>
      </c>
      <c r="F35" s="26">
        <f>IF(SUM(F24:F34)=F23,"✓",SUM(F24:F34)-F23)</f>
        <v/>
      </c>
      <c r="G35" s="26">
        <f>IF(SUM(G24:G34)=G23,"✓",SUM(G24:G34)-G23)</f>
        <v/>
      </c>
      <c r="H35" s="26">
        <f>IF(SUM(H24:H34)=H23,"✓",SUM(H24:H34)-H23)</f>
        <v/>
      </c>
      <c r="I35" s="26">
        <f>IF(SUM(I24:I34)=I23,"✓",SUM(I24:I34)-I23)</f>
        <v/>
      </c>
      <c r="J35" s="26">
        <f>IF(SUM(J24:J34)=J23,"✓",SUM(J24:J34)-J23)</f>
        <v/>
      </c>
      <c r="K35" s="26">
        <f>IF(SUM(K24:K34)=K23,"✓",SUM(K24:K34)-K23)</f>
        <v/>
      </c>
      <c r="L35" s="26">
        <f>IF(SUM(L24:L34)=L23,"✓",SUM(L24:L34)-L23)</f>
        <v/>
      </c>
      <c r="M35" s="26">
        <f>IF(SUM(M24:M34)=M23,"✓",SUM(M24:M34)-M23)</f>
        <v/>
      </c>
    </row>
    <row r="37">
      <c r="A37" s="3" t="inlineStr">
        <is>
          <t>Adi Hindu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Check</t>
        </is>
      </c>
      <c r="O38" s="13" t="inlineStr">
        <is>
          <t>Check</t>
        </is>
      </c>
    </row>
    <row r="39">
      <c r="A39" s="14" t="inlineStr"/>
      <c r="B39" s="15" t="inlineStr">
        <is>
          <t>Persons</t>
        </is>
      </c>
      <c r="C39" s="15" t="inlineStr">
        <is>
          <t>Males</t>
        </is>
      </c>
      <c r="D39" s="15" t="inlineStr">
        <is>
          <t>Females</t>
        </is>
      </c>
      <c r="E39" s="15" t="inlineStr">
        <is>
          <t>Persons</t>
        </is>
      </c>
      <c r="F39" s="15" t="inlineStr">
        <is>
          <t>Males</t>
        </is>
      </c>
      <c r="G39" s="15" t="inlineStr">
        <is>
          <t>Females</t>
        </is>
      </c>
      <c r="H39" s="15" t="inlineStr">
        <is>
          <t>Persons</t>
        </is>
      </c>
      <c r="I39" s="15" t="inlineStr">
        <is>
          <t>Males</t>
        </is>
      </c>
      <c r="J39" s="15" t="inlineStr">
        <is>
          <t>Females</t>
        </is>
      </c>
      <c r="K39" s="15" t="inlineStr">
        <is>
          <t>Persons</t>
        </is>
      </c>
      <c r="L39" s="15" t="inlineStr">
        <is>
          <t>Males</t>
        </is>
      </c>
      <c r="M39" s="15" t="inlineStr">
        <is>
          <t>Females</t>
        </is>
      </c>
      <c r="N39" s="15" t="inlineStr">
        <is>
          <t>P=Sum</t>
        </is>
      </c>
      <c r="O39" s="15" t="inlineStr">
        <is>
          <t>M+F=P</t>
        </is>
      </c>
    </row>
    <row r="40">
      <c r="A40" s="16" t="inlineStr">
        <is>
          <t>Total</t>
        </is>
      </c>
      <c r="B40" s="17" t="n">
        <v>389620</v>
      </c>
      <c r="C40" s="17" t="n">
        <v>196500</v>
      </c>
      <c r="D40" s="17" t="n">
        <v>193120</v>
      </c>
      <c r="E40" s="17" t="n">
        <v>141242</v>
      </c>
      <c r="F40" s="17" t="n">
        <v>82090</v>
      </c>
      <c r="G40" s="17" t="n">
        <v>59152</v>
      </c>
      <c r="H40" s="17" t="n">
        <v>212016</v>
      </c>
      <c r="I40" s="17" t="n">
        <v>106282</v>
      </c>
      <c r="J40" s="17" t="n">
        <v>105734</v>
      </c>
      <c r="K40" s="17" t="n">
        <v>36362</v>
      </c>
      <c r="L40" s="17" t="n">
        <v>8128</v>
      </c>
      <c r="M40" s="17" t="n">
        <v>28234</v>
      </c>
      <c r="N40" s="18">
        <f>IF(B40=E40+H40+K40,"✓","✗")</f>
        <v/>
      </c>
      <c r="O40" s="18">
        <f>IF(B40=C40+D40,"✓","✗")</f>
        <v/>
      </c>
    </row>
    <row r="41">
      <c r="A41" s="19" t="inlineStr">
        <is>
          <t>Total</t>
        </is>
      </c>
      <c r="B41" s="20" t="n">
        <v>194810</v>
      </c>
      <c r="C41" s="20" t="n">
        <v>98250</v>
      </c>
      <c r="D41" s="20" t="n">
        <v>96560</v>
      </c>
      <c r="E41" s="20" t="n">
        <v>70621</v>
      </c>
      <c r="F41" s="20" t="n">
        <v>41045</v>
      </c>
      <c r="G41" s="20" t="n">
        <v>29576</v>
      </c>
      <c r="H41" s="20" t="n">
        <v>106008</v>
      </c>
      <c r="I41" s="20" t="n">
        <v>53141</v>
      </c>
      <c r="J41" s="20" t="n">
        <v>52867</v>
      </c>
      <c r="K41" s="20" t="n">
        <v>18181</v>
      </c>
      <c r="L41" s="20" t="n">
        <v>4064</v>
      </c>
      <c r="M41" s="20" t="n">
        <v>14117</v>
      </c>
      <c r="N41" s="21">
        <f>IF(B41=E41+H41+K41,"✓",B41-(E41+H41+K41))</f>
        <v/>
      </c>
      <c r="O41" s="21">
        <f>IF(B41=C41+D41,"✓","✗")</f>
        <v/>
      </c>
    </row>
    <row r="42">
      <c r="A42" s="22" t="inlineStr">
        <is>
          <t>0-1</t>
        </is>
      </c>
      <c r="B42" s="23" t="n">
        <v>5947</v>
      </c>
      <c r="C42" s="23" t="n">
        <v>2786</v>
      </c>
      <c r="D42" s="23" t="n">
        <v>3161</v>
      </c>
      <c r="E42" s="23" t="n">
        <v>5674</v>
      </c>
      <c r="F42" s="23" t="n">
        <v>2626</v>
      </c>
      <c r="G42" s="23" t="n">
        <v>3048</v>
      </c>
      <c r="H42" s="23" t="n">
        <v>266</v>
      </c>
      <c r="I42" s="23" t="n">
        <v>153</v>
      </c>
      <c r="J42" s="23" t="n">
        <v>113</v>
      </c>
      <c r="K42" s="23" t="n">
        <v>7</v>
      </c>
      <c r="L42" s="23" t="n">
        <v>7</v>
      </c>
      <c r="M42" s="23" t="n">
        <v>0</v>
      </c>
      <c r="N42" s="24">
        <f>IF(B42=E42+H42+K42,"✓",B42-(E42+H42+K42))</f>
        <v/>
      </c>
      <c r="O42" s="24">
        <f>IF(B42=C42+D42,"✓","✗")</f>
        <v/>
      </c>
    </row>
    <row r="43">
      <c r="A43" s="19" t="inlineStr">
        <is>
          <t>1-5</t>
        </is>
      </c>
      <c r="B43" s="20" t="n">
        <v>29189</v>
      </c>
      <c r="C43" s="20" t="n">
        <v>14743</v>
      </c>
      <c r="D43" s="20" t="n">
        <v>14446</v>
      </c>
      <c r="E43" s="20" t="n">
        <v>26077</v>
      </c>
      <c r="F43" s="20" t="n">
        <v>13223</v>
      </c>
      <c r="G43" s="20" t="n">
        <v>12854</v>
      </c>
      <c r="H43" s="20" t="n">
        <v>3023</v>
      </c>
      <c r="I43" s="20" t="n">
        <v>1505</v>
      </c>
      <c r="J43" s="20" t="n">
        <v>1518</v>
      </c>
      <c r="K43" s="20" t="n">
        <v>89</v>
      </c>
      <c r="L43" s="20" t="n">
        <v>15</v>
      </c>
      <c r="M43" s="20" t="n">
        <v>74</v>
      </c>
      <c r="N43" s="21">
        <f>IF(B43=E43+H43+K43,"✓",B43-(E43+H43+K43))</f>
        <v/>
      </c>
      <c r="O43" s="21">
        <f>IF(B43=C43+D43,"✓","✗")</f>
        <v/>
      </c>
    </row>
    <row r="44">
      <c r="A44" s="22" t="inlineStr">
        <is>
          <t>5-10</t>
        </is>
      </c>
      <c r="B44" s="23" t="n">
        <v>23992</v>
      </c>
      <c r="C44" s="23" t="n">
        <v>12898</v>
      </c>
      <c r="D44" s="23" t="n">
        <v>11094</v>
      </c>
      <c r="E44" s="23" t="n">
        <v>18085</v>
      </c>
      <c r="F44" s="23" t="n">
        <v>10580</v>
      </c>
      <c r="G44" s="23" t="n">
        <v>7505</v>
      </c>
      <c r="H44" s="23" t="n">
        <v>5701</v>
      </c>
      <c r="I44" s="23" t="n">
        <v>2228</v>
      </c>
      <c r="J44" s="23" t="n">
        <v>3473</v>
      </c>
      <c r="K44" s="23" t="n">
        <v>206</v>
      </c>
      <c r="L44" s="23" t="n">
        <v>90</v>
      </c>
      <c r="M44" s="23" t="n">
        <v>116</v>
      </c>
      <c r="N44" s="24">
        <f>IF(B44=E44+H44+K44,"✓",B44-(E44+H44+K44))</f>
        <v/>
      </c>
      <c r="O44" s="24">
        <f>IF(B44=C44+D44,"✓","✗")</f>
        <v/>
      </c>
    </row>
    <row r="45">
      <c r="A45" s="19" t="inlineStr">
        <is>
          <t>10-15</t>
        </is>
      </c>
      <c r="B45" s="20" t="n">
        <v>19989</v>
      </c>
      <c r="C45" s="20" t="n">
        <v>10833</v>
      </c>
      <c r="D45" s="20" t="n">
        <v>9156</v>
      </c>
      <c r="E45" s="20" t="n">
        <v>11308</v>
      </c>
      <c r="F45" s="20" t="n">
        <v>7634</v>
      </c>
      <c r="G45" s="20" t="n">
        <v>3674</v>
      </c>
      <c r="H45" s="20" t="n">
        <v>8402</v>
      </c>
      <c r="I45" s="20" t="n">
        <v>3054</v>
      </c>
      <c r="J45" s="20" t="n">
        <v>5348</v>
      </c>
      <c r="K45" s="20" t="n">
        <v>279</v>
      </c>
      <c r="L45" s="20" t="n">
        <v>145</v>
      </c>
      <c r="M45" s="20" t="n">
        <v>134</v>
      </c>
      <c r="N45" s="21">
        <f>IF(B45=E45+H45+K45,"✓",B45-(E45+H45+K45))</f>
        <v/>
      </c>
      <c r="O45" s="21">
        <f>IF(B45=C45+D45,"✓","✗")</f>
        <v/>
      </c>
    </row>
    <row r="46">
      <c r="A46" s="22" t="inlineStr">
        <is>
          <t>15-20</t>
        </is>
      </c>
      <c r="B46" s="23" t="n">
        <v>14873</v>
      </c>
      <c r="C46" s="23" t="n">
        <v>7331</v>
      </c>
      <c r="D46" s="23" t="n">
        <v>7542</v>
      </c>
      <c r="E46" s="23" t="n">
        <v>3442</v>
      </c>
      <c r="F46" s="23" t="n">
        <v>2916</v>
      </c>
      <c r="G46" s="23" t="n">
        <v>526</v>
      </c>
      <c r="H46" s="23" t="n">
        <v>11104</v>
      </c>
      <c r="I46" s="23" t="n">
        <v>4298</v>
      </c>
      <c r="J46" s="23" t="n">
        <v>6806</v>
      </c>
      <c r="K46" s="23" t="n">
        <v>327</v>
      </c>
      <c r="L46" s="23" t="n">
        <v>117</v>
      </c>
      <c r="M46" s="23" t="n">
        <v>210</v>
      </c>
      <c r="N46" s="24">
        <f>IF(B46=E46+H46+K46,"✓",B46-(E46+H46+K46))</f>
        <v/>
      </c>
      <c r="O46" s="24">
        <f>IF(B46=C46+D46,"✓","✗")</f>
        <v/>
      </c>
    </row>
    <row r="47">
      <c r="A47" s="19" t="inlineStr">
        <is>
          <t>20-30</t>
        </is>
      </c>
      <c r="B47" s="20" t="n">
        <v>35364</v>
      </c>
      <c r="C47" s="20" t="n">
        <v>16880</v>
      </c>
      <c r="D47" s="20" t="n">
        <v>18484</v>
      </c>
      <c r="E47" s="20" t="n">
        <v>3247</v>
      </c>
      <c r="F47" s="20" t="n">
        <v>2434</v>
      </c>
      <c r="G47" s="20" t="n">
        <v>813</v>
      </c>
      <c r="H47" s="20" t="n">
        <v>30514</v>
      </c>
      <c r="I47" s="20" t="n">
        <v>14040</v>
      </c>
      <c r="J47" s="20" t="n">
        <v>16474</v>
      </c>
      <c r="K47" s="20" t="n">
        <v>1603</v>
      </c>
      <c r="L47" s="20" t="n">
        <v>406</v>
      </c>
      <c r="M47" s="20" t="n">
        <v>1197</v>
      </c>
      <c r="N47" s="21">
        <f>IF(B47=E47+H47+K47,"✓",B47-(E47+H47+K47))</f>
        <v/>
      </c>
      <c r="O47" s="21">
        <f>IF(B47=C47+D47,"✓","✗")</f>
        <v/>
      </c>
    </row>
    <row r="48">
      <c r="A48" s="22" t="inlineStr">
        <is>
          <t>30-40</t>
        </is>
      </c>
      <c r="B48" s="23" t="n">
        <v>27506</v>
      </c>
      <c r="C48" s="23" t="n">
        <v>14459</v>
      </c>
      <c r="D48" s="23" t="n">
        <v>13047</v>
      </c>
      <c r="E48" s="23" t="n">
        <v>1339</v>
      </c>
      <c r="F48" s="23" t="n">
        <v>794</v>
      </c>
      <c r="G48" s="23" t="n">
        <v>545</v>
      </c>
      <c r="H48" s="23" t="n">
        <v>22803</v>
      </c>
      <c r="I48" s="23" t="n">
        <v>12988</v>
      </c>
      <c r="J48" s="23" t="n">
        <v>9815</v>
      </c>
      <c r="K48" s="23" t="n">
        <v>3364</v>
      </c>
      <c r="L48" s="23" t="n">
        <v>677</v>
      </c>
      <c r="M48" s="23" t="n">
        <v>2687</v>
      </c>
      <c r="N48" s="24">
        <f>IF(B48=E48+H48+K48,"✓",B48-(E48+H48+K48))</f>
        <v/>
      </c>
      <c r="O48" s="24">
        <f>IF(B48=C48+D48,"✓","✗")</f>
        <v/>
      </c>
    </row>
    <row r="49">
      <c r="A49" s="19" t="inlineStr">
        <is>
          <t>40-50</t>
        </is>
      </c>
      <c r="B49" s="20" t="n">
        <v>18905</v>
      </c>
      <c r="C49" s="20" t="n">
        <v>9957</v>
      </c>
      <c r="D49" s="20" t="n">
        <v>8948</v>
      </c>
      <c r="E49" s="20" t="n">
        <v>867</v>
      </c>
      <c r="F49" s="20" t="n">
        <v>577</v>
      </c>
      <c r="G49" s="20" t="n">
        <v>290</v>
      </c>
      <c r="H49" s="20" t="n">
        <v>13583</v>
      </c>
      <c r="I49" s="20" t="n">
        <v>8473</v>
      </c>
      <c r="J49" s="20" t="n">
        <v>5110</v>
      </c>
      <c r="K49" s="20" t="n">
        <v>4455</v>
      </c>
      <c r="L49" s="20" t="n">
        <v>907</v>
      </c>
      <c r="M49" s="20" t="n">
        <v>3548</v>
      </c>
      <c r="N49" s="21">
        <f>IF(B49=E49+H49+K49,"✓",B49-(E49+H49+K49))</f>
        <v/>
      </c>
      <c r="O49" s="21">
        <f>IF(B49=C49+D49,"✓","✗")</f>
        <v/>
      </c>
    </row>
    <row r="50">
      <c r="A50" s="22" t="inlineStr">
        <is>
          <t>50-60</t>
        </is>
      </c>
      <c r="B50" s="23" t="n">
        <v>10408</v>
      </c>
      <c r="C50" s="23" t="n">
        <v>4814</v>
      </c>
      <c r="D50" s="23" t="n">
        <v>5594</v>
      </c>
      <c r="E50" s="23" t="n">
        <v>301</v>
      </c>
      <c r="F50" s="23" t="n">
        <v>126</v>
      </c>
      <c r="G50" s="23" t="n">
        <v>175</v>
      </c>
      <c r="H50" s="23" t="n">
        <v>6068</v>
      </c>
      <c r="I50" s="23" t="n">
        <v>3857</v>
      </c>
      <c r="J50" s="23" t="n">
        <v>2211</v>
      </c>
      <c r="K50" s="23" t="n">
        <v>4039</v>
      </c>
      <c r="L50" s="23" t="n">
        <v>831</v>
      </c>
      <c r="M50" s="23" t="n">
        <v>3208</v>
      </c>
      <c r="N50" s="24">
        <f>IF(B50=E50+H50+K50,"✓",B50-(E50+H50+K50))</f>
        <v/>
      </c>
      <c r="O50" s="24">
        <f>IF(B50=C50+D50,"✓","✗")</f>
        <v/>
      </c>
    </row>
    <row r="51">
      <c r="A51" s="19" t="inlineStr">
        <is>
          <t>60 and over</t>
        </is>
      </c>
      <c r="B51" s="20" t="n">
        <v>8637</v>
      </c>
      <c r="C51" s="20" t="n">
        <v>3549</v>
      </c>
      <c r="D51" s="20" t="n">
        <v>5088</v>
      </c>
      <c r="E51" s="20" t="n">
        <v>281</v>
      </c>
      <c r="F51" s="20" t="n">
        <v>135</v>
      </c>
      <c r="G51" s="20" t="n">
        <v>146</v>
      </c>
      <c r="H51" s="20" t="n">
        <v>4544</v>
      </c>
      <c r="I51" s="20" t="n">
        <v>2545</v>
      </c>
      <c r="J51" s="20" t="n">
        <v>1999</v>
      </c>
      <c r="K51" s="20" t="n">
        <v>3812</v>
      </c>
      <c r="L51" s="20" t="n">
        <v>869</v>
      </c>
      <c r="M51" s="20" t="n">
        <v>2943</v>
      </c>
      <c r="N51" s="21">
        <f>IF(B51=E51+H51+K51,"✓",B51-(E51+H51+K51))</f>
        <v/>
      </c>
      <c r="O51" s="21">
        <f>IF(B51=C51+D51,"✓","✗")</f>
        <v/>
      </c>
    </row>
    <row r="52">
      <c r="A52" s="25" t="inlineStr">
        <is>
          <t>Verify: Sum</t>
        </is>
      </c>
      <c r="B52" s="26">
        <f>IF(SUM(B41:B51)=B40,"✓",SUM(B41:B51)-B40)</f>
        <v/>
      </c>
      <c r="C52" s="26">
        <f>IF(SUM(C41:C51)=C40,"✓",SUM(C41:C51)-C40)</f>
        <v/>
      </c>
      <c r="D52" s="26">
        <f>IF(SUM(D41:D51)=D40,"✓",SUM(D41:D51)-D40)</f>
        <v/>
      </c>
      <c r="E52" s="26">
        <f>IF(SUM(E41:E51)=E40,"✓",SUM(E41:E51)-E40)</f>
        <v/>
      </c>
      <c r="F52" s="26">
        <f>IF(SUM(F41:F51)=F40,"✓",SUM(F41:F51)-F40)</f>
        <v/>
      </c>
      <c r="G52" s="26">
        <f>IF(SUM(G41:G51)=G40,"✓",SUM(G41:G51)-G40)</f>
        <v/>
      </c>
      <c r="H52" s="26">
        <f>IF(SUM(H41:H51)=H40,"✓",SUM(H41:H51)-H40)</f>
        <v/>
      </c>
      <c r="I52" s="26">
        <f>IF(SUM(I41:I51)=I40,"✓",SUM(I41:I51)-I40)</f>
        <v/>
      </c>
      <c r="J52" s="26">
        <f>IF(SUM(J41:J51)=J40,"✓",SUM(J41:J51)-J40)</f>
        <v/>
      </c>
      <c r="K52" s="26">
        <f>IF(SUM(K41:K51)=K40,"✓",SUM(K41:K51)-K40)</f>
        <v/>
      </c>
      <c r="L52" s="26">
        <f>IF(SUM(L41:L51)=L40,"✓",SUM(L41:L51)-L40)</f>
        <v/>
      </c>
      <c r="M52" s="26">
        <f>IF(SUM(M41:M51)=M40,"✓",SUM(M41:M51)-M40)</f>
        <v/>
      </c>
    </row>
    <row r="54">
      <c r="A54" s="3" t="inlineStr">
        <is>
          <t>Muslim</t>
        </is>
      </c>
    </row>
    <row r="55">
      <c r="A55" s="4" t="inlineStr">
        <is>
          <t>Age</t>
        </is>
      </c>
      <c r="B55" s="5" t="inlineStr">
        <is>
          <t>POPULATION</t>
        </is>
      </c>
      <c r="C55" s="6" t="n"/>
      <c r="D55" s="6" t="n"/>
      <c r="E55" s="7" t="inlineStr">
        <is>
          <t>UNMARRIED</t>
        </is>
      </c>
      <c r="F55" s="8" t="n"/>
      <c r="G55" s="8" t="n"/>
      <c r="H55" s="9" t="inlineStr">
        <is>
          <t>MARRIED</t>
        </is>
      </c>
      <c r="I55" s="10" t="n"/>
      <c r="J55" s="10" t="n"/>
      <c r="K55" s="11" t="inlineStr">
        <is>
          <t>WIDOWED</t>
        </is>
      </c>
      <c r="L55" s="12" t="n"/>
      <c r="M55" s="12" t="n"/>
      <c r="N55" s="13" t="inlineStr">
        <is>
          <t>Check</t>
        </is>
      </c>
      <c r="O55" s="13" t="inlineStr">
        <is>
          <t>Check</t>
        </is>
      </c>
    </row>
    <row r="56">
      <c r="A56" s="14" t="inlineStr"/>
      <c r="B56" s="15" t="inlineStr">
        <is>
          <t>Persons</t>
        </is>
      </c>
      <c r="C56" s="15" t="inlineStr">
        <is>
          <t>Males</t>
        </is>
      </c>
      <c r="D56" s="15" t="inlineStr">
        <is>
          <t>Females</t>
        </is>
      </c>
      <c r="E56" s="15" t="inlineStr">
        <is>
          <t>Persons</t>
        </is>
      </c>
      <c r="F56" s="15" t="inlineStr">
        <is>
          <t>Males</t>
        </is>
      </c>
      <c r="G56" s="15" t="inlineStr">
        <is>
          <t>Females</t>
        </is>
      </c>
      <c r="H56" s="15" t="inlineStr">
        <is>
          <t>Persons</t>
        </is>
      </c>
      <c r="I56" s="15" t="inlineStr">
        <is>
          <t>Males</t>
        </is>
      </c>
      <c r="J56" s="15" t="inlineStr">
        <is>
          <t>Females</t>
        </is>
      </c>
      <c r="K56" s="15" t="inlineStr">
        <is>
          <t>Persons</t>
        </is>
      </c>
      <c r="L56" s="15" t="inlineStr">
        <is>
          <t>Males</t>
        </is>
      </c>
      <c r="M56" s="15" t="inlineStr">
        <is>
          <t>Females</t>
        </is>
      </c>
      <c r="N56" s="15" t="inlineStr">
        <is>
          <t>P=Sum</t>
        </is>
      </c>
      <c r="O56" s="15" t="inlineStr">
        <is>
          <t>M+F=P</t>
        </is>
      </c>
    </row>
    <row r="57">
      <c r="A57" s="16" t="inlineStr">
        <is>
          <t>Total</t>
        </is>
      </c>
      <c r="B57" s="17" t="n">
        <v>391172</v>
      </c>
      <c r="C57" s="17" t="n">
        <v>199272</v>
      </c>
      <c r="D57" s="17" t="n">
        <v>191900</v>
      </c>
      <c r="E57" s="17" t="n">
        <v>160622</v>
      </c>
      <c r="F57" s="17" t="n">
        <v>92260</v>
      </c>
      <c r="G57" s="17" t="n">
        <v>68362</v>
      </c>
      <c r="H57" s="17" t="n">
        <v>195398</v>
      </c>
      <c r="I57" s="17" t="n">
        <v>98940</v>
      </c>
      <c r="J57" s="17" t="n">
        <v>96458</v>
      </c>
      <c r="K57" s="17" t="n">
        <v>35152</v>
      </c>
      <c r="L57" s="17" t="n">
        <v>8072</v>
      </c>
      <c r="M57" s="17" t="n">
        <v>27080</v>
      </c>
      <c r="N57" s="18">
        <f>IF(B57=E57+H57+K57,"✓","✗")</f>
        <v/>
      </c>
      <c r="O57" s="18">
        <f>IF(B57=C57+D57,"✓","✗")</f>
        <v/>
      </c>
    </row>
    <row r="58">
      <c r="A58" s="19" t="inlineStr">
        <is>
          <t>0-1</t>
        </is>
      </c>
      <c r="B58" s="20" t="n">
        <v>5517</v>
      </c>
      <c r="C58" s="20" t="n">
        <v>2759</v>
      </c>
      <c r="D58" s="20" t="n">
        <v>2758</v>
      </c>
      <c r="E58" s="20" t="n">
        <v>5190</v>
      </c>
      <c r="F58" s="20" t="n">
        <v>2519</v>
      </c>
      <c r="G58" s="20" t="n">
        <v>2671</v>
      </c>
      <c r="H58" s="20" t="n">
        <v>308</v>
      </c>
      <c r="I58" s="20" t="n">
        <v>230</v>
      </c>
      <c r="J58" s="20" t="n">
        <v>78</v>
      </c>
      <c r="K58" s="20" t="n">
        <v>19</v>
      </c>
      <c r="L58" s="20" t="n">
        <v>10</v>
      </c>
      <c r="M58" s="20" t="n">
        <v>9</v>
      </c>
      <c r="N58" s="21">
        <f>IF(B58=E58+H58+K58,"✓",B58-(E58+H58+K58))</f>
        <v/>
      </c>
      <c r="O58" s="21">
        <f>IF(B58=C58+D58,"✓","✗")</f>
        <v/>
      </c>
    </row>
    <row r="59">
      <c r="A59" s="22" t="inlineStr">
        <is>
          <t>1-5</t>
        </is>
      </c>
      <c r="B59" s="23" t="n">
        <v>26877</v>
      </c>
      <c r="C59" s="23" t="n">
        <v>13248</v>
      </c>
      <c r="D59" s="23" t="n">
        <v>13629</v>
      </c>
      <c r="E59" s="23" t="n">
        <v>24822</v>
      </c>
      <c r="F59" s="23" t="n">
        <v>12045</v>
      </c>
      <c r="G59" s="23" t="n">
        <v>12777</v>
      </c>
      <c r="H59" s="23" t="n">
        <v>1971</v>
      </c>
      <c r="I59" s="23" t="n">
        <v>1190</v>
      </c>
      <c r="J59" s="23" t="n">
        <v>781</v>
      </c>
      <c r="K59" s="23" t="n">
        <v>84</v>
      </c>
      <c r="L59" s="23" t="n">
        <v>13</v>
      </c>
      <c r="M59" s="23" t="n">
        <v>71</v>
      </c>
      <c r="N59" s="24">
        <f>IF(B59=E59+H59+K59,"✓",B59-(E59+H59+K59))</f>
        <v/>
      </c>
      <c r="O59" s="24">
        <f>IF(B59=C59+D59,"✓","✗")</f>
        <v/>
      </c>
    </row>
    <row r="60">
      <c r="A60" s="19" t="inlineStr">
        <is>
          <t>5-10</t>
        </is>
      </c>
      <c r="B60" s="20" t="n">
        <v>24630</v>
      </c>
      <c r="C60" s="20" t="n">
        <v>12819</v>
      </c>
      <c r="D60" s="20" t="n">
        <v>11811</v>
      </c>
      <c r="E60" s="20" t="n">
        <v>20879</v>
      </c>
      <c r="F60" s="20" t="n">
        <v>10948</v>
      </c>
      <c r="G60" s="20" t="n">
        <v>9931</v>
      </c>
      <c r="H60" s="20" t="n">
        <v>3569</v>
      </c>
      <c r="I60" s="20" t="n">
        <v>1797</v>
      </c>
      <c r="J60" s="20" t="n">
        <v>1772</v>
      </c>
      <c r="K60" s="20" t="n">
        <v>182</v>
      </c>
      <c r="L60" s="20" t="n">
        <v>74</v>
      </c>
      <c r="M60" s="20" t="n">
        <v>108</v>
      </c>
      <c r="N60" s="21">
        <f>IF(B60=E60+H60+K60,"✓",B60-(E60+H60+K60))</f>
        <v/>
      </c>
      <c r="O60" s="21">
        <f>IF(B60=C60+D60,"✓","✗")</f>
        <v/>
      </c>
    </row>
    <row r="61">
      <c r="A61" s="22" t="inlineStr">
        <is>
          <t>10-15</t>
        </is>
      </c>
      <c r="B61" s="23" t="n">
        <v>21270</v>
      </c>
      <c r="C61" s="23" t="n">
        <v>11308</v>
      </c>
      <c r="D61" s="23" t="n">
        <v>9962</v>
      </c>
      <c r="E61" s="23" t="n">
        <v>14902</v>
      </c>
      <c r="F61" s="23" t="n">
        <v>8868</v>
      </c>
      <c r="G61" s="23" t="n">
        <v>6034</v>
      </c>
      <c r="H61" s="23" t="n">
        <v>6202</v>
      </c>
      <c r="I61" s="23" t="n">
        <v>2370</v>
      </c>
      <c r="J61" s="23" t="n">
        <v>3832</v>
      </c>
      <c r="K61" s="23" t="n">
        <v>166</v>
      </c>
      <c r="L61" s="23" t="n">
        <v>70</v>
      </c>
      <c r="M61" s="23" t="n">
        <v>96</v>
      </c>
      <c r="N61" s="24">
        <f>IF(B61=E61+H61+K61,"✓",B61-(E61+H61+K61))</f>
        <v/>
      </c>
      <c r="O61" s="24">
        <f>IF(B61=C61+D61,"✓","✗")</f>
        <v/>
      </c>
    </row>
    <row r="62">
      <c r="A62" s="19" t="inlineStr">
        <is>
          <t>15-20</t>
        </is>
      </c>
      <c r="B62" s="20" t="n">
        <v>17729</v>
      </c>
      <c r="C62" s="20" t="n">
        <v>8740</v>
      </c>
      <c r="D62" s="20" t="n">
        <v>8989</v>
      </c>
      <c r="E62" s="20" t="n">
        <v>5940</v>
      </c>
      <c r="F62" s="20" t="n">
        <v>4643</v>
      </c>
      <c r="G62" s="20" t="n">
        <v>1297</v>
      </c>
      <c r="H62" s="20" t="n">
        <v>11425</v>
      </c>
      <c r="I62" s="20" t="n">
        <v>3966</v>
      </c>
      <c r="J62" s="20" t="n">
        <v>7459</v>
      </c>
      <c r="K62" s="20" t="n">
        <v>364</v>
      </c>
      <c r="L62" s="20" t="n">
        <v>131</v>
      </c>
      <c r="M62" s="20" t="n">
        <v>233</v>
      </c>
      <c r="N62" s="21">
        <f>IF(B62=E62+H62+K62,"✓",B62-(E62+H62+K62))</f>
        <v/>
      </c>
      <c r="O62" s="21">
        <f>IF(B62=C62+D62,"✓","✗")</f>
        <v/>
      </c>
    </row>
    <row r="63">
      <c r="A63" s="22" t="inlineStr">
        <is>
          <t>20-30</t>
        </is>
      </c>
      <c r="B63" s="23" t="n">
        <v>36383</v>
      </c>
      <c r="C63" s="23" t="n">
        <v>17325</v>
      </c>
      <c r="D63" s="23" t="n">
        <v>19058</v>
      </c>
      <c r="E63" s="23" t="n">
        <v>5363</v>
      </c>
      <c r="F63" s="23" t="n">
        <v>4499</v>
      </c>
      <c r="G63" s="23" t="n">
        <v>864</v>
      </c>
      <c r="H63" s="23" t="n">
        <v>29466</v>
      </c>
      <c r="I63" s="23" t="n">
        <v>12512</v>
      </c>
      <c r="J63" s="23" t="n">
        <v>16954</v>
      </c>
      <c r="K63" s="23" t="n">
        <v>1554</v>
      </c>
      <c r="L63" s="23" t="n">
        <v>314</v>
      </c>
      <c r="M63" s="23" t="n">
        <v>1240</v>
      </c>
      <c r="N63" s="24">
        <f>IF(B63=E63+H63+K63,"✓",B63-(E63+H63+K63))</f>
        <v/>
      </c>
      <c r="O63" s="24">
        <f>IF(B63=C63+D63,"✓","✗")</f>
        <v/>
      </c>
    </row>
    <row r="64">
      <c r="A64" s="19" t="inlineStr">
        <is>
          <t>30-40</t>
        </is>
      </c>
      <c r="B64" s="20" t="n">
        <v>26705</v>
      </c>
      <c r="C64" s="20" t="n">
        <v>14285</v>
      </c>
      <c r="D64" s="20" t="n">
        <v>12420</v>
      </c>
      <c r="E64" s="20" t="n">
        <v>1384</v>
      </c>
      <c r="F64" s="20" t="n">
        <v>1153</v>
      </c>
      <c r="G64" s="20" t="n">
        <v>231</v>
      </c>
      <c r="H64" s="20" t="n">
        <v>22212</v>
      </c>
      <c r="I64" s="20" t="n">
        <v>12511</v>
      </c>
      <c r="J64" s="20" t="n">
        <v>9701</v>
      </c>
      <c r="K64" s="20" t="n">
        <v>3109</v>
      </c>
      <c r="L64" s="20" t="n">
        <v>621</v>
      </c>
      <c r="M64" s="20" t="n">
        <v>2488</v>
      </c>
      <c r="N64" s="21">
        <f>IF(B64=E64+H64+K64,"✓",B64-(E64+H64+K64))</f>
        <v/>
      </c>
      <c r="O64" s="21">
        <f>IF(B64=C64+D64,"✓","✗")</f>
        <v/>
      </c>
    </row>
    <row r="65">
      <c r="A65" s="22" t="inlineStr">
        <is>
          <t>40-50</t>
        </is>
      </c>
      <c r="B65" s="23" t="n">
        <v>16802</v>
      </c>
      <c r="C65" s="23" t="n">
        <v>9079</v>
      </c>
      <c r="D65" s="23" t="n">
        <v>7723</v>
      </c>
      <c r="E65" s="23" t="n">
        <v>752</v>
      </c>
      <c r="F65" s="23" t="n">
        <v>635</v>
      </c>
      <c r="G65" s="23" t="n">
        <v>117</v>
      </c>
      <c r="H65" s="23" t="n">
        <v>12153</v>
      </c>
      <c r="I65" s="23" t="n">
        <v>7678</v>
      </c>
      <c r="J65" s="23" t="n">
        <v>4475</v>
      </c>
      <c r="K65" s="23" t="n">
        <v>3897</v>
      </c>
      <c r="L65" s="23" t="n">
        <v>766</v>
      </c>
      <c r="M65" s="23" t="n">
        <v>3131</v>
      </c>
      <c r="N65" s="24">
        <f>IF(B65=E65+H65+K65,"✓",B65-(E65+H65+K65))</f>
        <v/>
      </c>
      <c r="O65" s="24">
        <f>IF(B65=C65+D65,"✓","✗")</f>
        <v/>
      </c>
    </row>
    <row r="66">
      <c r="A66" s="19" t="inlineStr">
        <is>
          <t>50-60</t>
        </is>
      </c>
      <c r="B66" s="20" t="n">
        <v>10253</v>
      </c>
      <c r="C66" s="20" t="n">
        <v>5230</v>
      </c>
      <c r="D66" s="20" t="n">
        <v>5023</v>
      </c>
      <c r="E66" s="20" t="n">
        <v>426</v>
      </c>
      <c r="F66" s="20" t="n">
        <v>289</v>
      </c>
      <c r="G66" s="20" t="n">
        <v>137</v>
      </c>
      <c r="H66" s="20" t="n">
        <v>5981</v>
      </c>
      <c r="I66" s="20" t="n">
        <v>4060</v>
      </c>
      <c r="J66" s="20" t="n">
        <v>1921</v>
      </c>
      <c r="K66" s="20" t="n">
        <v>3846</v>
      </c>
      <c r="L66" s="20" t="n">
        <v>881</v>
      </c>
      <c r="M66" s="20" t="n">
        <v>2965</v>
      </c>
      <c r="N66" s="21">
        <f>IF(B66=E66+H66+K66,"✓",B66-(E66+H66+K66))</f>
        <v/>
      </c>
      <c r="O66" s="21">
        <f>IF(B66=C66+D66,"✓","✗")</f>
        <v/>
      </c>
    </row>
    <row r="67">
      <c r="A67" s="22" t="inlineStr">
        <is>
          <t>60 and over</t>
        </is>
      </c>
      <c r="B67" s="23" t="n">
        <v>9420</v>
      </c>
      <c r="C67" s="23" t="n">
        <v>4843</v>
      </c>
      <c r="D67" s="23" t="n">
        <v>4577</v>
      </c>
      <c r="E67" s="23" t="n">
        <v>653</v>
      </c>
      <c r="F67" s="23" t="n">
        <v>531</v>
      </c>
      <c r="G67" s="23" t="n">
        <v>122</v>
      </c>
      <c r="H67" s="23" t="n">
        <v>4412</v>
      </c>
      <c r="I67" s="23" t="n">
        <v>3156</v>
      </c>
      <c r="J67" s="23" t="n">
        <v>1256</v>
      </c>
      <c r="K67" s="23" t="n">
        <v>4355</v>
      </c>
      <c r="L67" s="23" t="n">
        <v>1156</v>
      </c>
      <c r="M67" s="23" t="n">
        <v>3199</v>
      </c>
      <c r="N67" s="24">
        <f>IF(B67=E67+H67+K67,"✓",B67-(E67+H67+K67))</f>
        <v/>
      </c>
      <c r="O67" s="24">
        <f>IF(B67=C67+D67,"✓","✗")</f>
        <v/>
      </c>
    </row>
    <row r="68">
      <c r="A68" s="19" t="inlineStr">
        <is>
          <t>Total</t>
        </is>
      </c>
      <c r="B68" s="20" t="n">
        <v>195586</v>
      </c>
      <c r="C68" s="20" t="n">
        <v>99636</v>
      </c>
      <c r="D68" s="20" t="n">
        <v>95950</v>
      </c>
      <c r="E68" s="20" t="n">
        <v>80311</v>
      </c>
      <c r="F68" s="20" t="n">
        <v>46130</v>
      </c>
      <c r="G68" s="20" t="n">
        <v>34181</v>
      </c>
      <c r="H68" s="20" t="n">
        <v>97699</v>
      </c>
      <c r="I68" s="20" t="n">
        <v>49470</v>
      </c>
      <c r="J68" s="20" t="n">
        <v>48229</v>
      </c>
      <c r="K68" s="20" t="n">
        <v>17576</v>
      </c>
      <c r="L68" s="20" t="n">
        <v>4036</v>
      </c>
      <c r="M68" s="20" t="n">
        <v>13540</v>
      </c>
      <c r="N68" s="21">
        <f>IF(B68=E68+H68+K68,"✓",B68-(E68+H68+K68))</f>
        <v/>
      </c>
      <c r="O68" s="21">
        <f>IF(B68=C68+D68,"✓","✗")</f>
        <v/>
      </c>
    </row>
    <row r="69">
      <c r="A69" s="25" t="inlineStr">
        <is>
          <t>Verify: Sum</t>
        </is>
      </c>
      <c r="B69" s="26">
        <f>IF(SUM(B58:B68)=B57,"✓",SUM(B58:B68)-B57)</f>
        <v/>
      </c>
      <c r="C69" s="26">
        <f>IF(SUM(C58:C68)=C57,"✓",SUM(C58:C68)-C57)</f>
        <v/>
      </c>
      <c r="D69" s="26">
        <f>IF(SUM(D58:D68)=D57,"✓",SUM(D58:D68)-D57)</f>
        <v/>
      </c>
      <c r="E69" s="26">
        <f>IF(SUM(E58:E68)=E57,"✓",SUM(E58:E68)-E57)</f>
        <v/>
      </c>
      <c r="F69" s="26">
        <f>IF(SUM(F58:F68)=F57,"✓",SUM(F58:F68)-F57)</f>
        <v/>
      </c>
      <c r="G69" s="26">
        <f>IF(SUM(G58:G68)=G57,"✓",SUM(G58:G68)-G57)</f>
        <v/>
      </c>
      <c r="H69" s="26">
        <f>IF(SUM(H58:H68)=H57,"✓",SUM(H58:H68)-H57)</f>
        <v/>
      </c>
      <c r="I69" s="26">
        <f>IF(SUM(I58:I68)=I57,"✓",SUM(I58:I68)-I57)</f>
        <v/>
      </c>
      <c r="J69" s="26">
        <f>IF(SUM(J58:J68)=J57,"✓",SUM(J58:J68)-J57)</f>
        <v/>
      </c>
      <c r="K69" s="26">
        <f>IF(SUM(K58:K68)=K57,"✓",SUM(K58:K68)-K57)</f>
        <v/>
      </c>
      <c r="L69" s="26">
        <f>IF(SUM(L58:L68)=L57,"✓",SUM(L58:L68)-L57)</f>
        <v/>
      </c>
      <c r="M69" s="26">
        <f>IF(SUM(M58:M68)=M57,"✓",SUM(M58:M68)-M57)</f>
        <v/>
      </c>
    </row>
  </sheetData>
  <mergeCells count="16">
    <mergeCell ref="H38:J38"/>
    <mergeCell ref="E55:G55"/>
    <mergeCell ref="K38:M38"/>
    <mergeCell ref="K4:M4"/>
    <mergeCell ref="B4:D4"/>
    <mergeCell ref="H4:J4"/>
    <mergeCell ref="H55:J55"/>
    <mergeCell ref="K21:M21"/>
    <mergeCell ref="K55:M55"/>
    <mergeCell ref="E4:G4"/>
    <mergeCell ref="B21:D21"/>
    <mergeCell ref="E21:G21"/>
    <mergeCell ref="B55:D55"/>
    <mergeCell ref="B38:D38"/>
    <mergeCell ref="H21:J21"/>
    <mergeCell ref="E38:G38"/>
  </mergeCells>
  <conditionalFormatting sqref="N6:N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6:O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N23:N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O23:O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N40:N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O40:O52">
    <cfRule type="cellIs" priority="11" operator="equal" dxfId="0">
      <formula>"✓"</formula>
    </cfRule>
    <cfRule type="cellIs" priority="12" operator="notEqual" dxfId="1">
      <formula>"✓"</formula>
    </cfRule>
  </conditionalFormatting>
  <conditionalFormatting sqref="N57:N69">
    <cfRule type="cellIs" priority="13" operator="equal" dxfId="0">
      <formula>"✓"</formula>
    </cfRule>
    <cfRule type="cellIs" priority="14" operator="notEqual" dxfId="1">
      <formula>"✓"</formula>
    </cfRule>
  </conditionalFormatting>
  <conditionalFormatting sqref="O57:O69">
    <cfRule type="cellIs" priority="15" operator="equal" dxfId="0">
      <formula>"✓"</formula>
    </cfRule>
    <cfRule type="cellIs" priority="16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Gulbarga</t>
        </is>
      </c>
    </row>
    <row r="2">
      <c r="A2" s="3" t="inlineStr">
        <is>
          <t>All Religions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2450016</v>
      </c>
      <c r="C5" s="17" t="n">
        <v>1243374</v>
      </c>
      <c r="D5" s="17" t="n">
        <v>1206642</v>
      </c>
      <c r="E5" s="17" t="n">
        <v>877708</v>
      </c>
      <c r="F5" s="17" t="n">
        <v>511122</v>
      </c>
      <c r="G5" s="17" t="n">
        <v>366586</v>
      </c>
      <c r="H5" s="17" t="n">
        <v>1315030</v>
      </c>
      <c r="I5" s="17" t="n">
        <v>664738</v>
      </c>
      <c r="J5" s="17" t="n">
        <v>650292</v>
      </c>
      <c r="K5" s="17" t="n">
        <v>257278</v>
      </c>
      <c r="L5" s="17" t="n">
        <v>67514</v>
      </c>
      <c r="M5" s="17" t="n">
        <v>189764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32923</v>
      </c>
      <c r="C6" s="20" t="n">
        <v>15376</v>
      </c>
      <c r="D6" s="20" t="n">
        <v>17547</v>
      </c>
      <c r="E6" s="20" t="n">
        <v>31650</v>
      </c>
      <c r="F6" s="20" t="n">
        <v>14598</v>
      </c>
      <c r="G6" s="20" t="n">
        <v>17052</v>
      </c>
      <c r="H6" s="20" t="n">
        <v>1214</v>
      </c>
      <c r="I6" s="20" t="n">
        <v>732</v>
      </c>
      <c r="J6" s="20" t="n">
        <v>482</v>
      </c>
      <c r="K6" s="20" t="n">
        <v>59</v>
      </c>
      <c r="L6" s="20" t="n">
        <v>46</v>
      </c>
      <c r="M6" s="20" t="n">
        <v>13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1-5</t>
        </is>
      </c>
      <c r="B7" s="23" t="n">
        <v>157873</v>
      </c>
      <c r="C7" s="23" t="n">
        <v>76617</v>
      </c>
      <c r="D7" s="23" t="n">
        <v>81256</v>
      </c>
      <c r="E7" s="23" t="n">
        <v>143308</v>
      </c>
      <c r="F7" s="23" t="n">
        <v>68494</v>
      </c>
      <c r="G7" s="23" t="n">
        <v>74814</v>
      </c>
      <c r="H7" s="23" t="n">
        <v>13699</v>
      </c>
      <c r="I7" s="23" t="n">
        <v>7757</v>
      </c>
      <c r="J7" s="23" t="n">
        <v>5942</v>
      </c>
      <c r="K7" s="23" t="n">
        <v>866</v>
      </c>
      <c r="L7" s="23" t="n">
        <v>366</v>
      </c>
      <c r="M7" s="23" t="n">
        <v>500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5-10</t>
        </is>
      </c>
      <c r="B8" s="20" t="n">
        <v>146342</v>
      </c>
      <c r="C8" s="20" t="n">
        <v>74670</v>
      </c>
      <c r="D8" s="20" t="n">
        <v>71672</v>
      </c>
      <c r="E8" s="20" t="n">
        <v>112388</v>
      </c>
      <c r="F8" s="20" t="n">
        <v>61296</v>
      </c>
      <c r="G8" s="20" t="n">
        <v>51092</v>
      </c>
      <c r="H8" s="20" t="n">
        <v>32955</v>
      </c>
      <c r="I8" s="20" t="n">
        <v>13002</v>
      </c>
      <c r="J8" s="20" t="n">
        <v>19953</v>
      </c>
      <c r="K8" s="20" t="n">
        <v>999</v>
      </c>
      <c r="L8" s="20" t="n">
        <v>372</v>
      </c>
      <c r="M8" s="20" t="n">
        <v>627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10-15</t>
        </is>
      </c>
      <c r="B9" s="23" t="n">
        <v>129572</v>
      </c>
      <c r="C9" s="23" t="n">
        <v>68599</v>
      </c>
      <c r="D9" s="23" t="n">
        <v>60973</v>
      </c>
      <c r="E9" s="23" t="n">
        <v>78542</v>
      </c>
      <c r="F9" s="23" t="n">
        <v>50546</v>
      </c>
      <c r="G9" s="23" t="n">
        <v>27996</v>
      </c>
      <c r="H9" s="23" t="n">
        <v>49684</v>
      </c>
      <c r="I9" s="23" t="n">
        <v>17473</v>
      </c>
      <c r="J9" s="23" t="n">
        <v>32211</v>
      </c>
      <c r="K9" s="23" t="n">
        <v>1346</v>
      </c>
      <c r="L9" s="23" t="n">
        <v>580</v>
      </c>
      <c r="M9" s="23" t="n">
        <v>766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15-20</t>
        </is>
      </c>
      <c r="B10" s="20" t="n">
        <v>104008</v>
      </c>
      <c r="C10" s="20" t="n">
        <v>51550</v>
      </c>
      <c r="D10" s="20" t="n">
        <v>52458</v>
      </c>
      <c r="E10" s="20" t="n">
        <v>26847</v>
      </c>
      <c r="F10" s="20" t="n">
        <v>22787</v>
      </c>
      <c r="G10" s="20" t="n">
        <v>4060</v>
      </c>
      <c r="H10" s="20" t="n">
        <v>74809</v>
      </c>
      <c r="I10" s="20" t="n">
        <v>27950</v>
      </c>
      <c r="J10" s="20" t="n">
        <v>46859</v>
      </c>
      <c r="K10" s="20" t="n">
        <v>2352</v>
      </c>
      <c r="L10" s="20" t="n">
        <v>813</v>
      </c>
      <c r="M10" s="20" t="n">
        <v>1539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20-30</t>
        </is>
      </c>
      <c r="B11" s="23" t="n">
        <v>224251</v>
      </c>
      <c r="C11" s="23" t="n">
        <v>110028</v>
      </c>
      <c r="D11" s="23" t="n">
        <v>114223</v>
      </c>
      <c r="E11" s="23" t="n">
        <v>25070</v>
      </c>
      <c r="F11" s="23" t="n">
        <v>20812</v>
      </c>
      <c r="G11" s="23" t="n">
        <v>4258</v>
      </c>
      <c r="H11" s="23" t="n">
        <v>187986</v>
      </c>
      <c r="I11" s="23" t="n">
        <v>86299</v>
      </c>
      <c r="J11" s="23" t="n">
        <v>101687</v>
      </c>
      <c r="K11" s="23" t="n">
        <v>11195</v>
      </c>
      <c r="L11" s="23" t="n">
        <v>2917</v>
      </c>
      <c r="M11" s="23" t="n">
        <v>8278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30-40</t>
        </is>
      </c>
      <c r="B12" s="20" t="n">
        <v>175144</v>
      </c>
      <c r="C12" s="20" t="n">
        <v>92425</v>
      </c>
      <c r="D12" s="20" t="n">
        <v>82719</v>
      </c>
      <c r="E12" s="20" t="n">
        <v>8770</v>
      </c>
      <c r="F12" s="20" t="n">
        <v>6711</v>
      </c>
      <c r="G12" s="20" t="n">
        <v>2059</v>
      </c>
      <c r="H12" s="20" t="n">
        <v>143255</v>
      </c>
      <c r="I12" s="20" t="n">
        <v>80272</v>
      </c>
      <c r="J12" s="20" t="n">
        <v>62983</v>
      </c>
      <c r="K12" s="20" t="n">
        <v>23119</v>
      </c>
      <c r="L12" s="20" t="n">
        <v>5442</v>
      </c>
      <c r="M12" s="20" t="n">
        <v>17677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40-50</t>
        </is>
      </c>
      <c r="B13" s="23" t="n">
        <v>117657</v>
      </c>
      <c r="C13" s="23" t="n">
        <v>62710</v>
      </c>
      <c r="D13" s="23" t="n">
        <v>54947</v>
      </c>
      <c r="E13" s="23" t="n">
        <v>4870</v>
      </c>
      <c r="F13" s="23" t="n">
        <v>4018</v>
      </c>
      <c r="G13" s="23" t="n">
        <v>852</v>
      </c>
      <c r="H13" s="23" t="n">
        <v>82830</v>
      </c>
      <c r="I13" s="23" t="n">
        <v>51494</v>
      </c>
      <c r="J13" s="23" t="n">
        <v>31336</v>
      </c>
      <c r="K13" s="23" t="n">
        <v>29957</v>
      </c>
      <c r="L13" s="23" t="n">
        <v>7198</v>
      </c>
      <c r="M13" s="23" t="n">
        <v>22759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50-60</t>
        </is>
      </c>
      <c r="B14" s="20" t="n">
        <v>76409</v>
      </c>
      <c r="C14" s="20" t="n">
        <v>39077</v>
      </c>
      <c r="D14" s="20" t="n">
        <v>37332</v>
      </c>
      <c r="E14" s="20" t="n">
        <v>4847</v>
      </c>
      <c r="F14" s="20" t="n">
        <v>4208</v>
      </c>
      <c r="G14" s="20" t="n">
        <v>639</v>
      </c>
      <c r="H14" s="20" t="n">
        <v>42767</v>
      </c>
      <c r="I14" s="20" t="n">
        <v>27445</v>
      </c>
      <c r="J14" s="20" t="n">
        <v>15322</v>
      </c>
      <c r="K14" s="20" t="n">
        <v>28795</v>
      </c>
      <c r="L14" s="20" t="n">
        <v>7424</v>
      </c>
      <c r="M14" s="20" t="n">
        <v>21371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60 and over</t>
        </is>
      </c>
      <c r="B15" s="23" t="n">
        <v>60829</v>
      </c>
      <c r="C15" s="23" t="n">
        <v>30635</v>
      </c>
      <c r="D15" s="23" t="n">
        <v>30194</v>
      </c>
      <c r="E15" s="23" t="n">
        <v>2562</v>
      </c>
      <c r="F15" s="23" t="n">
        <v>2091</v>
      </c>
      <c r="G15" s="23" t="n">
        <v>471</v>
      </c>
      <c r="H15" s="23" t="n">
        <v>28316</v>
      </c>
      <c r="I15" s="23" t="n">
        <v>19945</v>
      </c>
      <c r="J15" s="23" t="n">
        <v>8371</v>
      </c>
      <c r="K15" s="23" t="n">
        <v>29951</v>
      </c>
      <c r="L15" s="23" t="n">
        <v>8599</v>
      </c>
      <c r="M15" s="23" t="n">
        <v>21352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Total</t>
        </is>
      </c>
      <c r="B16" s="20" t="n">
        <v>1225008</v>
      </c>
      <c r="C16" s="20" t="n">
        <v>621687</v>
      </c>
      <c r="D16" s="20" t="n">
        <v>603321</v>
      </c>
      <c r="E16" s="20" t="n">
        <v>438854</v>
      </c>
      <c r="F16" s="20" t="n">
        <v>255561</v>
      </c>
      <c r="G16" s="20" t="n">
        <v>183293</v>
      </c>
      <c r="H16" s="20" t="n">
        <v>657515</v>
      </c>
      <c r="I16" s="20" t="n">
        <v>332369</v>
      </c>
      <c r="J16" s="20" t="n">
        <v>325146</v>
      </c>
      <c r="K16" s="20" t="n">
        <v>128639</v>
      </c>
      <c r="L16" s="20" t="n">
        <v>33757</v>
      </c>
      <c r="M16" s="20" t="n">
        <v>94882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Gulbarga</t>
        </is>
      </c>
    </row>
    <row r="2">
      <c r="A2" s="3" t="inlineStr">
        <is>
          <t>Hindu (Brahmanic)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1571858</v>
      </c>
      <c r="C5" s="17" t="n">
        <v>797048</v>
      </c>
      <c r="D5" s="17" t="n">
        <v>774810</v>
      </c>
      <c r="E5" s="17" t="n">
        <v>532824</v>
      </c>
      <c r="F5" s="17" t="n">
        <v>312694</v>
      </c>
      <c r="G5" s="17" t="n">
        <v>220130</v>
      </c>
      <c r="H5" s="17" t="n">
        <v>859066</v>
      </c>
      <c r="I5" s="17" t="n">
        <v>434564</v>
      </c>
      <c r="J5" s="17" t="n">
        <v>424502</v>
      </c>
      <c r="K5" s="17" t="n">
        <v>179968</v>
      </c>
      <c r="L5" s="17" t="n">
        <v>49790</v>
      </c>
      <c r="M5" s="17" t="n">
        <v>130178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785929</v>
      </c>
      <c r="C6" s="20" t="n">
        <v>398524</v>
      </c>
      <c r="D6" s="20" t="n">
        <v>387405</v>
      </c>
      <c r="E6" s="20" t="n">
        <v>266412</v>
      </c>
      <c r="F6" s="20" t="n">
        <v>156347</v>
      </c>
      <c r="G6" s="20" t="n">
        <v>110065</v>
      </c>
      <c r="H6" s="20" t="n">
        <v>429533</v>
      </c>
      <c r="I6" s="20" t="n">
        <v>217282</v>
      </c>
      <c r="J6" s="20" t="n">
        <v>212251</v>
      </c>
      <c r="K6" s="20" t="n">
        <v>89984</v>
      </c>
      <c r="L6" s="20" t="n">
        <v>24895</v>
      </c>
      <c r="M6" s="20" t="n">
        <v>65089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20043</v>
      </c>
      <c r="C7" s="23" t="n">
        <v>9132</v>
      </c>
      <c r="D7" s="23" t="n">
        <v>10911</v>
      </c>
      <c r="E7" s="23" t="n">
        <v>19430</v>
      </c>
      <c r="F7" s="23" t="n">
        <v>8808</v>
      </c>
      <c r="G7" s="23" t="n">
        <v>10622</v>
      </c>
      <c r="H7" s="23" t="n">
        <v>582</v>
      </c>
      <c r="I7" s="23" t="n">
        <v>297</v>
      </c>
      <c r="J7" s="23" t="n">
        <v>285</v>
      </c>
      <c r="K7" s="23" t="n">
        <v>31</v>
      </c>
      <c r="L7" s="23" t="n">
        <v>27</v>
      </c>
      <c r="M7" s="23" t="n">
        <v>4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93752</v>
      </c>
      <c r="C8" s="20" t="n">
        <v>44750</v>
      </c>
      <c r="D8" s="20" t="n">
        <v>49002</v>
      </c>
      <c r="E8" s="20" t="n">
        <v>84985</v>
      </c>
      <c r="F8" s="20" t="n">
        <v>39599</v>
      </c>
      <c r="G8" s="20" t="n">
        <v>45386</v>
      </c>
      <c r="H8" s="20" t="n">
        <v>8086</v>
      </c>
      <c r="I8" s="20" t="n">
        <v>4815</v>
      </c>
      <c r="J8" s="20" t="n">
        <v>3271</v>
      </c>
      <c r="K8" s="20" t="n">
        <v>681</v>
      </c>
      <c r="L8" s="20" t="n">
        <v>336</v>
      </c>
      <c r="M8" s="20" t="n">
        <v>345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90906</v>
      </c>
      <c r="C9" s="23" t="n">
        <v>45242</v>
      </c>
      <c r="D9" s="23" t="n">
        <v>45664</v>
      </c>
      <c r="E9" s="23" t="n">
        <v>67595</v>
      </c>
      <c r="F9" s="23" t="n">
        <v>36457</v>
      </c>
      <c r="G9" s="23" t="n">
        <v>31138</v>
      </c>
      <c r="H9" s="23" t="n">
        <v>22720</v>
      </c>
      <c r="I9" s="23" t="n">
        <v>8584</v>
      </c>
      <c r="J9" s="23" t="n">
        <v>14136</v>
      </c>
      <c r="K9" s="23" t="n">
        <v>591</v>
      </c>
      <c r="L9" s="23" t="n">
        <v>201</v>
      </c>
      <c r="M9" s="23" t="n">
        <v>390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82999</v>
      </c>
      <c r="C10" s="20" t="n">
        <v>43648</v>
      </c>
      <c r="D10" s="20" t="n">
        <v>39351</v>
      </c>
      <c r="E10" s="20" t="n">
        <v>48760</v>
      </c>
      <c r="F10" s="20" t="n">
        <v>31918</v>
      </c>
      <c r="G10" s="20" t="n">
        <v>16842</v>
      </c>
      <c r="H10" s="20" t="n">
        <v>33374</v>
      </c>
      <c r="I10" s="20" t="n">
        <v>11377</v>
      </c>
      <c r="J10" s="20" t="n">
        <v>21997</v>
      </c>
      <c r="K10" s="20" t="n">
        <v>865</v>
      </c>
      <c r="L10" s="20" t="n">
        <v>353</v>
      </c>
      <c r="M10" s="20" t="n">
        <v>512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67441</v>
      </c>
      <c r="C11" s="23" t="n">
        <v>33452</v>
      </c>
      <c r="D11" s="23" t="n">
        <v>33989</v>
      </c>
      <c r="E11" s="23" t="n">
        <v>16316</v>
      </c>
      <c r="F11" s="23" t="n">
        <v>14341</v>
      </c>
      <c r="G11" s="23" t="n">
        <v>1975</v>
      </c>
      <c r="H11" s="23" t="n">
        <v>49522</v>
      </c>
      <c r="I11" s="23" t="n">
        <v>18562</v>
      </c>
      <c r="J11" s="23" t="n">
        <v>30960</v>
      </c>
      <c r="K11" s="23" t="n">
        <v>1603</v>
      </c>
      <c r="L11" s="23" t="n">
        <v>549</v>
      </c>
      <c r="M11" s="23" t="n">
        <v>1054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143517</v>
      </c>
      <c r="C12" s="20" t="n">
        <v>71003</v>
      </c>
      <c r="D12" s="20" t="n">
        <v>72514</v>
      </c>
      <c r="E12" s="20" t="n">
        <v>15286</v>
      </c>
      <c r="F12" s="20" t="n">
        <v>13069</v>
      </c>
      <c r="G12" s="20" t="n">
        <v>2217</v>
      </c>
      <c r="H12" s="20" t="n">
        <v>120444</v>
      </c>
      <c r="I12" s="20" t="n">
        <v>55815</v>
      </c>
      <c r="J12" s="20" t="n">
        <v>64629</v>
      </c>
      <c r="K12" s="20" t="n">
        <v>7787</v>
      </c>
      <c r="L12" s="20" t="n">
        <v>2119</v>
      </c>
      <c r="M12" s="20" t="n">
        <v>5668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114954</v>
      </c>
      <c r="C13" s="23" t="n">
        <v>60645</v>
      </c>
      <c r="D13" s="23" t="n">
        <v>54309</v>
      </c>
      <c r="E13" s="23" t="n">
        <v>5562</v>
      </c>
      <c r="F13" s="23" t="n">
        <v>4503</v>
      </c>
      <c r="G13" s="23" t="n">
        <v>1059</v>
      </c>
      <c r="H13" s="23" t="n">
        <v>93200</v>
      </c>
      <c r="I13" s="23" t="n">
        <v>52108</v>
      </c>
      <c r="J13" s="23" t="n">
        <v>41092</v>
      </c>
      <c r="K13" s="23" t="n">
        <v>16192</v>
      </c>
      <c r="L13" s="23" t="n">
        <v>4034</v>
      </c>
      <c r="M13" s="23" t="n">
        <v>12158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77860</v>
      </c>
      <c r="C14" s="20" t="n">
        <v>41535</v>
      </c>
      <c r="D14" s="20" t="n">
        <v>36325</v>
      </c>
      <c r="E14" s="20" t="n">
        <v>3038</v>
      </c>
      <c r="F14" s="20" t="n">
        <v>2639</v>
      </c>
      <c r="G14" s="20" t="n">
        <v>399</v>
      </c>
      <c r="H14" s="20" t="n">
        <v>53849</v>
      </c>
      <c r="I14" s="20" t="n">
        <v>33524</v>
      </c>
      <c r="J14" s="20" t="n">
        <v>20325</v>
      </c>
      <c r="K14" s="20" t="n">
        <v>20973</v>
      </c>
      <c r="L14" s="20" t="n">
        <v>5372</v>
      </c>
      <c r="M14" s="20" t="n">
        <v>15601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53476</v>
      </c>
      <c r="C15" s="23" t="n">
        <v>27790</v>
      </c>
      <c r="D15" s="23" t="n">
        <v>25686</v>
      </c>
      <c r="E15" s="23" t="n">
        <v>3874</v>
      </c>
      <c r="F15" s="23" t="n">
        <v>3630</v>
      </c>
      <c r="G15" s="23" t="n">
        <v>244</v>
      </c>
      <c r="H15" s="23" t="n">
        <v>29329</v>
      </c>
      <c r="I15" s="23" t="n">
        <v>18604</v>
      </c>
      <c r="J15" s="23" t="n">
        <v>10725</v>
      </c>
      <c r="K15" s="23" t="n">
        <v>20273</v>
      </c>
      <c r="L15" s="23" t="n">
        <v>5556</v>
      </c>
      <c r="M15" s="23" t="n">
        <v>14717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40981</v>
      </c>
      <c r="C16" s="20" t="n">
        <v>21327</v>
      </c>
      <c r="D16" s="20" t="n">
        <v>19654</v>
      </c>
      <c r="E16" s="20" t="n">
        <v>1566</v>
      </c>
      <c r="F16" s="20" t="n">
        <v>1383</v>
      </c>
      <c r="G16" s="20" t="n">
        <v>183</v>
      </c>
      <c r="H16" s="20" t="n">
        <v>18427</v>
      </c>
      <c r="I16" s="20" t="n">
        <v>13596</v>
      </c>
      <c r="J16" s="20" t="n">
        <v>4831</v>
      </c>
      <c r="K16" s="20" t="n">
        <v>20988</v>
      </c>
      <c r="L16" s="20" t="n">
        <v>6348</v>
      </c>
      <c r="M16" s="20" t="n">
        <v>14640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Gulbarga</t>
        </is>
      </c>
    </row>
    <row r="2">
      <c r="A2" s="3" t="inlineStr">
        <is>
          <t>Adi Hindu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389620</v>
      </c>
      <c r="C5" s="17" t="n">
        <v>196500</v>
      </c>
      <c r="D5" s="17" t="n">
        <v>193120</v>
      </c>
      <c r="E5" s="17" t="n">
        <v>141242</v>
      </c>
      <c r="F5" s="17" t="n">
        <v>82090</v>
      </c>
      <c r="G5" s="17" t="n">
        <v>59152</v>
      </c>
      <c r="H5" s="17" t="n">
        <v>212016</v>
      </c>
      <c r="I5" s="17" t="n">
        <v>106282</v>
      </c>
      <c r="J5" s="17" t="n">
        <v>105734</v>
      </c>
      <c r="K5" s="17" t="n">
        <v>36362</v>
      </c>
      <c r="L5" s="17" t="n">
        <v>8128</v>
      </c>
      <c r="M5" s="17" t="n">
        <v>28234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194810</v>
      </c>
      <c r="C6" s="20" t="n">
        <v>98250</v>
      </c>
      <c r="D6" s="20" t="n">
        <v>96560</v>
      </c>
      <c r="E6" s="20" t="n">
        <v>70621</v>
      </c>
      <c r="F6" s="20" t="n">
        <v>41045</v>
      </c>
      <c r="G6" s="20" t="n">
        <v>29576</v>
      </c>
      <c r="H6" s="20" t="n">
        <v>106008</v>
      </c>
      <c r="I6" s="20" t="n">
        <v>53141</v>
      </c>
      <c r="J6" s="20" t="n">
        <v>52867</v>
      </c>
      <c r="K6" s="20" t="n">
        <v>18181</v>
      </c>
      <c r="L6" s="20" t="n">
        <v>4064</v>
      </c>
      <c r="M6" s="20" t="n">
        <v>14117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5947</v>
      </c>
      <c r="C7" s="23" t="n">
        <v>2786</v>
      </c>
      <c r="D7" s="23" t="n">
        <v>3161</v>
      </c>
      <c r="E7" s="23" t="n">
        <v>5674</v>
      </c>
      <c r="F7" s="23" t="n">
        <v>2626</v>
      </c>
      <c r="G7" s="23" t="n">
        <v>3048</v>
      </c>
      <c r="H7" s="23" t="n">
        <v>266</v>
      </c>
      <c r="I7" s="23" t="n">
        <v>153</v>
      </c>
      <c r="J7" s="23" t="n">
        <v>113</v>
      </c>
      <c r="K7" s="23" t="n">
        <v>7</v>
      </c>
      <c r="L7" s="23" t="n">
        <v>7</v>
      </c>
      <c r="M7" s="23" t="n">
        <v>0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29189</v>
      </c>
      <c r="C8" s="20" t="n">
        <v>14743</v>
      </c>
      <c r="D8" s="20" t="n">
        <v>14446</v>
      </c>
      <c r="E8" s="20" t="n">
        <v>26077</v>
      </c>
      <c r="F8" s="20" t="n">
        <v>13223</v>
      </c>
      <c r="G8" s="20" t="n">
        <v>12854</v>
      </c>
      <c r="H8" s="20" t="n">
        <v>3023</v>
      </c>
      <c r="I8" s="20" t="n">
        <v>1505</v>
      </c>
      <c r="J8" s="20" t="n">
        <v>1518</v>
      </c>
      <c r="K8" s="20" t="n">
        <v>89</v>
      </c>
      <c r="L8" s="20" t="n">
        <v>15</v>
      </c>
      <c r="M8" s="20" t="n">
        <v>74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23992</v>
      </c>
      <c r="C9" s="23" t="n">
        <v>12898</v>
      </c>
      <c r="D9" s="23" t="n">
        <v>11094</v>
      </c>
      <c r="E9" s="23" t="n">
        <v>18085</v>
      </c>
      <c r="F9" s="23" t="n">
        <v>10580</v>
      </c>
      <c r="G9" s="23" t="n">
        <v>7505</v>
      </c>
      <c r="H9" s="23" t="n">
        <v>5701</v>
      </c>
      <c r="I9" s="23" t="n">
        <v>2228</v>
      </c>
      <c r="J9" s="23" t="n">
        <v>3473</v>
      </c>
      <c r="K9" s="23" t="n">
        <v>206</v>
      </c>
      <c r="L9" s="23" t="n">
        <v>90</v>
      </c>
      <c r="M9" s="23" t="n">
        <v>116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19989</v>
      </c>
      <c r="C10" s="20" t="n">
        <v>10833</v>
      </c>
      <c r="D10" s="20" t="n">
        <v>9156</v>
      </c>
      <c r="E10" s="20" t="n">
        <v>11308</v>
      </c>
      <c r="F10" s="20" t="n">
        <v>7634</v>
      </c>
      <c r="G10" s="20" t="n">
        <v>3674</v>
      </c>
      <c r="H10" s="20" t="n">
        <v>8402</v>
      </c>
      <c r="I10" s="20" t="n">
        <v>3054</v>
      </c>
      <c r="J10" s="20" t="n">
        <v>5348</v>
      </c>
      <c r="K10" s="20" t="n">
        <v>279</v>
      </c>
      <c r="L10" s="20" t="n">
        <v>145</v>
      </c>
      <c r="M10" s="20" t="n">
        <v>134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14873</v>
      </c>
      <c r="C11" s="23" t="n">
        <v>7331</v>
      </c>
      <c r="D11" s="23" t="n">
        <v>7542</v>
      </c>
      <c r="E11" s="23" t="n">
        <v>3442</v>
      </c>
      <c r="F11" s="23" t="n">
        <v>2916</v>
      </c>
      <c r="G11" s="23" t="n">
        <v>526</v>
      </c>
      <c r="H11" s="23" t="n">
        <v>11104</v>
      </c>
      <c r="I11" s="23" t="n">
        <v>4298</v>
      </c>
      <c r="J11" s="23" t="n">
        <v>6806</v>
      </c>
      <c r="K11" s="23" t="n">
        <v>327</v>
      </c>
      <c r="L11" s="23" t="n">
        <v>117</v>
      </c>
      <c r="M11" s="23" t="n">
        <v>210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35364</v>
      </c>
      <c r="C12" s="20" t="n">
        <v>16880</v>
      </c>
      <c r="D12" s="20" t="n">
        <v>18484</v>
      </c>
      <c r="E12" s="20" t="n">
        <v>3247</v>
      </c>
      <c r="F12" s="20" t="n">
        <v>2434</v>
      </c>
      <c r="G12" s="20" t="n">
        <v>813</v>
      </c>
      <c r="H12" s="20" t="n">
        <v>30514</v>
      </c>
      <c r="I12" s="20" t="n">
        <v>14040</v>
      </c>
      <c r="J12" s="20" t="n">
        <v>16474</v>
      </c>
      <c r="K12" s="20" t="n">
        <v>1603</v>
      </c>
      <c r="L12" s="20" t="n">
        <v>406</v>
      </c>
      <c r="M12" s="20" t="n">
        <v>1197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27506</v>
      </c>
      <c r="C13" s="23" t="n">
        <v>14459</v>
      </c>
      <c r="D13" s="23" t="n">
        <v>13047</v>
      </c>
      <c r="E13" s="23" t="n">
        <v>1339</v>
      </c>
      <c r="F13" s="23" t="n">
        <v>794</v>
      </c>
      <c r="G13" s="23" t="n">
        <v>545</v>
      </c>
      <c r="H13" s="23" t="n">
        <v>22803</v>
      </c>
      <c r="I13" s="23" t="n">
        <v>12988</v>
      </c>
      <c r="J13" s="23" t="n">
        <v>9815</v>
      </c>
      <c r="K13" s="23" t="n">
        <v>3364</v>
      </c>
      <c r="L13" s="23" t="n">
        <v>677</v>
      </c>
      <c r="M13" s="23" t="n">
        <v>2687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18905</v>
      </c>
      <c r="C14" s="20" t="n">
        <v>9957</v>
      </c>
      <c r="D14" s="20" t="n">
        <v>8948</v>
      </c>
      <c r="E14" s="20" t="n">
        <v>867</v>
      </c>
      <c r="F14" s="20" t="n">
        <v>577</v>
      </c>
      <c r="G14" s="20" t="n">
        <v>290</v>
      </c>
      <c r="H14" s="20" t="n">
        <v>13583</v>
      </c>
      <c r="I14" s="20" t="n">
        <v>8473</v>
      </c>
      <c r="J14" s="20" t="n">
        <v>5110</v>
      </c>
      <c r="K14" s="20" t="n">
        <v>4455</v>
      </c>
      <c r="L14" s="20" t="n">
        <v>907</v>
      </c>
      <c r="M14" s="20" t="n">
        <v>3548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10408</v>
      </c>
      <c r="C15" s="23" t="n">
        <v>4814</v>
      </c>
      <c r="D15" s="23" t="n">
        <v>5594</v>
      </c>
      <c r="E15" s="23" t="n">
        <v>301</v>
      </c>
      <c r="F15" s="23" t="n">
        <v>126</v>
      </c>
      <c r="G15" s="23" t="n">
        <v>175</v>
      </c>
      <c r="H15" s="23" t="n">
        <v>6068</v>
      </c>
      <c r="I15" s="23" t="n">
        <v>3857</v>
      </c>
      <c r="J15" s="23" t="n">
        <v>2211</v>
      </c>
      <c r="K15" s="23" t="n">
        <v>4039</v>
      </c>
      <c r="L15" s="23" t="n">
        <v>831</v>
      </c>
      <c r="M15" s="23" t="n">
        <v>3208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8637</v>
      </c>
      <c r="C16" s="20" t="n">
        <v>3549</v>
      </c>
      <c r="D16" s="20" t="n">
        <v>5088</v>
      </c>
      <c r="E16" s="20" t="n">
        <v>281</v>
      </c>
      <c r="F16" s="20" t="n">
        <v>135</v>
      </c>
      <c r="G16" s="20" t="n">
        <v>146</v>
      </c>
      <c r="H16" s="20" t="n">
        <v>4544</v>
      </c>
      <c r="I16" s="20" t="n">
        <v>2545</v>
      </c>
      <c r="J16" s="20" t="n">
        <v>1999</v>
      </c>
      <c r="K16" s="20" t="n">
        <v>3812</v>
      </c>
      <c r="L16" s="20" t="n">
        <v>869</v>
      </c>
      <c r="M16" s="20" t="n">
        <v>2943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Gulbarga</t>
        </is>
      </c>
    </row>
    <row r="2">
      <c r="A2" s="3" t="inlineStr">
        <is>
          <t>Muslim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391172</v>
      </c>
      <c r="C5" s="17" t="n">
        <v>199272</v>
      </c>
      <c r="D5" s="17" t="n">
        <v>191900</v>
      </c>
      <c r="E5" s="17" t="n">
        <v>160622</v>
      </c>
      <c r="F5" s="17" t="n">
        <v>92260</v>
      </c>
      <c r="G5" s="17" t="n">
        <v>68362</v>
      </c>
      <c r="H5" s="17" t="n">
        <v>195398</v>
      </c>
      <c r="I5" s="17" t="n">
        <v>98940</v>
      </c>
      <c r="J5" s="17" t="n">
        <v>96458</v>
      </c>
      <c r="K5" s="17" t="n">
        <v>35152</v>
      </c>
      <c r="L5" s="17" t="n">
        <v>8072</v>
      </c>
      <c r="M5" s="17" t="n">
        <v>27080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5517</v>
      </c>
      <c r="C6" s="20" t="n">
        <v>2759</v>
      </c>
      <c r="D6" s="20" t="n">
        <v>2758</v>
      </c>
      <c r="E6" s="20" t="n">
        <v>5190</v>
      </c>
      <c r="F6" s="20" t="n">
        <v>2519</v>
      </c>
      <c r="G6" s="20" t="n">
        <v>2671</v>
      </c>
      <c r="H6" s="20" t="n">
        <v>308</v>
      </c>
      <c r="I6" s="20" t="n">
        <v>230</v>
      </c>
      <c r="J6" s="20" t="n">
        <v>78</v>
      </c>
      <c r="K6" s="20" t="n">
        <v>19</v>
      </c>
      <c r="L6" s="20" t="n">
        <v>10</v>
      </c>
      <c r="M6" s="20" t="n">
        <v>9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1-5</t>
        </is>
      </c>
      <c r="B7" s="23" t="n">
        <v>26877</v>
      </c>
      <c r="C7" s="23" t="n">
        <v>13248</v>
      </c>
      <c r="D7" s="23" t="n">
        <v>13629</v>
      </c>
      <c r="E7" s="23" t="n">
        <v>24822</v>
      </c>
      <c r="F7" s="23" t="n">
        <v>12045</v>
      </c>
      <c r="G7" s="23" t="n">
        <v>12777</v>
      </c>
      <c r="H7" s="23" t="n">
        <v>1971</v>
      </c>
      <c r="I7" s="23" t="n">
        <v>1190</v>
      </c>
      <c r="J7" s="23" t="n">
        <v>781</v>
      </c>
      <c r="K7" s="23" t="n">
        <v>84</v>
      </c>
      <c r="L7" s="23" t="n">
        <v>13</v>
      </c>
      <c r="M7" s="23" t="n">
        <v>71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5-10</t>
        </is>
      </c>
      <c r="B8" s="20" t="n">
        <v>24630</v>
      </c>
      <c r="C8" s="20" t="n">
        <v>12819</v>
      </c>
      <c r="D8" s="20" t="n">
        <v>11811</v>
      </c>
      <c r="E8" s="20" t="n">
        <v>20879</v>
      </c>
      <c r="F8" s="20" t="n">
        <v>10948</v>
      </c>
      <c r="G8" s="20" t="n">
        <v>9931</v>
      </c>
      <c r="H8" s="20" t="n">
        <v>3569</v>
      </c>
      <c r="I8" s="20" t="n">
        <v>1797</v>
      </c>
      <c r="J8" s="20" t="n">
        <v>1772</v>
      </c>
      <c r="K8" s="20" t="n">
        <v>182</v>
      </c>
      <c r="L8" s="20" t="n">
        <v>74</v>
      </c>
      <c r="M8" s="20" t="n">
        <v>108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10-15</t>
        </is>
      </c>
      <c r="B9" s="23" t="n">
        <v>21270</v>
      </c>
      <c r="C9" s="23" t="n">
        <v>11308</v>
      </c>
      <c r="D9" s="23" t="n">
        <v>9962</v>
      </c>
      <c r="E9" s="23" t="n">
        <v>14902</v>
      </c>
      <c r="F9" s="23" t="n">
        <v>8868</v>
      </c>
      <c r="G9" s="23" t="n">
        <v>6034</v>
      </c>
      <c r="H9" s="23" t="n">
        <v>6202</v>
      </c>
      <c r="I9" s="23" t="n">
        <v>2370</v>
      </c>
      <c r="J9" s="23" t="n">
        <v>3832</v>
      </c>
      <c r="K9" s="23" t="n">
        <v>166</v>
      </c>
      <c r="L9" s="23" t="n">
        <v>70</v>
      </c>
      <c r="M9" s="23" t="n">
        <v>96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15-20</t>
        </is>
      </c>
      <c r="B10" s="20" t="n">
        <v>17729</v>
      </c>
      <c r="C10" s="20" t="n">
        <v>8740</v>
      </c>
      <c r="D10" s="20" t="n">
        <v>8989</v>
      </c>
      <c r="E10" s="20" t="n">
        <v>5940</v>
      </c>
      <c r="F10" s="20" t="n">
        <v>4643</v>
      </c>
      <c r="G10" s="20" t="n">
        <v>1297</v>
      </c>
      <c r="H10" s="20" t="n">
        <v>11425</v>
      </c>
      <c r="I10" s="20" t="n">
        <v>3966</v>
      </c>
      <c r="J10" s="20" t="n">
        <v>7459</v>
      </c>
      <c r="K10" s="20" t="n">
        <v>364</v>
      </c>
      <c r="L10" s="20" t="n">
        <v>131</v>
      </c>
      <c r="M10" s="20" t="n">
        <v>233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20-30</t>
        </is>
      </c>
      <c r="B11" s="23" t="n">
        <v>36383</v>
      </c>
      <c r="C11" s="23" t="n">
        <v>17325</v>
      </c>
      <c r="D11" s="23" t="n">
        <v>19058</v>
      </c>
      <c r="E11" s="23" t="n">
        <v>5363</v>
      </c>
      <c r="F11" s="23" t="n">
        <v>4499</v>
      </c>
      <c r="G11" s="23" t="n">
        <v>864</v>
      </c>
      <c r="H11" s="23" t="n">
        <v>29466</v>
      </c>
      <c r="I11" s="23" t="n">
        <v>12512</v>
      </c>
      <c r="J11" s="23" t="n">
        <v>16954</v>
      </c>
      <c r="K11" s="23" t="n">
        <v>1554</v>
      </c>
      <c r="L11" s="23" t="n">
        <v>314</v>
      </c>
      <c r="M11" s="23" t="n">
        <v>1240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30-40</t>
        </is>
      </c>
      <c r="B12" s="20" t="n">
        <v>26705</v>
      </c>
      <c r="C12" s="20" t="n">
        <v>14285</v>
      </c>
      <c r="D12" s="20" t="n">
        <v>12420</v>
      </c>
      <c r="E12" s="20" t="n">
        <v>1384</v>
      </c>
      <c r="F12" s="20" t="n">
        <v>1153</v>
      </c>
      <c r="G12" s="20" t="n">
        <v>231</v>
      </c>
      <c r="H12" s="20" t="n">
        <v>22212</v>
      </c>
      <c r="I12" s="20" t="n">
        <v>12511</v>
      </c>
      <c r="J12" s="20" t="n">
        <v>9701</v>
      </c>
      <c r="K12" s="20" t="n">
        <v>3109</v>
      </c>
      <c r="L12" s="20" t="n">
        <v>621</v>
      </c>
      <c r="M12" s="20" t="n">
        <v>2488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40-50</t>
        </is>
      </c>
      <c r="B13" s="23" t="n">
        <v>16802</v>
      </c>
      <c r="C13" s="23" t="n">
        <v>9079</v>
      </c>
      <c r="D13" s="23" t="n">
        <v>7723</v>
      </c>
      <c r="E13" s="23" t="n">
        <v>752</v>
      </c>
      <c r="F13" s="23" t="n">
        <v>635</v>
      </c>
      <c r="G13" s="23" t="n">
        <v>117</v>
      </c>
      <c r="H13" s="23" t="n">
        <v>12153</v>
      </c>
      <c r="I13" s="23" t="n">
        <v>7678</v>
      </c>
      <c r="J13" s="23" t="n">
        <v>4475</v>
      </c>
      <c r="K13" s="23" t="n">
        <v>3897</v>
      </c>
      <c r="L13" s="23" t="n">
        <v>766</v>
      </c>
      <c r="M13" s="23" t="n">
        <v>3131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50-60</t>
        </is>
      </c>
      <c r="B14" s="20" t="n">
        <v>10253</v>
      </c>
      <c r="C14" s="20" t="n">
        <v>5230</v>
      </c>
      <c r="D14" s="20" t="n">
        <v>5023</v>
      </c>
      <c r="E14" s="20" t="n">
        <v>426</v>
      </c>
      <c r="F14" s="20" t="n">
        <v>289</v>
      </c>
      <c r="G14" s="20" t="n">
        <v>137</v>
      </c>
      <c r="H14" s="20" t="n">
        <v>5981</v>
      </c>
      <c r="I14" s="20" t="n">
        <v>4060</v>
      </c>
      <c r="J14" s="20" t="n">
        <v>1921</v>
      </c>
      <c r="K14" s="20" t="n">
        <v>3846</v>
      </c>
      <c r="L14" s="20" t="n">
        <v>881</v>
      </c>
      <c r="M14" s="20" t="n">
        <v>2965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60 and over</t>
        </is>
      </c>
      <c r="B15" s="23" t="n">
        <v>9420</v>
      </c>
      <c r="C15" s="23" t="n">
        <v>4843</v>
      </c>
      <c r="D15" s="23" t="n">
        <v>4577</v>
      </c>
      <c r="E15" s="23" t="n">
        <v>653</v>
      </c>
      <c r="F15" s="23" t="n">
        <v>531</v>
      </c>
      <c r="G15" s="23" t="n">
        <v>122</v>
      </c>
      <c r="H15" s="23" t="n">
        <v>4412</v>
      </c>
      <c r="I15" s="23" t="n">
        <v>3156</v>
      </c>
      <c r="J15" s="23" t="n">
        <v>1256</v>
      </c>
      <c r="K15" s="23" t="n">
        <v>4355</v>
      </c>
      <c r="L15" s="23" t="n">
        <v>1156</v>
      </c>
      <c r="M15" s="23" t="n">
        <v>3199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Total</t>
        </is>
      </c>
      <c r="B16" s="20" t="n">
        <v>195586</v>
      </c>
      <c r="C16" s="20" t="n">
        <v>99636</v>
      </c>
      <c r="D16" s="20" t="n">
        <v>95950</v>
      </c>
      <c r="E16" s="20" t="n">
        <v>80311</v>
      </c>
      <c r="F16" s="20" t="n">
        <v>46130</v>
      </c>
      <c r="G16" s="20" t="n">
        <v>34181</v>
      </c>
      <c r="H16" s="20" t="n">
        <v>97699</v>
      </c>
      <c r="I16" s="20" t="n">
        <v>49470</v>
      </c>
      <c r="J16" s="20" t="n">
        <v>48229</v>
      </c>
      <c r="K16" s="20" t="n">
        <v>17576</v>
      </c>
      <c r="L16" s="20" t="n">
        <v>4036</v>
      </c>
      <c r="M16" s="20" t="n">
        <v>13540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2026-02-26T04:41:37Z</dcterms:created>
  <dcterms:modified xmlns:dcterms="http://purl.org/dc/terms/" xmlns:xsi="http://www.w3.org/2001/XMLSchema-instance" xsi:type="dcterms:W3CDTF">2026-02-26T04:41:37Z</dcterms:modified>
</cp:coreProperties>
</file>