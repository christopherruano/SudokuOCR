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IDIARY TABLE II. Age dist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" borderId="1" pivotButton="0" quotePrefix="0" xfId="0"/>
    <xf numFmtId="3" fontId="0" fillId="2" borderId="1" pivotButton="0" quotePrefix="0" xfId="0"/>
    <xf numFmtId="0" fontId="0" fillId="2" borderId="1" applyAlignment="1" pivotButton="0" quotePrefix="0" xfId="0">
      <alignment horizontal="center"/>
    </xf>
    <xf numFmtId="0" fontId="0" fillId="3" borderId="1" pivotButton="0" quotePrefix="0" xfId="0"/>
    <xf numFmtId="3" fontId="0" fillId="3" borderId="1" pivotButton="0" quotePrefix="0" xfId="0"/>
    <xf numFmtId="0" fontId="0" fillId="3" borderId="1" applyAlignment="1" pivotButton="0" quotePrefix="0" xfId="0">
      <alignment horizontal="center"/>
    </xf>
    <xf numFmtId="0" fontId="2" fillId="0" borderId="0" pivotButton="0" quotePrefix="0" xfId="0"/>
    <xf numFmtId="0" fontId="3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2" customWidth="1" min="5" max="5"/>
    <col width="20" customWidth="1" min="6" max="6"/>
  </cols>
  <sheetData>
    <row r="1">
      <c r="A1" s="1" t="inlineStr">
        <is>
          <t>SUBSIDIARY TABLE II. Age distribution of 10,000 of each sex in 1901 and 1891. 1901</t>
        </is>
      </c>
    </row>
    <row r="3">
      <c r="A3" s="2" t="inlineStr">
        <is>
          <t>Age Group</t>
        </is>
      </c>
      <c r="B3" s="2" t="inlineStr">
        <is>
          <t>Persons</t>
        </is>
      </c>
      <c r="C3" s="2" t="inlineStr">
        <is>
          <t>Males</t>
        </is>
      </c>
      <c r="D3" s="2" t="inlineStr">
        <is>
          <t>Females</t>
        </is>
      </c>
      <c r="E3" s="2" t="inlineStr">
        <is>
          <t>P = M+F</t>
        </is>
      </c>
      <c r="F3" s="2" t="inlineStr">
        <is>
          <t>Status</t>
        </is>
      </c>
    </row>
    <row r="4">
      <c r="A4" s="3" t="inlineStr">
        <is>
          <t>0 — 5</t>
        </is>
      </c>
      <c r="B4" s="4" t="n">
        <v>1884</v>
      </c>
      <c r="C4" s="4" t="n">
        <v>1366</v>
      </c>
      <c r="D4" s="4" t="n">
        <v>1403</v>
      </c>
      <c r="E4" s="5">
        <f>IF(B4=C4+D4,"PASS","FAIL")</f>
        <v/>
      </c>
      <c r="F4" s="3" t="inlineStr">
        <is>
          <t>P:deduced, M:deduced, F:deduced</t>
        </is>
      </c>
    </row>
    <row r="5">
      <c r="A5" s="3" t="inlineStr">
        <is>
          <t>5 — 10</t>
        </is>
      </c>
      <c r="B5" s="4" t="n">
        <v>13626</v>
      </c>
      <c r="C5" s="4" t="n">
        <v>1386</v>
      </c>
      <c r="D5" s="4" t="n">
        <v>13397</v>
      </c>
      <c r="E5" s="5">
        <f>IF(B5=C5+D5,"PASS","FAIL")</f>
        <v/>
      </c>
      <c r="F5" s="3" t="inlineStr">
        <is>
          <t>P:deduced, M:deduced, F:deduced</t>
        </is>
      </c>
    </row>
    <row r="6">
      <c r="A6" s="3" t="inlineStr">
        <is>
          <t>10 — 15</t>
        </is>
      </c>
      <c r="B6" s="4" t="n">
        <v>12737</v>
      </c>
      <c r="C6" s="4" t="n">
        <v>1321</v>
      </c>
      <c r="D6" s="4" t="n">
        <v>12259</v>
      </c>
      <c r="E6" s="5">
        <f>IF(B6=C6+D6,"PASS","FAIL")</f>
        <v/>
      </c>
      <c r="F6" s="3" t="inlineStr">
        <is>
          <t>P:deduced, M:deduced, F:deduced</t>
        </is>
      </c>
    </row>
    <row r="7">
      <c r="A7" s="6" t="inlineStr">
        <is>
          <t>Total 0 — 15</t>
        </is>
      </c>
      <c r="B7" s="7" t="n">
        <v>40211</v>
      </c>
      <c r="C7" s="7" t="n">
        <v>4072</v>
      </c>
      <c r="D7" s="7" t="n">
        <v>39687</v>
      </c>
      <c r="E7" s="8">
        <f>IF(B7=C7+D7,"PASS","FAIL")</f>
        <v/>
      </c>
      <c r="F7" s="6" t="inlineStr">
        <is>
          <t>P:deduced, M:deduced, F:deduced</t>
        </is>
      </c>
    </row>
    <row r="8">
      <c r="A8" s="3" t="inlineStr">
        <is>
          <t>15 — 20</t>
        </is>
      </c>
      <c r="B8" s="4" t="n">
        <v>1949</v>
      </c>
      <c r="C8" s="4" t="n">
        <v>970</v>
      </c>
      <c r="D8" s="4" t="n">
        <v>979</v>
      </c>
      <c r="E8" s="5">
        <f>IF(B8=C8+D8,"PASS","FAIL")</f>
        <v/>
      </c>
      <c r="F8" s="3" t="inlineStr">
        <is>
          <t>P:deduced</t>
        </is>
      </c>
    </row>
    <row r="9">
      <c r="A9" s="3" t="inlineStr">
        <is>
          <t>20 — 25</t>
        </is>
      </c>
      <c r="B9" s="4" t="n">
        <v>930</v>
      </c>
      <c r="C9" s="4" t="n">
        <v>886</v>
      </c>
      <c r="D9" s="4" t="n">
        <v>44</v>
      </c>
      <c r="E9" s="5">
        <f>IF(B9=C9+D9,"PASS","FAIL")</f>
        <v/>
      </c>
      <c r="F9" s="3" t="inlineStr">
        <is>
          <t>M:deduced, F:deduced</t>
        </is>
      </c>
    </row>
    <row r="10">
      <c r="A10" s="3" t="inlineStr">
        <is>
          <t>25 — 30</t>
        </is>
      </c>
      <c r="B10" s="4" t="n">
        <v>888</v>
      </c>
      <c r="C10" s="4" t="n">
        <v>865</v>
      </c>
      <c r="D10" s="4" t="n">
        <v>900</v>
      </c>
      <c r="E10" s="5">
        <f>IF(B10=C10+D10,"PASS","FAIL")</f>
        <v/>
      </c>
      <c r="F10" s="3" t="inlineStr">
        <is>
          <t>P:deduced, M:deduced, F:deduced</t>
        </is>
      </c>
    </row>
    <row r="11">
      <c r="A11" s="3" t="inlineStr">
        <is>
          <t>30 — 35</t>
        </is>
      </c>
      <c r="B11" s="4" t="n">
        <v>1466</v>
      </c>
      <c r="C11" s="4" t="n">
        <v>747</v>
      </c>
      <c r="D11" s="4" t="n">
        <v>719</v>
      </c>
      <c r="E11" s="5">
        <f>IF(B11=C11+D11,"PASS","FAIL")</f>
        <v/>
      </c>
      <c r="F11" s="3" t="inlineStr">
        <is>
          <t>P:deduced</t>
        </is>
      </c>
    </row>
    <row r="12">
      <c r="A12" s="3" t="inlineStr">
        <is>
          <t>35 — 40</t>
        </is>
      </c>
      <c r="B12" s="4" t="n">
        <v>597</v>
      </c>
      <c r="C12" s="4" t="n">
        <v>639</v>
      </c>
      <c r="D12" s="4" t="n">
        <v>555</v>
      </c>
      <c r="E12" s="5">
        <f>IF(B12=C12+D12,"PASS","FAIL")</f>
        <v/>
      </c>
      <c r="F12" s="3" t="inlineStr">
        <is>
          <t>locked</t>
        </is>
      </c>
    </row>
    <row r="13">
      <c r="A13" s="6" t="inlineStr">
        <is>
          <t>Total 15 — 40</t>
        </is>
      </c>
      <c r="B13" s="7" t="n">
        <v>4123</v>
      </c>
      <c r="C13" s="7" t="n">
        <v>4107</v>
      </c>
      <c r="D13" s="7" t="n">
        <v>4136</v>
      </c>
      <c r="E13" s="8">
        <f>IF(B13=C13+D13,"PASS","FAIL")</f>
        <v/>
      </c>
      <c r="F13" s="6" t="inlineStr">
        <is>
          <t>P:deduced, F:deduced</t>
        </is>
      </c>
    </row>
    <row r="14">
      <c r="A14" s="3" t="inlineStr">
        <is>
          <t>40 — 45</t>
        </is>
      </c>
      <c r="B14" s="4" t="n">
        <v>541</v>
      </c>
      <c r="C14" s="4" t="n">
        <v>8</v>
      </c>
      <c r="D14" s="4" t="n">
        <v>533</v>
      </c>
      <c r="E14" s="5">
        <f>IF(B14=C14+D14,"PASS","FAIL")</f>
        <v/>
      </c>
      <c r="F14" s="3" t="inlineStr">
        <is>
          <t>M:deduced</t>
        </is>
      </c>
    </row>
    <row r="15">
      <c r="A15" s="3" t="inlineStr">
        <is>
          <t>45 — 50</t>
        </is>
      </c>
      <c r="B15" s="4" t="n">
        <v>354</v>
      </c>
      <c r="C15" s="4" t="n">
        <v>363</v>
      </c>
      <c r="D15" s="4" t="n">
        <v>344</v>
      </c>
      <c r="E15" s="5">
        <f>IF(B15=C15+D15,"PASS","FAIL")</f>
        <v/>
      </c>
      <c r="F15" s="3" t="inlineStr">
        <is>
          <t>P:deduced, M:deduced, F:deduced</t>
        </is>
      </c>
    </row>
    <row r="16">
      <c r="A16" s="3" t="inlineStr">
        <is>
          <t>50 — 55</t>
        </is>
      </c>
      <c r="B16" s="4" t="n">
        <v>353</v>
      </c>
      <c r="C16" s="4" t="n">
        <v>338</v>
      </c>
      <c r="D16" s="4" t="n">
        <v>360</v>
      </c>
      <c r="E16" s="5">
        <f>IF(B16=C16+D16,"PASS","FAIL")</f>
        <v/>
      </c>
      <c r="F16" s="3" t="inlineStr">
        <is>
          <t>P:deduced, M:deduced, F:deduced</t>
        </is>
      </c>
    </row>
    <row r="17">
      <c r="A17" s="3" t="inlineStr">
        <is>
          <t>55 — 60</t>
        </is>
      </c>
      <c r="B17" s="4" t="n">
        <v>189</v>
      </c>
      <c r="C17" s="4" t="n">
        <v>193</v>
      </c>
      <c r="D17" s="4" t="n">
        <v>-4</v>
      </c>
      <c r="E17" s="5">
        <f>IF(B17=C17+D17,"PASS","FAIL")</f>
        <v/>
      </c>
      <c r="F17" s="3" t="inlineStr">
        <is>
          <t>P:deduced, F:deduced</t>
        </is>
      </c>
    </row>
    <row r="18">
      <c r="A18" s="6" t="inlineStr">
        <is>
          <t>Total 40 — 60</t>
        </is>
      </c>
      <c r="B18" s="7" t="n">
        <v>1637</v>
      </c>
      <c r="C18" s="7" t="n">
        <v>1441</v>
      </c>
      <c r="D18" s="7" t="n">
        <v>1430</v>
      </c>
      <c r="E18" s="8">
        <f>IF(B18=C18+D18,"PASS","FAIL")</f>
        <v/>
      </c>
      <c r="F18" s="6" t="inlineStr">
        <is>
          <t>P:deduced, M:deduced, F:deduced</t>
        </is>
      </c>
    </row>
    <row r="19">
      <c r="A19" s="3" t="inlineStr">
        <is>
          <t>60 and over</t>
        </is>
      </c>
      <c r="B19" s="4" t="n">
        <v>417</v>
      </c>
      <c r="C19" s="4" t="n">
        <v>178</v>
      </c>
      <c r="D19" s="4" t="n">
        <v>264</v>
      </c>
      <c r="E19" s="5">
        <f>IF(B19=C19+D19,"PASS","FAIL")</f>
        <v/>
      </c>
      <c r="F19" s="3" t="inlineStr">
        <is>
          <t>M:deduced, F:deduced</t>
        </is>
      </c>
    </row>
    <row r="20">
      <c r="A20" s="3" t="inlineStr">
        <is>
          <t>Not Stated</t>
        </is>
      </c>
      <c r="B20" s="4" t="n">
        <v>1</v>
      </c>
      <c r="C20" s="4" t="n">
        <v>1</v>
      </c>
      <c r="D20" s="4" t="n">
        <v>1</v>
      </c>
      <c r="E20" s="5">
        <f>IF(B20=C20+D20,"PASS","FAIL")</f>
        <v/>
      </c>
      <c r="F20" s="3" t="inlineStr">
        <is>
          <t>locked</t>
        </is>
      </c>
    </row>
    <row r="21">
      <c r="A21" s="9" t="inlineStr">
        <is>
          <t>Total</t>
        </is>
      </c>
      <c r="B21" s="10" t="n">
        <v>10000</v>
      </c>
      <c r="C21" s="10" t="n">
        <v>10000</v>
      </c>
      <c r="D21" s="10" t="n">
        <v>10000</v>
      </c>
      <c r="E21" s="11">
        <f>IF(B21=C21+D21,"PASS","FAIL")</f>
        <v/>
      </c>
      <c r="F21" s="9" t="inlineStr">
        <is>
          <t>locked</t>
        </is>
      </c>
    </row>
    <row r="22">
      <c r="A22" s="3" t="inlineStr">
        <is>
          <t>Mean age</t>
        </is>
      </c>
      <c r="B22" s="4" t="n">
        <v>29</v>
      </c>
      <c r="C22" s="4" t="n">
        <v>23</v>
      </c>
      <c r="D22" s="4" t="n">
        <v>23</v>
      </c>
      <c r="E22" s="5">
        <f>IF(B22=C22+D22,"PASS","FAIL")</f>
        <v/>
      </c>
      <c r="F22" s="3" t="inlineStr">
        <is>
          <t>P:deduced, M:deduced, F:deduced</t>
        </is>
      </c>
    </row>
    <row r="24">
      <c r="A24" s="12" t="inlineStr">
        <is>
          <t>Constraint Verification</t>
        </is>
      </c>
    </row>
    <row r="25">
      <c r="A25" s="13" t="inlineStr">
        <is>
          <t>Constraint</t>
        </is>
      </c>
      <c r="B25" s="13" t="inlineStr">
        <is>
          <t>Expected (Subtotal)</t>
        </is>
      </c>
      <c r="C25" s="13" t="inlineStr">
        <is>
          <t>Computed (Sum)</t>
        </is>
      </c>
      <c r="D25" s="13" t="inlineStr">
        <is>
          <t>Check</t>
        </is>
      </c>
    </row>
    <row r="26">
      <c r="A26" s="3" t="inlineStr">
        <is>
          <t>0-15 Persons = sum(0-5, 5-10, 10-15)</t>
        </is>
      </c>
      <c r="B26" s="3">
        <f>B7</f>
        <v/>
      </c>
      <c r="C26" s="3">
        <f>B4+B5+B6</f>
        <v/>
      </c>
      <c r="D26" s="5">
        <f>IF(B26=C26,"PASS","FAIL")</f>
        <v/>
      </c>
    </row>
    <row r="27">
      <c r="A27" s="3" t="inlineStr">
        <is>
          <t>0-15 Males = sum(0-5, 5-10, 10-15)</t>
        </is>
      </c>
      <c r="B27" s="3">
        <f>C7</f>
        <v/>
      </c>
      <c r="C27" s="3">
        <f>C4+C5+C6</f>
        <v/>
      </c>
      <c r="D27" s="5">
        <f>IF(B27=C27,"PASS","FAIL")</f>
        <v/>
      </c>
    </row>
    <row r="28">
      <c r="A28" s="3" t="inlineStr">
        <is>
          <t>0-15 Females = sum(0-5, 5-10, 10-15)</t>
        </is>
      </c>
      <c r="B28" s="3">
        <f>D7</f>
        <v/>
      </c>
      <c r="C28" s="3">
        <f>D4+D5+D6</f>
        <v/>
      </c>
      <c r="D28" s="5">
        <f>IF(B28=C28,"PASS","FAIL")</f>
        <v/>
      </c>
    </row>
    <row r="29">
      <c r="A29" s="3" t="inlineStr">
        <is>
          <t>15-40 Persons = sum(15-20, 20-25, 25-30, 30-35, 35-40)</t>
        </is>
      </c>
      <c r="B29" s="3">
        <f>B13</f>
        <v/>
      </c>
      <c r="C29" s="3">
        <f>B8+B9+B10+B11+B12</f>
        <v/>
      </c>
      <c r="D29" s="5">
        <f>IF(B29=C29,"PASS","FAIL")</f>
        <v/>
      </c>
    </row>
    <row r="30">
      <c r="A30" s="3" t="inlineStr">
        <is>
          <t>15-40 Males = sum(15-20, 20-25, 25-30, 30-35, 35-40)</t>
        </is>
      </c>
      <c r="B30" s="3">
        <f>C13</f>
        <v/>
      </c>
      <c r="C30" s="3">
        <f>C8+C9+C10+C11+C12</f>
        <v/>
      </c>
      <c r="D30" s="5">
        <f>IF(B30=C30,"PASS","FAIL")</f>
        <v/>
      </c>
    </row>
    <row r="31">
      <c r="A31" s="3" t="inlineStr">
        <is>
          <t>15-40 Females = sum(15-20, 20-25, 25-30, 30-35, 35-40)</t>
        </is>
      </c>
      <c r="B31" s="3">
        <f>D13</f>
        <v/>
      </c>
      <c r="C31" s="3">
        <f>D8+D9+D10+D11+D12</f>
        <v/>
      </c>
      <c r="D31" s="5">
        <f>IF(B31=C31,"PASS","FAIL")</f>
        <v/>
      </c>
    </row>
    <row r="32">
      <c r="A32" s="3" t="inlineStr">
        <is>
          <t>40-60 Persons = sum(40-45, 45-50, 50-55, 55-60)</t>
        </is>
      </c>
      <c r="B32" s="3">
        <f>B18</f>
        <v/>
      </c>
      <c r="C32" s="3">
        <f>B14+B15+B16+B17</f>
        <v/>
      </c>
      <c r="D32" s="5">
        <f>IF(B32=C32,"PASS","FAIL")</f>
        <v/>
      </c>
    </row>
    <row r="33">
      <c r="A33" s="3" t="inlineStr">
        <is>
          <t>40-60 Males = sum(40-45, 45-50, 50-55, 55-60)</t>
        </is>
      </c>
      <c r="B33" s="3">
        <f>C18</f>
        <v/>
      </c>
      <c r="C33" s="3">
        <f>C14+C15+C16+C17</f>
        <v/>
      </c>
      <c r="D33" s="5">
        <f>IF(B33=C33,"PASS","FAIL")</f>
        <v/>
      </c>
    </row>
    <row r="34">
      <c r="A34" s="3" t="inlineStr">
        <is>
          <t>40-60 Females = sum(40-45, 45-50, 50-55, 55-60)</t>
        </is>
      </c>
      <c r="B34" s="3">
        <f>D18</f>
        <v/>
      </c>
      <c r="C34" s="3">
        <f>D14+D15+D16+D17</f>
        <v/>
      </c>
      <c r="D34" s="5">
        <f>IF(B34=C34,"PASS","FAIL")</f>
        <v/>
      </c>
    </row>
    <row r="35">
      <c r="A35" s="3" t="inlineStr">
        <is>
          <t>total Persons = sum(0-15, 15-40, 40-60, 60andover, notstated)</t>
        </is>
      </c>
      <c r="B35" s="3">
        <f>B21</f>
        <v/>
      </c>
      <c r="C35" s="3">
        <f>B7+B13+B18+B19+B20</f>
        <v/>
      </c>
      <c r="D35" s="5">
        <f>IF(B35=C35,"PASS","FAIL")</f>
        <v/>
      </c>
    </row>
    <row r="36">
      <c r="A36" s="3" t="inlineStr">
        <is>
          <t>total Males = sum(0-15, 15-40, 40-60, 60andover, notstated)</t>
        </is>
      </c>
      <c r="B36" s="3">
        <f>C21</f>
        <v/>
      </c>
      <c r="C36" s="3">
        <f>C7+C13+C18+C19+C20</f>
        <v/>
      </c>
      <c r="D36" s="5">
        <f>IF(B36=C36,"PASS","FAIL")</f>
        <v/>
      </c>
    </row>
    <row r="37">
      <c r="A37" s="3" t="inlineStr">
        <is>
          <t>total Females = sum(0-15, 15-40, 40-60, 60andover, notstated)</t>
        </is>
      </c>
      <c r="B37" s="3">
        <f>D21</f>
        <v/>
      </c>
      <c r="C37" s="3">
        <f>D7+D13+D18+D19+D20</f>
        <v/>
      </c>
      <c r="D37" s="5">
        <f>IF(B37=C37,"PASS","FAIL")</f>
        <v/>
      </c>
    </row>
    <row r="39">
      <c r="A39" s="3" t="inlineStr">
        <is>
          <t>Known: total males = 10000</t>
        </is>
      </c>
      <c r="B39" s="3">
        <f>C21</f>
        <v/>
      </c>
      <c r="C39" s="3" t="n">
        <v>10000</v>
      </c>
      <c r="D39" s="5">
        <f>IF(B39=C39,"PASS","FAIL")</f>
        <v/>
      </c>
    </row>
    <row r="40">
      <c r="A40" s="3" t="inlineStr">
        <is>
          <t>Known: total females = 10000</t>
        </is>
      </c>
      <c r="B40" s="3">
        <f>D21</f>
        <v/>
      </c>
      <c r="C40" s="3" t="n">
        <v>10000</v>
      </c>
      <c r="D40" s="5">
        <f>IF(B40=C40,"PASS","FAIL")</f>
        <v/>
      </c>
    </row>
    <row r="41">
      <c r="A41" s="3" t="inlineStr">
        <is>
          <t>Known: total persons = 10000</t>
        </is>
      </c>
      <c r="B41" s="3">
        <f>B21</f>
        <v/>
      </c>
      <c r="C41" s="3" t="n">
        <v>10000</v>
      </c>
      <c r="D41" s="5">
        <f>IF(B41=C41,"PASS","FAIL")</f>
        <v/>
      </c>
    </row>
  </sheetData>
  <mergeCells count="1">
    <mergeCell ref="A1:F1"/>
  </mergeCells>
  <conditionalFormatting sqref="E4:E22">
    <cfRule type="cellIs" priority="1" operator="equal" dxfId="0">
      <formula>"PASS"</formula>
    </cfRule>
    <cfRule type="cellIs" priority="2" operator="equal" dxfId="1">
      <formula>"FAIL"</formula>
    </cfRule>
  </conditionalFormatting>
  <conditionalFormatting sqref="D25:D41">
    <cfRule type="cellIs" priority="3" operator="equal" dxfId="0">
      <formula>"PASS"</formula>
    </cfRule>
    <cfRule type="cellIs" priority="4" operator="equal" dxfId="1">
      <formula>"FAIL"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2026-02-24T05:56:05Z</dcterms:created>
  <dcterms:modified xmlns:dcterms="http://purl.org/dc/terms/" xmlns:xsi="http://www.w3.org/2001/XMLSchema-instance" xsi:type="dcterms:W3CDTF">2026-02-24T05:56:05Z</dcterms:modified>
</cp:coreProperties>
</file>