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tern Di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1" pivotButton="0" quotePrefix="0" xfId="0"/>
    <xf numFmtId="3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Eastern Division</t>
        </is>
      </c>
    </row>
    <row r="3">
      <c r="A3" s="2" t="inlineStr">
        <is>
          <t>Age Group</t>
        </is>
      </c>
      <c r="B3" s="2" t="inlineStr">
        <is>
          <t>Persons</t>
        </is>
      </c>
      <c r="C3" s="2" t="inlineStr">
        <is>
          <t>Males</t>
        </is>
      </c>
      <c r="D3" s="2" t="inlineStr">
        <is>
          <t>Females</t>
        </is>
      </c>
      <c r="E3" s="2" t="inlineStr">
        <is>
          <t>P = M+F</t>
        </is>
      </c>
      <c r="F3" s="2" t="inlineStr">
        <is>
          <t>Status</t>
        </is>
      </c>
    </row>
    <row r="4">
      <c r="A4" s="3" t="inlineStr">
        <is>
          <t>0-1</t>
        </is>
      </c>
      <c r="B4" s="4" t="n">
        <v>32217</v>
      </c>
      <c r="C4" s="4" t="n">
        <v>14919</v>
      </c>
      <c r="D4" s="4" t="n">
        <v>17298</v>
      </c>
      <c r="E4" s="5">
        <f>IF(B4=C4+D4,"PASS","FAIL")</f>
        <v/>
      </c>
      <c r="F4" s="3" t="inlineStr">
        <is>
          <t>locked</t>
        </is>
      </c>
    </row>
    <row r="5">
      <c r="A5" s="3" t="inlineStr">
        <is>
          <t>1-2</t>
        </is>
      </c>
      <c r="B5" s="4" t="n">
        <v>30401</v>
      </c>
      <c r="C5" s="4" t="n">
        <v>14637</v>
      </c>
      <c r="D5" s="4" t="n">
        <v>15764</v>
      </c>
      <c r="E5" s="5">
        <f>IF(B5=C5+D5,"PASS","FAIL")</f>
        <v/>
      </c>
      <c r="F5" s="3" t="inlineStr">
        <is>
          <t>locked</t>
        </is>
      </c>
    </row>
    <row r="6">
      <c r="A6" s="3" t="inlineStr">
        <is>
          <t>2-3</t>
        </is>
      </c>
      <c r="B6" s="4" t="n">
        <v>34733</v>
      </c>
      <c r="C6" s="4" t="n">
        <v>16711</v>
      </c>
      <c r="D6" s="4" t="n">
        <v>18022</v>
      </c>
      <c r="E6" s="5">
        <f>IF(B6=C6+D6,"PASS","FAIL")</f>
        <v/>
      </c>
      <c r="F6" s="3" t="inlineStr">
        <is>
          <t>locked</t>
        </is>
      </c>
    </row>
    <row r="7">
      <c r="A7" s="3" t="inlineStr">
        <is>
          <t>3-4</t>
        </is>
      </c>
      <c r="B7" s="4" t="n">
        <v>38158</v>
      </c>
      <c r="C7" s="4" t="n">
        <v>18347</v>
      </c>
      <c r="D7" s="4" t="n">
        <v>19811</v>
      </c>
      <c r="E7" s="5">
        <f>IF(B7=C7+D7,"PASS","FAIL")</f>
        <v/>
      </c>
      <c r="F7" s="3" t="inlineStr">
        <is>
          <t>locked</t>
        </is>
      </c>
    </row>
    <row r="8">
      <c r="A8" s="3" t="inlineStr">
        <is>
          <t>4-5</t>
        </is>
      </c>
      <c r="B8" s="4" t="n">
        <v>34000</v>
      </c>
      <c r="C8" s="4" t="n">
        <v>16610</v>
      </c>
      <c r="D8" s="4" t="n">
        <v>17390</v>
      </c>
      <c r="E8" s="5">
        <f>IF(B8=C8+D8,"PASS","FAIL")</f>
        <v/>
      </c>
      <c r="F8" s="3" t="inlineStr">
        <is>
          <t>locked</t>
        </is>
      </c>
    </row>
    <row r="9">
      <c r="A9" s="6" t="inlineStr">
        <is>
          <t>Total 0-5</t>
        </is>
      </c>
      <c r="B9" s="7" t="n">
        <v>169509</v>
      </c>
      <c r="C9" s="7" t="n">
        <v>81224</v>
      </c>
      <c r="D9" s="7" t="n">
        <v>88285</v>
      </c>
      <c r="E9" s="8">
        <f>IF(B9=C9+D9,"PASS","FAIL")</f>
        <v/>
      </c>
      <c r="F9" s="6" t="inlineStr">
        <is>
          <t>locked</t>
        </is>
      </c>
    </row>
    <row r="10">
      <c r="A10" s="3" t="inlineStr">
        <is>
          <t>5-10</t>
        </is>
      </c>
      <c r="B10" s="4" t="n">
        <v>166745</v>
      </c>
      <c r="C10" s="4" t="n">
        <v>83669</v>
      </c>
      <c r="D10" s="4" t="n">
        <v>83076</v>
      </c>
      <c r="E10" s="5">
        <f>IF(B10=C10+D10,"PASS","FAIL")</f>
        <v/>
      </c>
      <c r="F10" s="3" t="inlineStr">
        <is>
          <t>locked</t>
        </is>
      </c>
    </row>
    <row r="11">
      <c r="A11" s="3" t="inlineStr">
        <is>
          <t>10-15</t>
        </is>
      </c>
      <c r="B11" s="4" t="n">
        <v>150630</v>
      </c>
      <c r="C11" s="4" t="n">
        <v>79166</v>
      </c>
      <c r="D11" s="4" t="n">
        <v>71464</v>
      </c>
      <c r="E11" s="5">
        <f>IF(B11=C11+D11,"PASS","FAIL")</f>
        <v/>
      </c>
      <c r="F11" s="3" t="inlineStr">
        <is>
          <t>locked</t>
        </is>
      </c>
    </row>
    <row r="12">
      <c r="A12" s="3" t="inlineStr">
        <is>
          <t>15-20</t>
        </is>
      </c>
      <c r="B12" s="4" t="n">
        <v>116595</v>
      </c>
      <c r="C12" s="4" t="n">
        <v>57993</v>
      </c>
      <c r="D12" s="4" t="n">
        <v>58602</v>
      </c>
      <c r="E12" s="5">
        <f>IF(B12=C12+D12,"PASS","FAIL")</f>
        <v/>
      </c>
      <c r="F12" s="3" t="inlineStr">
        <is>
          <t>locked</t>
        </is>
      </c>
    </row>
    <row r="13">
      <c r="A13" s="3" t="inlineStr">
        <is>
          <t>20-25</t>
        </is>
      </c>
      <c r="B13" s="4" t="n">
        <v>111950</v>
      </c>
      <c r="C13" s="4" t="n">
        <v>53002</v>
      </c>
      <c r="D13" s="4" t="n">
        <v>58948</v>
      </c>
      <c r="E13" s="5">
        <f>IF(B13=C13+D13,"PASS","FAIL")</f>
        <v/>
      </c>
      <c r="F13" s="3" t="inlineStr">
        <is>
          <t>M:deduced</t>
        </is>
      </c>
    </row>
    <row r="14">
      <c r="A14" s="3" t="inlineStr">
        <is>
          <t>25-30</t>
        </is>
      </c>
      <c r="B14" s="4" t="n">
        <v>120076</v>
      </c>
      <c r="C14" s="4" t="n">
        <v>59814</v>
      </c>
      <c r="D14" s="4" t="n">
        <v>60262</v>
      </c>
      <c r="E14" s="5">
        <f>IF(B14=C14+D14,"PASS","FAIL")</f>
        <v/>
      </c>
      <c r="F14" s="3" t="inlineStr">
        <is>
          <t>locked</t>
        </is>
      </c>
    </row>
    <row r="15">
      <c r="A15" s="3" t="inlineStr">
        <is>
          <t>30-35</t>
        </is>
      </c>
      <c r="B15" s="4" t="n">
        <v>95124</v>
      </c>
      <c r="C15" s="4" t="n">
        <v>49257</v>
      </c>
      <c r="D15" s="4" t="n">
        <v>45867</v>
      </c>
      <c r="E15" s="5">
        <f>IF(B15=C15+D15,"PASS","FAIL")</f>
        <v/>
      </c>
      <c r="F15" s="3" t="inlineStr">
        <is>
          <t>F:deduced</t>
        </is>
      </c>
    </row>
    <row r="16">
      <c r="A16" s="3" t="inlineStr">
        <is>
          <t>35-40</t>
        </is>
      </c>
      <c r="B16" s="4" t="n">
        <v>85869</v>
      </c>
      <c r="C16" s="4" t="n">
        <v>47873</v>
      </c>
      <c r="D16" s="4" t="n">
        <v>37996</v>
      </c>
      <c r="E16" s="5">
        <f>IF(B16=C16+D16,"PASS","FAIL")</f>
        <v/>
      </c>
      <c r="F16" s="3" t="inlineStr">
        <is>
          <t>locked</t>
        </is>
      </c>
    </row>
    <row r="17">
      <c r="A17" s="3" t="inlineStr">
        <is>
          <t>40-45</t>
        </is>
      </c>
      <c r="B17" s="4" t="n">
        <v>66459</v>
      </c>
      <c r="C17" s="4" t="n">
        <v>36018</v>
      </c>
      <c r="D17" s="4" t="n">
        <v>30441</v>
      </c>
      <c r="E17" s="5">
        <f>IF(B17=C17+D17,"PASS","FAIL")</f>
        <v/>
      </c>
      <c r="F17" s="3" t="inlineStr">
        <is>
          <t>locked</t>
        </is>
      </c>
    </row>
    <row r="18">
      <c r="A18" s="3" t="inlineStr">
        <is>
          <t>45-50</t>
        </is>
      </c>
      <c r="B18" s="4" t="n">
        <v>53330</v>
      </c>
      <c r="C18" s="4" t="n">
        <v>29353</v>
      </c>
      <c r="D18" s="4" t="n">
        <v>23977</v>
      </c>
      <c r="E18" s="5">
        <f>IF(B18=C18+D18,"PASS","FAIL")</f>
        <v/>
      </c>
      <c r="F18" s="3" t="inlineStr">
        <is>
          <t>locked</t>
        </is>
      </c>
    </row>
    <row r="19">
      <c r="A19" s="3" t="inlineStr">
        <is>
          <t>50-55</t>
        </is>
      </c>
      <c r="B19" s="4" t="n">
        <v>45019</v>
      </c>
      <c r="C19" s="4" t="n">
        <v>23755</v>
      </c>
      <c r="D19" s="4" t="n">
        <v>21264</v>
      </c>
      <c r="E19" s="5">
        <f>IF(B19=C19+D19,"PASS","FAIL")</f>
        <v/>
      </c>
      <c r="F19" s="3" t="inlineStr">
        <is>
          <t>locked</t>
        </is>
      </c>
    </row>
    <row r="20">
      <c r="A20" s="3" t="inlineStr">
        <is>
          <t>55-60</t>
        </is>
      </c>
      <c r="B20" s="4" t="n">
        <v>26926</v>
      </c>
      <c r="C20" s="4" t="n">
        <v>14278</v>
      </c>
      <c r="D20" s="4" t="n">
        <v>12648</v>
      </c>
      <c r="E20" s="5">
        <f>IF(B20=C20+D20,"PASS","FAIL")</f>
        <v/>
      </c>
      <c r="F20" s="3" t="inlineStr">
        <is>
          <t>locked</t>
        </is>
      </c>
    </row>
    <row r="21">
      <c r="A21" s="3" t="inlineStr">
        <is>
          <t>60 and over</t>
        </is>
      </c>
      <c r="B21" s="4" t="n">
        <v>53324</v>
      </c>
      <c r="C21" s="4" t="n">
        <v>25693</v>
      </c>
      <c r="D21" s="4" t="n">
        <v>27631</v>
      </c>
      <c r="E21" s="5">
        <f>IF(B21=C21+D21,"PASS","FAIL")</f>
        <v/>
      </c>
      <c r="F21" s="3" t="inlineStr">
        <is>
          <t>M:deduced</t>
        </is>
      </c>
    </row>
    <row r="22">
      <c r="A22" s="9" t="inlineStr">
        <is>
          <t>Total</t>
        </is>
      </c>
      <c r="B22" s="10" t="n">
        <v>1261556</v>
      </c>
      <c r="C22" s="10" t="n">
        <v>641095</v>
      </c>
      <c r="D22" s="10" t="n">
        <v>620461</v>
      </c>
      <c r="E22" s="11">
        <f>IF(B22=C22+D22,"PASS","FAIL")</f>
        <v/>
      </c>
      <c r="F22" s="9" t="inlineStr">
        <is>
          <t>P:deduced</t>
        </is>
      </c>
    </row>
    <row r="24">
      <c r="A24" s="12" t="inlineStr">
        <is>
          <t>Constraint Verification</t>
        </is>
      </c>
    </row>
    <row r="25">
      <c r="A25" s="13" t="inlineStr">
        <is>
          <t>Constraint</t>
        </is>
      </c>
      <c r="B25" s="13" t="inlineStr">
        <is>
          <t>Expected (Subtotal)</t>
        </is>
      </c>
      <c r="C25" s="13" t="inlineStr">
        <is>
          <t>Computed (Sum)</t>
        </is>
      </c>
      <c r="D25" s="13" t="inlineStr">
        <is>
          <t>Check</t>
        </is>
      </c>
    </row>
    <row r="26">
      <c r="A26" s="3" t="inlineStr">
        <is>
          <t>0-5 Persons = sum(0-1, 1-2, 2-3, 3-4, 4-5)</t>
        </is>
      </c>
      <c r="B26" s="3">
        <f>B9</f>
        <v/>
      </c>
      <c r="C26" s="3">
        <f>B4+B5+B6+B7+B8</f>
        <v/>
      </c>
      <c r="D26" s="5">
        <f>IF(B26=C26,"PASS","FAIL")</f>
        <v/>
      </c>
    </row>
    <row r="27">
      <c r="A27" s="3" t="inlineStr">
        <is>
          <t>0-5 Males = sum(0-1, 1-2, 2-3, 3-4, 4-5)</t>
        </is>
      </c>
      <c r="B27" s="3">
        <f>C9</f>
        <v/>
      </c>
      <c r="C27" s="3">
        <f>C4+C5+C6+C7+C8</f>
        <v/>
      </c>
      <c r="D27" s="5">
        <f>IF(B27=C27,"PASS","FAIL")</f>
        <v/>
      </c>
    </row>
    <row r="28">
      <c r="A28" s="3" t="inlineStr">
        <is>
          <t>0-5 Females = sum(0-1, 1-2, 2-3, 3-4, 4-5)</t>
        </is>
      </c>
      <c r="B28" s="3">
        <f>D9</f>
        <v/>
      </c>
      <c r="C28" s="3">
        <f>D4+D5+D6+D7+D8</f>
        <v/>
      </c>
      <c r="D28" s="5">
        <f>IF(B28=C28,"PASS","FAIL")</f>
        <v/>
      </c>
    </row>
    <row r="29">
      <c r="A29" s="3" t="inlineStr">
        <is>
          <t>total Persons = sum(0-5, 5-10, 10-15, 15-20, 20-25, 25-30, 30-35, 35-40, 40-45, 45-50, 50-55, 55-60, 60andover)</t>
        </is>
      </c>
      <c r="B29" s="3">
        <f>B22</f>
        <v/>
      </c>
      <c r="C29" s="3">
        <f>B9+B10+B11+B12+B13+B14+B15+B16+B17+B18+B19+B20+B21</f>
        <v/>
      </c>
      <c r="D29" s="5">
        <f>IF(B29=C29,"PASS","FAIL")</f>
        <v/>
      </c>
    </row>
    <row r="30">
      <c r="A30" s="3" t="inlineStr">
        <is>
          <t>total Males = sum(0-5, 5-10, 10-15, 15-20, 20-25, 25-30, 30-35, 35-40, 40-45, 45-50, 50-55, 55-60, 60andover)</t>
        </is>
      </c>
      <c r="B30" s="3">
        <f>C22</f>
        <v/>
      </c>
      <c r="C30" s="3">
        <f>C9+C10+C11+C12+C13+C14+C15+C16+C17+C18+C19+C20+C21</f>
        <v/>
      </c>
      <c r="D30" s="5">
        <f>IF(B30=C30,"PASS","FAIL")</f>
        <v/>
      </c>
    </row>
    <row r="31">
      <c r="A31" s="3" t="inlineStr">
        <is>
          <t>total Females = sum(0-5, 5-10, 10-15, 15-20, 20-25, 25-30, 30-35, 35-40, 40-45, 45-50, 50-55, 55-60, 60andover)</t>
        </is>
      </c>
      <c r="B31" s="3">
        <f>D22</f>
        <v/>
      </c>
      <c r="C31" s="3">
        <f>D9+D10+D11+D12+D13+D14+D15+D16+D17+D18+D19+D20+D21</f>
        <v/>
      </c>
      <c r="D31" s="5">
        <f>IF(B31=C31,"PASS","FAIL")</f>
        <v/>
      </c>
    </row>
  </sheetData>
  <mergeCells count="1">
    <mergeCell ref="A1:F1"/>
  </mergeCells>
  <conditionalFormatting sqref="E4:E22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D25:D31">
    <cfRule type="cellIs" priority="3" operator="equal" dxfId="0">
      <formula>"PASS"</formula>
    </cfRule>
    <cfRule type="cellIs" priority="4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2026-02-24T13:46:32Z</dcterms:created>
  <dcterms:modified xmlns:dcterms="http://purl.org/dc/terms/" xmlns:xsi="http://www.w3.org/2001/XMLSchema-instance" xsi:type="dcterms:W3CDTF">2026-02-24T13:46:32Z</dcterms:modified>
</cp:coreProperties>
</file>