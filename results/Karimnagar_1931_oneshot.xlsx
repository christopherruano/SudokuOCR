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" sheetId="2" state="visible" r:id="rId2"/>
    <sheet xmlns:r="http://schemas.openxmlformats.org/officeDocument/2006/relationships" name="Hindu (Brahmanic)" sheetId="3" state="visible" r:id="rId3"/>
    <sheet xmlns:r="http://schemas.openxmlformats.org/officeDocument/2006/relationships" name="Adi Hind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Karimnagar</t>
        </is>
      </c>
    </row>
    <row r="2">
      <c r="A2" s="2" t="inlineStr">
        <is>
          <t>Source: TABLE VII. Age, Sex and Civil Condition Part II.-Districts.</t>
        </is>
      </c>
    </row>
    <row r="3">
      <c r="A3" s="3" t="inlineStr">
        <is>
          <t>All Religions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2482810</v>
      </c>
      <c r="C6" s="17" t="n">
        <v>1268832</v>
      </c>
      <c r="D6" s="17" t="n">
        <v>1213978</v>
      </c>
      <c r="E6" s="17" t="n">
        <v>901166</v>
      </c>
      <c r="F6" s="17" t="n">
        <v>551714</v>
      </c>
      <c r="G6" s="17" t="n">
        <v>349452</v>
      </c>
      <c r="H6" s="17" t="n">
        <v>1334828</v>
      </c>
      <c r="I6" s="17" t="n">
        <v>666946</v>
      </c>
      <c r="J6" s="17" t="n">
        <v>667882</v>
      </c>
      <c r="K6" s="17" t="n">
        <v>246816</v>
      </c>
      <c r="L6" s="17" t="n">
        <v>50172</v>
      </c>
      <c r="M6" s="17" t="n">
        <v>196644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0-1</t>
        </is>
      </c>
      <c r="B7" s="20" t="n">
        <v>36583</v>
      </c>
      <c r="C7" s="20" t="n">
        <v>17403</v>
      </c>
      <c r="D7" s="20" t="n">
        <v>19180</v>
      </c>
      <c r="E7" s="20" t="n">
        <v>36536</v>
      </c>
      <c r="F7" s="20" t="n">
        <v>17395</v>
      </c>
      <c r="G7" s="20" t="n">
        <v>19141</v>
      </c>
      <c r="H7" s="20" t="n">
        <v>47</v>
      </c>
      <c r="I7" s="20" t="n">
        <v>8</v>
      </c>
      <c r="J7" s="20" t="n">
        <v>39</v>
      </c>
      <c r="K7" s="20" t="n">
        <v>0</v>
      </c>
      <c r="L7" s="20" t="n">
        <v>0</v>
      </c>
      <c r="M7" s="20" t="n">
        <v>0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1-5</t>
        </is>
      </c>
      <c r="B8" s="23" t="n">
        <v>187028</v>
      </c>
      <c r="C8" s="23" t="n">
        <v>82605</v>
      </c>
      <c r="D8" s="23" t="n">
        <v>104423</v>
      </c>
      <c r="E8" s="23" t="n">
        <v>181615</v>
      </c>
      <c r="F8" s="23" t="n">
        <v>80907</v>
      </c>
      <c r="G8" s="23" t="n">
        <v>100708</v>
      </c>
      <c r="H8" s="23" t="n">
        <v>5235</v>
      </c>
      <c r="I8" s="23" t="n">
        <v>1677</v>
      </c>
      <c r="J8" s="23" t="n">
        <v>3558</v>
      </c>
      <c r="K8" s="23" t="n">
        <v>178</v>
      </c>
      <c r="L8" s="23" t="n">
        <v>21</v>
      </c>
      <c r="M8" s="23" t="n">
        <v>157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5-10</t>
        </is>
      </c>
      <c r="B9" s="20" t="n">
        <v>137284</v>
      </c>
      <c r="C9" s="20" t="n">
        <v>82321</v>
      </c>
      <c r="D9" s="20" t="n">
        <v>54963</v>
      </c>
      <c r="E9" s="20" t="n">
        <v>102371</v>
      </c>
      <c r="F9" s="20" t="n">
        <v>74871</v>
      </c>
      <c r="G9" s="20" t="n">
        <v>27500</v>
      </c>
      <c r="H9" s="20" t="n">
        <v>34283</v>
      </c>
      <c r="I9" s="20" t="n">
        <v>7351</v>
      </c>
      <c r="J9" s="20" t="n">
        <v>26932</v>
      </c>
      <c r="K9" s="20" t="n">
        <v>630</v>
      </c>
      <c r="L9" s="20" t="n">
        <v>99</v>
      </c>
      <c r="M9" s="20" t="n">
        <v>531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10-15</t>
        </is>
      </c>
      <c r="B10" s="23" t="n">
        <v>138056</v>
      </c>
      <c r="C10" s="23" t="n">
        <v>74026</v>
      </c>
      <c r="D10" s="23" t="n">
        <v>64030</v>
      </c>
      <c r="E10" s="23" t="n">
        <v>79020</v>
      </c>
      <c r="F10" s="23" t="n">
        <v>58903</v>
      </c>
      <c r="G10" s="23" t="n">
        <v>20117</v>
      </c>
      <c r="H10" s="23" t="n">
        <v>57356</v>
      </c>
      <c r="I10" s="23" t="n">
        <v>14893</v>
      </c>
      <c r="J10" s="23" t="n">
        <v>42463</v>
      </c>
      <c r="K10" s="23" t="n">
        <v>1680</v>
      </c>
      <c r="L10" s="23" t="n">
        <v>230</v>
      </c>
      <c r="M10" s="23" t="n">
        <v>1450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15-20</t>
        </is>
      </c>
      <c r="B11" s="20" t="n">
        <v>117634</v>
      </c>
      <c r="C11" s="20" t="n">
        <v>58380</v>
      </c>
      <c r="D11" s="20" t="n">
        <v>59254</v>
      </c>
      <c r="E11" s="20" t="n">
        <v>26300</v>
      </c>
      <c r="F11" s="20" t="n">
        <v>23435</v>
      </c>
      <c r="G11" s="20" t="n">
        <v>2865</v>
      </c>
      <c r="H11" s="20" t="n">
        <v>87993</v>
      </c>
      <c r="I11" s="20" t="n">
        <v>34474</v>
      </c>
      <c r="J11" s="20" t="n">
        <v>53519</v>
      </c>
      <c r="K11" s="20" t="n">
        <v>3341</v>
      </c>
      <c r="L11" s="20" t="n">
        <v>471</v>
      </c>
      <c r="M11" s="20" t="n">
        <v>2870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20-30</t>
        </is>
      </c>
      <c r="B12" s="23" t="n">
        <v>228288</v>
      </c>
      <c r="C12" s="23" t="n">
        <v>113097</v>
      </c>
      <c r="D12" s="23" t="n">
        <v>115191</v>
      </c>
      <c r="E12" s="23" t="n">
        <v>18192</v>
      </c>
      <c r="F12" s="23" t="n">
        <v>16430</v>
      </c>
      <c r="G12" s="23" t="n">
        <v>1762</v>
      </c>
      <c r="H12" s="23" t="n">
        <v>198504</v>
      </c>
      <c r="I12" s="23" t="n">
        <v>94881</v>
      </c>
      <c r="J12" s="23" t="n">
        <v>103623</v>
      </c>
      <c r="K12" s="23" t="n">
        <v>11592</v>
      </c>
      <c r="L12" s="23" t="n">
        <v>1786</v>
      </c>
      <c r="M12" s="23" t="n">
        <v>9806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30-40</t>
        </is>
      </c>
      <c r="B13" s="20" t="n">
        <v>162694</v>
      </c>
      <c r="C13" s="20" t="n">
        <v>84416</v>
      </c>
      <c r="D13" s="20" t="n">
        <v>78278</v>
      </c>
      <c r="E13" s="20" t="n">
        <v>2679</v>
      </c>
      <c r="F13" s="20" t="n">
        <v>1802</v>
      </c>
      <c r="G13" s="20" t="n">
        <v>877</v>
      </c>
      <c r="H13" s="20" t="n">
        <v>138338</v>
      </c>
      <c r="I13" s="20" t="n">
        <v>78950</v>
      </c>
      <c r="J13" s="20" t="n">
        <v>59388</v>
      </c>
      <c r="K13" s="20" t="n">
        <v>21677</v>
      </c>
      <c r="L13" s="20" t="n">
        <v>3664</v>
      </c>
      <c r="M13" s="20" t="n">
        <v>18013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40-50</t>
        </is>
      </c>
      <c r="B14" s="23" t="n">
        <v>115788</v>
      </c>
      <c r="C14" s="23" t="n">
        <v>61414</v>
      </c>
      <c r="D14" s="23" t="n">
        <v>54374</v>
      </c>
      <c r="E14" s="23" t="n">
        <v>1705</v>
      </c>
      <c r="F14" s="23" t="n">
        <v>994</v>
      </c>
      <c r="G14" s="23" t="n">
        <v>711</v>
      </c>
      <c r="H14" s="23" t="n">
        <v>83812</v>
      </c>
      <c r="I14" s="23" t="n">
        <v>54525</v>
      </c>
      <c r="J14" s="23" t="n">
        <v>29287</v>
      </c>
      <c r="K14" s="23" t="n">
        <v>30271</v>
      </c>
      <c r="L14" s="23" t="n">
        <v>5895</v>
      </c>
      <c r="M14" s="23" t="n">
        <v>24376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50-60</t>
        </is>
      </c>
      <c r="B15" s="20" t="n">
        <v>68650</v>
      </c>
      <c r="C15" s="20" t="n">
        <v>35985</v>
      </c>
      <c r="D15" s="20" t="n">
        <v>32665</v>
      </c>
      <c r="E15" s="20" t="n">
        <v>1066</v>
      </c>
      <c r="F15" s="20" t="n">
        <v>505</v>
      </c>
      <c r="G15" s="20" t="n">
        <v>561</v>
      </c>
      <c r="H15" s="20" t="n">
        <v>40116</v>
      </c>
      <c r="I15" s="20" t="n">
        <v>29266</v>
      </c>
      <c r="J15" s="20" t="n">
        <v>10850</v>
      </c>
      <c r="K15" s="20" t="n">
        <v>27468</v>
      </c>
      <c r="L15" s="20" t="n">
        <v>6214</v>
      </c>
      <c r="M15" s="20" t="n">
        <v>21254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60 and over</t>
        </is>
      </c>
      <c r="B16" s="23" t="n">
        <v>49400</v>
      </c>
      <c r="C16" s="23" t="n">
        <v>24769</v>
      </c>
      <c r="D16" s="23" t="n">
        <v>24631</v>
      </c>
      <c r="E16" s="23" t="n">
        <v>1099</v>
      </c>
      <c r="F16" s="23" t="n">
        <v>615</v>
      </c>
      <c r="G16" s="23" t="n">
        <v>484</v>
      </c>
      <c r="H16" s="23" t="n">
        <v>21730</v>
      </c>
      <c r="I16" s="23" t="n">
        <v>17448</v>
      </c>
      <c r="J16" s="23" t="n">
        <v>4282</v>
      </c>
      <c r="K16" s="23" t="n">
        <v>26571</v>
      </c>
      <c r="L16" s="23" t="n">
        <v>6706</v>
      </c>
      <c r="M16" s="23" t="n">
        <v>19865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Total</t>
        </is>
      </c>
      <c r="B17" s="20" t="n">
        <v>1241405</v>
      </c>
      <c r="C17" s="20" t="n">
        <v>634416</v>
      </c>
      <c r="D17" s="20" t="n">
        <v>606989</v>
      </c>
      <c r="E17" s="20" t="n">
        <v>450583</v>
      </c>
      <c r="F17" s="20" t="n">
        <v>275857</v>
      </c>
      <c r="G17" s="20" t="n">
        <v>174726</v>
      </c>
      <c r="H17" s="20" t="n">
        <v>667414</v>
      </c>
      <c r="I17" s="20" t="n">
        <v>333473</v>
      </c>
      <c r="J17" s="20" t="n">
        <v>333941</v>
      </c>
      <c r="K17" s="20" t="n">
        <v>123408</v>
      </c>
      <c r="L17" s="20" t="n">
        <v>25086</v>
      </c>
      <c r="M17" s="20" t="n">
        <v>98322</v>
      </c>
      <c r="N17" s="21">
        <f>IF(B17=E17+H17+K17,"✓",B17-(E17+H17+K17))</f>
        <v/>
      </c>
      <c r="O17" s="21">
        <f>IF(B17=C17+D17,"✓","✗")</f>
        <v/>
      </c>
    </row>
    <row r="18">
      <c r="A18" s="25" t="inlineStr">
        <is>
          <t>Verify: Sum</t>
        </is>
      </c>
      <c r="B18" s="26">
        <f>IF(SUM(B7:B17)=B6,"✓",SUM(B7:B17)-B6)</f>
        <v/>
      </c>
      <c r="C18" s="26">
        <f>IF(SUM(C7:C17)=C6,"✓",SUM(C7:C17)-C6)</f>
        <v/>
      </c>
      <c r="D18" s="26">
        <f>IF(SUM(D7:D17)=D6,"✓",SUM(D7:D17)-D6)</f>
        <v/>
      </c>
      <c r="E18" s="26">
        <f>IF(SUM(E7:E17)=E6,"✓",SUM(E7:E17)-E6)</f>
        <v/>
      </c>
      <c r="F18" s="26">
        <f>IF(SUM(F7:F17)=F6,"✓",SUM(F7:F17)-F6)</f>
        <v/>
      </c>
      <c r="G18" s="26">
        <f>IF(SUM(G7:G17)=G6,"✓",SUM(G7:G17)-G6)</f>
        <v/>
      </c>
      <c r="H18" s="26">
        <f>IF(SUM(H7:H17)=H6,"✓",SUM(H7:H17)-H6)</f>
        <v/>
      </c>
      <c r="I18" s="26">
        <f>IF(SUM(I7:I17)=I6,"✓",SUM(I7:I17)-I6)</f>
        <v/>
      </c>
      <c r="J18" s="26">
        <f>IF(SUM(J7:J17)=J6,"✓",SUM(J7:J17)-J6)</f>
        <v/>
      </c>
      <c r="K18" s="26">
        <f>IF(SUM(K7:K17)=K6,"✓",SUM(K7:K17)-K6)</f>
        <v/>
      </c>
      <c r="L18" s="26">
        <f>IF(SUM(L7:L17)=L6,"✓",SUM(L7:L17)-L6)</f>
        <v/>
      </c>
      <c r="M18" s="26">
        <f>IF(SUM(M7:M17)=M6,"✓",SUM(M7:M17)-M6)</f>
        <v/>
      </c>
    </row>
    <row r="20">
      <c r="A20" s="3" t="inlineStr">
        <is>
          <t>Hindu (Brahmanic)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Check</t>
        </is>
      </c>
      <c r="O21" s="13" t="inlineStr">
        <is>
          <t>Check</t>
        </is>
      </c>
    </row>
    <row r="22">
      <c r="A22" s="14" t="inlineStr"/>
      <c r="B22" s="15" t="inlineStr">
        <is>
          <t>Persons</t>
        </is>
      </c>
      <c r="C22" s="15" t="inlineStr">
        <is>
          <t>Males</t>
        </is>
      </c>
      <c r="D22" s="15" t="inlineStr">
        <is>
          <t>Females</t>
        </is>
      </c>
      <c r="E22" s="15" t="inlineStr">
        <is>
          <t>Persons</t>
        </is>
      </c>
      <c r="F22" s="15" t="inlineStr">
        <is>
          <t>Males</t>
        </is>
      </c>
      <c r="G22" s="15" t="inlineStr">
        <is>
          <t>Females</t>
        </is>
      </c>
      <c r="H22" s="15" t="inlineStr">
        <is>
          <t>Persons</t>
        </is>
      </c>
      <c r="I22" s="15" t="inlineStr">
        <is>
          <t>Males</t>
        </is>
      </c>
      <c r="J22" s="15" t="inlineStr">
        <is>
          <t>Females</t>
        </is>
      </c>
      <c r="K22" s="15" t="inlineStr">
        <is>
          <t>Persons</t>
        </is>
      </c>
      <c r="L22" s="15" t="inlineStr">
        <is>
          <t>Males</t>
        </is>
      </c>
      <c r="M22" s="15" t="inlineStr">
        <is>
          <t>Females</t>
        </is>
      </c>
      <c r="N22" s="15" t="inlineStr">
        <is>
          <t>P=Sum</t>
        </is>
      </c>
      <c r="O22" s="15" t="inlineStr">
        <is>
          <t>M+F=P</t>
        </is>
      </c>
    </row>
    <row r="23">
      <c r="A23" s="16" t="inlineStr">
        <is>
          <t>Total</t>
        </is>
      </c>
      <c r="B23" s="17" t="n">
        <v>1867054</v>
      </c>
      <c r="C23" s="17" t="n">
        <v>953768</v>
      </c>
      <c r="D23" s="17" t="n">
        <v>913286</v>
      </c>
      <c r="E23" s="17" t="n">
        <v>651238</v>
      </c>
      <c r="F23" s="17" t="n">
        <v>405290</v>
      </c>
      <c r="G23" s="17" t="n">
        <v>245948</v>
      </c>
      <c r="H23" s="17" t="n">
        <v>1018832</v>
      </c>
      <c r="I23" s="17" t="n">
        <v>507716</v>
      </c>
      <c r="J23" s="17" t="n">
        <v>511116</v>
      </c>
      <c r="K23" s="17" t="n">
        <v>196984</v>
      </c>
      <c r="L23" s="17" t="n">
        <v>40762</v>
      </c>
      <c r="M23" s="17" t="n">
        <v>156222</v>
      </c>
      <c r="N23" s="18">
        <f>IF(B23=E23+H23+K23,"✓","✗")</f>
        <v/>
      </c>
      <c r="O23" s="18">
        <f>IF(B23=C23+D23,"✓","✗")</f>
        <v/>
      </c>
    </row>
    <row r="24">
      <c r="A24" s="19" t="inlineStr">
        <is>
          <t>0-1</t>
        </is>
      </c>
      <c r="B24" s="20" t="n">
        <v>26822</v>
      </c>
      <c r="C24" s="20" t="n">
        <v>13033</v>
      </c>
      <c r="D24" s="20" t="n">
        <v>13789</v>
      </c>
      <c r="E24" s="20" t="n">
        <v>26778</v>
      </c>
      <c r="F24" s="20" t="n">
        <v>13025</v>
      </c>
      <c r="G24" s="20" t="n">
        <v>13753</v>
      </c>
      <c r="H24" s="20" t="n">
        <v>44</v>
      </c>
      <c r="I24" s="20" t="n">
        <v>8</v>
      </c>
      <c r="J24" s="20" t="n">
        <v>36</v>
      </c>
      <c r="K24" s="20" t="n">
        <v>0</v>
      </c>
      <c r="L24" s="20" t="n">
        <v>0</v>
      </c>
      <c r="M24" s="20" t="n">
        <v>0</v>
      </c>
      <c r="N24" s="21">
        <f>IF(B24=E24+H24+K24,"✓",B24-(E24+H24+K24))</f>
        <v/>
      </c>
      <c r="O24" s="21">
        <f>IF(B24=C24+D24,"✓","✗")</f>
        <v/>
      </c>
    </row>
    <row r="25">
      <c r="A25" s="22" t="inlineStr">
        <is>
          <t>1-5</t>
        </is>
      </c>
      <c r="B25" s="23" t="n">
        <v>137909</v>
      </c>
      <c r="C25" s="23" t="n">
        <v>57717</v>
      </c>
      <c r="D25" s="23" t="n">
        <v>80192</v>
      </c>
      <c r="E25" s="23" t="n">
        <v>134213</v>
      </c>
      <c r="F25" s="23" t="n">
        <v>56963</v>
      </c>
      <c r="G25" s="23" t="n">
        <v>77250</v>
      </c>
      <c r="H25" s="23" t="n">
        <v>3555</v>
      </c>
      <c r="I25" s="23" t="n">
        <v>741</v>
      </c>
      <c r="J25" s="23" t="n">
        <v>2814</v>
      </c>
      <c r="K25" s="23" t="n">
        <v>141</v>
      </c>
      <c r="L25" s="23" t="n">
        <v>13</v>
      </c>
      <c r="M25" s="23" t="n">
        <v>128</v>
      </c>
      <c r="N25" s="24">
        <f>IF(B25=E25+H25+K25,"✓",B25-(E25+H25+K25))</f>
        <v/>
      </c>
      <c r="O25" s="24">
        <f>IF(B25=C25+D25,"✓","✗")</f>
        <v/>
      </c>
    </row>
    <row r="26">
      <c r="A26" s="19" t="inlineStr">
        <is>
          <t>5-10</t>
        </is>
      </c>
      <c r="B26" s="20" t="n">
        <v>97927</v>
      </c>
      <c r="C26" s="20" t="n">
        <v>61637</v>
      </c>
      <c r="D26" s="20" t="n">
        <v>36290</v>
      </c>
      <c r="E26" s="20" t="n">
        <v>69468</v>
      </c>
      <c r="F26" s="20" t="n">
        <v>55900</v>
      </c>
      <c r="G26" s="20" t="n">
        <v>13568</v>
      </c>
      <c r="H26" s="20" t="n">
        <v>27919</v>
      </c>
      <c r="I26" s="20" t="n">
        <v>5643</v>
      </c>
      <c r="J26" s="20" t="n">
        <v>22276</v>
      </c>
      <c r="K26" s="20" t="n">
        <v>540</v>
      </c>
      <c r="L26" s="20" t="n">
        <v>94</v>
      </c>
      <c r="M26" s="20" t="n">
        <v>446</v>
      </c>
      <c r="N26" s="21">
        <f>IF(B26=E26+H26+K26,"✓",B26-(E26+H26+K26))</f>
        <v/>
      </c>
      <c r="O26" s="21">
        <f>IF(B26=C26+D26,"✓","✗")</f>
        <v/>
      </c>
    </row>
    <row r="27">
      <c r="A27" s="22" t="inlineStr">
        <is>
          <t>10-15</t>
        </is>
      </c>
      <c r="B27" s="23" t="n">
        <v>105062</v>
      </c>
      <c r="C27" s="23" t="n">
        <v>56915</v>
      </c>
      <c r="D27" s="23" t="n">
        <v>48147</v>
      </c>
      <c r="E27" s="23" t="n">
        <v>57409</v>
      </c>
      <c r="F27" s="23" t="n">
        <v>44453</v>
      </c>
      <c r="G27" s="23" t="n">
        <v>12956</v>
      </c>
      <c r="H27" s="23" t="n">
        <v>46119</v>
      </c>
      <c r="I27" s="23" t="n">
        <v>12246</v>
      </c>
      <c r="J27" s="23" t="n">
        <v>33873</v>
      </c>
      <c r="K27" s="23" t="n">
        <v>1534</v>
      </c>
      <c r="L27" s="23" t="n">
        <v>216</v>
      </c>
      <c r="M27" s="23" t="n">
        <v>1318</v>
      </c>
      <c r="N27" s="24">
        <f>IF(B27=E27+H27+K27,"✓",B27-(E27+H27+K27))</f>
        <v/>
      </c>
      <c r="O27" s="24">
        <f>IF(B27=C27+D27,"✓","✗")</f>
        <v/>
      </c>
    </row>
    <row r="28">
      <c r="A28" s="19" t="inlineStr">
        <is>
          <t>15-20</t>
        </is>
      </c>
      <c r="B28" s="20" t="n">
        <v>89703</v>
      </c>
      <c r="C28" s="20" t="n">
        <v>44584</v>
      </c>
      <c r="D28" s="20" t="n">
        <v>45119</v>
      </c>
      <c r="E28" s="20" t="n">
        <v>18635</v>
      </c>
      <c r="F28" s="20" t="n">
        <v>16687</v>
      </c>
      <c r="G28" s="20" t="n">
        <v>1948</v>
      </c>
      <c r="H28" s="20" t="n">
        <v>68139</v>
      </c>
      <c r="I28" s="20" t="n">
        <v>27500</v>
      </c>
      <c r="J28" s="20" t="n">
        <v>40639</v>
      </c>
      <c r="K28" s="20" t="n">
        <v>2929</v>
      </c>
      <c r="L28" s="20" t="n">
        <v>397</v>
      </c>
      <c r="M28" s="20" t="n">
        <v>2532</v>
      </c>
      <c r="N28" s="21">
        <f>IF(B28=E28+H28+K28,"✓",B28-(E28+H28+K28))</f>
        <v/>
      </c>
      <c r="O28" s="21">
        <f>IF(B28=C28+D28,"✓","✗")</f>
        <v/>
      </c>
    </row>
    <row r="29">
      <c r="A29" s="22" t="inlineStr">
        <is>
          <t>20-30</t>
        </is>
      </c>
      <c r="B29" s="23" t="n">
        <v>174430</v>
      </c>
      <c r="C29" s="23" t="n">
        <v>86881</v>
      </c>
      <c r="D29" s="23" t="n">
        <v>87549</v>
      </c>
      <c r="E29" s="23" t="n">
        <v>13643</v>
      </c>
      <c r="F29" s="23" t="n">
        <v>12439</v>
      </c>
      <c r="G29" s="23" t="n">
        <v>1204</v>
      </c>
      <c r="H29" s="23" t="n">
        <v>151320</v>
      </c>
      <c r="I29" s="23" t="n">
        <v>73011</v>
      </c>
      <c r="J29" s="23" t="n">
        <v>78309</v>
      </c>
      <c r="K29" s="23" t="n">
        <v>9467</v>
      </c>
      <c r="L29" s="23" t="n">
        <v>1431</v>
      </c>
      <c r="M29" s="23" t="n">
        <v>8036</v>
      </c>
      <c r="N29" s="24">
        <f>IF(B29=E29+H29+K29,"✓",B29-(E29+H29+K29))</f>
        <v/>
      </c>
      <c r="O29" s="24">
        <f>IF(B29=C29+D29,"✓","✗")</f>
        <v/>
      </c>
    </row>
    <row r="30">
      <c r="A30" s="19" t="inlineStr">
        <is>
          <t>30-40</t>
        </is>
      </c>
      <c r="B30" s="20" t="n">
        <v>122978</v>
      </c>
      <c r="C30" s="20" t="n">
        <v>63824</v>
      </c>
      <c r="D30" s="20" t="n">
        <v>59154</v>
      </c>
      <c r="E30" s="20" t="n">
        <v>2088</v>
      </c>
      <c r="F30" s="20" t="n">
        <v>1395</v>
      </c>
      <c r="G30" s="20" t="n">
        <v>693</v>
      </c>
      <c r="H30" s="20" t="n">
        <v>103743</v>
      </c>
      <c r="I30" s="20" t="n">
        <v>59435</v>
      </c>
      <c r="J30" s="20" t="n">
        <v>44308</v>
      </c>
      <c r="K30" s="20" t="n">
        <v>17147</v>
      </c>
      <c r="L30" s="20" t="n">
        <v>2994</v>
      </c>
      <c r="M30" s="20" t="n">
        <v>14153</v>
      </c>
      <c r="N30" s="21">
        <f>IF(B30=E30+H30+K30,"✓",B30-(E30+H30+K30))</f>
        <v/>
      </c>
      <c r="O30" s="21">
        <f>IF(B30=C30+D30,"✓","✗")</f>
        <v/>
      </c>
    </row>
    <row r="31">
      <c r="A31" s="22" t="inlineStr">
        <is>
          <t>40-50</t>
        </is>
      </c>
      <c r="B31" s="23" t="n">
        <v>86838</v>
      </c>
      <c r="C31" s="23" t="n">
        <v>45297</v>
      </c>
      <c r="D31" s="23" t="n">
        <v>41541</v>
      </c>
      <c r="E31" s="23" t="n">
        <v>1428</v>
      </c>
      <c r="F31" s="23" t="n">
        <v>801</v>
      </c>
      <c r="G31" s="23" t="n">
        <v>627</v>
      </c>
      <c r="H31" s="23" t="n">
        <v>61594</v>
      </c>
      <c r="I31" s="23" t="n">
        <v>39724</v>
      </c>
      <c r="J31" s="23" t="n">
        <v>21870</v>
      </c>
      <c r="K31" s="23" t="n">
        <v>23816</v>
      </c>
      <c r="L31" s="23" t="n">
        <v>4772</v>
      </c>
      <c r="M31" s="23" t="n">
        <v>19044</v>
      </c>
      <c r="N31" s="24">
        <f>IF(B31=E31+H31+K31,"✓",B31-(E31+H31+K31))</f>
        <v/>
      </c>
      <c r="O31" s="24">
        <f>IF(B31=C31+D31,"✓","✗")</f>
        <v/>
      </c>
    </row>
    <row r="32">
      <c r="A32" s="19" t="inlineStr">
        <is>
          <t>50-60</t>
        </is>
      </c>
      <c r="B32" s="20" t="n">
        <v>52997</v>
      </c>
      <c r="C32" s="20" t="n">
        <v>27642</v>
      </c>
      <c r="D32" s="20" t="n">
        <v>25355</v>
      </c>
      <c r="E32" s="20" t="n">
        <v>922</v>
      </c>
      <c r="F32" s="20" t="n">
        <v>410</v>
      </c>
      <c r="G32" s="20" t="n">
        <v>512</v>
      </c>
      <c r="H32" s="20" t="n">
        <v>30425</v>
      </c>
      <c r="I32" s="20" t="n">
        <v>22192</v>
      </c>
      <c r="J32" s="20" t="n">
        <v>8233</v>
      </c>
      <c r="K32" s="20" t="n">
        <v>21650</v>
      </c>
      <c r="L32" s="20" t="n">
        <v>5040</v>
      </c>
      <c r="M32" s="20" t="n">
        <v>16610</v>
      </c>
      <c r="N32" s="21">
        <f>IF(B32=E32+H32+K32,"✓",B32-(E32+H32+K32))</f>
        <v/>
      </c>
      <c r="O32" s="21">
        <f>IF(B32=C32+D32,"✓","✗")</f>
        <v/>
      </c>
    </row>
    <row r="33">
      <c r="A33" s="22" t="inlineStr">
        <is>
          <t>60 and over</t>
        </is>
      </c>
      <c r="B33" s="23" t="n">
        <v>38861</v>
      </c>
      <c r="C33" s="23" t="n">
        <v>19354</v>
      </c>
      <c r="D33" s="23" t="n">
        <v>19507</v>
      </c>
      <c r="E33" s="23" t="n">
        <v>1035</v>
      </c>
      <c r="F33" s="23" t="n">
        <v>572</v>
      </c>
      <c r="G33" s="23" t="n">
        <v>463</v>
      </c>
      <c r="H33" s="23" t="n">
        <v>16558</v>
      </c>
      <c r="I33" s="23" t="n">
        <v>13358</v>
      </c>
      <c r="J33" s="23" t="n">
        <v>3200</v>
      </c>
      <c r="K33" s="23" t="n">
        <v>21268</v>
      </c>
      <c r="L33" s="23" t="n">
        <v>5424</v>
      </c>
      <c r="M33" s="23" t="n">
        <v>15844</v>
      </c>
      <c r="N33" s="24">
        <f>IF(B33=E33+H33+K33,"✓",B33-(E33+H33+K33))</f>
        <v/>
      </c>
      <c r="O33" s="24">
        <f>IF(B33=C33+D33,"✓","✗")</f>
        <v/>
      </c>
    </row>
    <row r="34">
      <c r="A34" s="19" t="inlineStr">
        <is>
          <t>Total</t>
        </is>
      </c>
      <c r="B34" s="20" t="n">
        <v>933527</v>
      </c>
      <c r="C34" s="20" t="n">
        <v>476884</v>
      </c>
      <c r="D34" s="20" t="n">
        <v>456643</v>
      </c>
      <c r="E34" s="20" t="n">
        <v>325619</v>
      </c>
      <c r="F34" s="20" t="n">
        <v>202645</v>
      </c>
      <c r="G34" s="20" t="n">
        <v>122974</v>
      </c>
      <c r="H34" s="20" t="n">
        <v>509416</v>
      </c>
      <c r="I34" s="20" t="n">
        <v>253858</v>
      </c>
      <c r="J34" s="20" t="n">
        <v>255558</v>
      </c>
      <c r="K34" s="20" t="n">
        <v>98492</v>
      </c>
      <c r="L34" s="20" t="n">
        <v>20381</v>
      </c>
      <c r="M34" s="20" t="n">
        <v>78111</v>
      </c>
      <c r="N34" s="21">
        <f>IF(B34=E34+H34+K34,"✓",B34-(E34+H34+K34))</f>
        <v/>
      </c>
      <c r="O34" s="21">
        <f>IF(B34=C34+D34,"✓","✗")</f>
        <v/>
      </c>
    </row>
    <row r="35">
      <c r="A35" s="25" t="inlineStr">
        <is>
          <t>Verify: Sum</t>
        </is>
      </c>
      <c r="B35" s="26">
        <f>IF(SUM(B24:B34)=B23,"✓",SUM(B24:B34)-B23)</f>
        <v/>
      </c>
      <c r="C35" s="26">
        <f>IF(SUM(C24:C34)=C23,"✓",SUM(C24:C34)-C23)</f>
        <v/>
      </c>
      <c r="D35" s="26">
        <f>IF(SUM(D24:D34)=D23,"✓",SUM(D24:D34)-D23)</f>
        <v/>
      </c>
      <c r="E35" s="26">
        <f>IF(SUM(E24:E34)=E23,"✓",SUM(E24:E34)-E23)</f>
        <v/>
      </c>
      <c r="F35" s="26">
        <f>IF(SUM(F24:F34)=F23,"✓",SUM(F24:F34)-F23)</f>
        <v/>
      </c>
      <c r="G35" s="26">
        <f>IF(SUM(G24:G34)=G23,"✓",SUM(G24:G34)-G23)</f>
        <v/>
      </c>
      <c r="H35" s="26">
        <f>IF(SUM(H24:H34)=H23,"✓",SUM(H24:H34)-H23)</f>
        <v/>
      </c>
      <c r="I35" s="26">
        <f>IF(SUM(I24:I34)=I23,"✓",SUM(I24:I34)-I23)</f>
        <v/>
      </c>
      <c r="J35" s="26">
        <f>IF(SUM(J24:J34)=J23,"✓",SUM(J24:J34)-J23)</f>
        <v/>
      </c>
      <c r="K35" s="26">
        <f>IF(SUM(K24:K34)=K23,"✓",SUM(K24:K34)-K23)</f>
        <v/>
      </c>
      <c r="L35" s="26">
        <f>IF(SUM(L24:L34)=L23,"✓",SUM(L24:L34)-L23)</f>
        <v/>
      </c>
      <c r="M35" s="26">
        <f>IF(SUM(M24:M34)=M23,"✓",SUM(M24:M34)-M23)</f>
        <v/>
      </c>
    </row>
    <row r="37">
      <c r="A37" s="3" t="inlineStr">
        <is>
          <t>Adi Hindu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Check</t>
        </is>
      </c>
      <c r="O38" s="13" t="inlineStr">
        <is>
          <t>Check</t>
        </is>
      </c>
    </row>
    <row r="39">
      <c r="A39" s="14" t="inlineStr"/>
      <c r="B39" s="15" t="inlineStr">
        <is>
          <t>Persons</t>
        </is>
      </c>
      <c r="C39" s="15" t="inlineStr">
        <is>
          <t>Males</t>
        </is>
      </c>
      <c r="D39" s="15" t="inlineStr">
        <is>
          <t>Females</t>
        </is>
      </c>
      <c r="E39" s="15" t="inlineStr">
        <is>
          <t>Persons</t>
        </is>
      </c>
      <c r="F39" s="15" t="inlineStr">
        <is>
          <t>Males</t>
        </is>
      </c>
      <c r="G39" s="15" t="inlineStr">
        <is>
          <t>Females</t>
        </is>
      </c>
      <c r="H39" s="15" t="inlineStr">
        <is>
          <t>Persons</t>
        </is>
      </c>
      <c r="I39" s="15" t="inlineStr">
        <is>
          <t>Males</t>
        </is>
      </c>
      <c r="J39" s="15" t="inlineStr">
        <is>
          <t>Females</t>
        </is>
      </c>
      <c r="K39" s="15" t="inlineStr">
        <is>
          <t>Persons</t>
        </is>
      </c>
      <c r="L39" s="15" t="inlineStr">
        <is>
          <t>Males</t>
        </is>
      </c>
      <c r="M39" s="15" t="inlineStr">
        <is>
          <t>Females</t>
        </is>
      </c>
      <c r="N39" s="15" t="inlineStr">
        <is>
          <t>P=Sum</t>
        </is>
      </c>
      <c r="O39" s="15" t="inlineStr">
        <is>
          <t>M+F=P</t>
        </is>
      </c>
    </row>
    <row r="40">
      <c r="A40" s="16" t="inlineStr">
        <is>
          <t>Total</t>
        </is>
      </c>
      <c r="B40" s="17" t="n">
        <v>454548</v>
      </c>
      <c r="C40" s="17" t="n">
        <v>232582</v>
      </c>
      <c r="D40" s="17" t="n">
        <v>221966</v>
      </c>
      <c r="E40" s="17" t="n">
        <v>177694</v>
      </c>
      <c r="F40" s="17" t="n">
        <v>104024</v>
      </c>
      <c r="G40" s="17" t="n">
        <v>73670</v>
      </c>
      <c r="H40" s="17" t="n">
        <v>240338</v>
      </c>
      <c r="I40" s="17" t="n">
        <v>121540</v>
      </c>
      <c r="J40" s="17" t="n">
        <v>118798</v>
      </c>
      <c r="K40" s="17" t="n">
        <v>36516</v>
      </c>
      <c r="L40" s="17" t="n">
        <v>7018</v>
      </c>
      <c r="M40" s="17" t="n">
        <v>29498</v>
      </c>
      <c r="N40" s="18">
        <f>IF(B40=E40+H40+K40,"✓","✗")</f>
        <v/>
      </c>
      <c r="O40" s="18">
        <f>IF(B40=C40+D40,"✓","✗")</f>
        <v/>
      </c>
    </row>
    <row r="41">
      <c r="A41" s="19" t="inlineStr">
        <is>
          <t>Total</t>
        </is>
      </c>
      <c r="B41" s="20" t="n">
        <v>227274</v>
      </c>
      <c r="C41" s="20" t="n">
        <v>116291</v>
      </c>
      <c r="D41" s="20" t="n">
        <v>110983</v>
      </c>
      <c r="E41" s="20" t="n">
        <v>88847</v>
      </c>
      <c r="F41" s="20" t="n">
        <v>52012</v>
      </c>
      <c r="G41" s="20" t="n">
        <v>36835</v>
      </c>
      <c r="H41" s="20" t="n">
        <v>120169</v>
      </c>
      <c r="I41" s="20" t="n">
        <v>60770</v>
      </c>
      <c r="J41" s="20" t="n">
        <v>59399</v>
      </c>
      <c r="K41" s="20" t="n">
        <v>18258</v>
      </c>
      <c r="L41" s="20" t="n">
        <v>3509</v>
      </c>
      <c r="M41" s="20" t="n">
        <v>14749</v>
      </c>
      <c r="N41" s="21">
        <f>IF(B41=E41+H41+K41,"✓",B41-(E41+H41+K41))</f>
        <v/>
      </c>
      <c r="O41" s="21">
        <f>IF(B41=C41+D41,"✓","✗")</f>
        <v/>
      </c>
    </row>
    <row r="42">
      <c r="A42" s="22" t="inlineStr">
        <is>
          <t>0-1</t>
        </is>
      </c>
      <c r="B42" s="23" t="n">
        <v>7293</v>
      </c>
      <c r="C42" s="23" t="n">
        <v>3104</v>
      </c>
      <c r="D42" s="23" t="n">
        <v>4189</v>
      </c>
      <c r="E42" s="23" t="n">
        <v>7290</v>
      </c>
      <c r="F42" s="23" t="n">
        <v>3104</v>
      </c>
      <c r="G42" s="23" t="n">
        <v>4186</v>
      </c>
      <c r="H42" s="23" t="n">
        <v>3</v>
      </c>
      <c r="I42" s="23" t="n">
        <v>0</v>
      </c>
      <c r="J42" s="23" t="n">
        <v>3</v>
      </c>
      <c r="K42" s="23" t="n">
        <v>0</v>
      </c>
      <c r="L42" s="23" t="n">
        <v>0</v>
      </c>
      <c r="M42" s="23" t="n">
        <v>0</v>
      </c>
      <c r="N42" s="24">
        <f>IF(B42=E42+H42+K42,"✓",B42-(E42+H42+K42))</f>
        <v/>
      </c>
      <c r="O42" s="24">
        <f>IF(B42=C42+D42,"✓","✗")</f>
        <v/>
      </c>
    </row>
    <row r="43">
      <c r="A43" s="19" t="inlineStr">
        <is>
          <t>1-5</t>
        </is>
      </c>
      <c r="B43" s="20" t="n">
        <v>37762</v>
      </c>
      <c r="C43" s="20" t="n">
        <v>19282</v>
      </c>
      <c r="D43" s="20" t="n">
        <v>18480</v>
      </c>
      <c r="E43" s="20" t="n">
        <v>36190</v>
      </c>
      <c r="F43" s="20" t="n">
        <v>18377</v>
      </c>
      <c r="G43" s="20" t="n">
        <v>17813</v>
      </c>
      <c r="H43" s="20" t="n">
        <v>1539</v>
      </c>
      <c r="I43" s="20" t="n">
        <v>897</v>
      </c>
      <c r="J43" s="20" t="n">
        <v>642</v>
      </c>
      <c r="K43" s="20" t="n">
        <v>33</v>
      </c>
      <c r="L43" s="20" t="n">
        <v>8</v>
      </c>
      <c r="M43" s="20" t="n">
        <v>25</v>
      </c>
      <c r="N43" s="21">
        <f>IF(B43=E43+H43+K43,"✓",B43-(E43+H43+K43))</f>
        <v/>
      </c>
      <c r="O43" s="21">
        <f>IF(B43=C43+D43,"✓","✗")</f>
        <v/>
      </c>
    </row>
    <row r="44">
      <c r="A44" s="22" t="inlineStr">
        <is>
          <t>5-10</t>
        </is>
      </c>
      <c r="B44" s="23" t="n">
        <v>29052</v>
      </c>
      <c r="C44" s="23" t="n">
        <v>15457</v>
      </c>
      <c r="D44" s="23" t="n">
        <v>13595</v>
      </c>
      <c r="E44" s="23" t="n">
        <v>23520</v>
      </c>
      <c r="F44" s="23" t="n">
        <v>13919</v>
      </c>
      <c r="G44" s="23" t="n">
        <v>9601</v>
      </c>
      <c r="H44" s="23" t="n">
        <v>5461</v>
      </c>
      <c r="I44" s="23" t="n">
        <v>1535</v>
      </c>
      <c r="J44" s="23" t="n">
        <v>3926</v>
      </c>
      <c r="K44" s="23" t="n">
        <v>71</v>
      </c>
      <c r="L44" s="23" t="n">
        <v>3</v>
      </c>
      <c r="M44" s="23" t="n">
        <v>68</v>
      </c>
      <c r="N44" s="24">
        <f>IF(B44=E44+H44+K44,"✓",B44-(E44+H44+K44))</f>
        <v/>
      </c>
      <c r="O44" s="24">
        <f>IF(B44=C44+D44,"✓","✗")</f>
        <v/>
      </c>
    </row>
    <row r="45">
      <c r="A45" s="19" t="inlineStr">
        <is>
          <t>10-15</t>
        </is>
      </c>
      <c r="B45" s="20" t="n">
        <v>23452</v>
      </c>
      <c r="C45" s="20" t="n">
        <v>12118</v>
      </c>
      <c r="D45" s="20" t="n">
        <v>11334</v>
      </c>
      <c r="E45" s="20" t="n">
        <v>14132</v>
      </c>
      <c r="F45" s="20" t="n">
        <v>9865</v>
      </c>
      <c r="G45" s="20" t="n">
        <v>4267</v>
      </c>
      <c r="H45" s="20" t="n">
        <v>9198</v>
      </c>
      <c r="I45" s="20" t="n">
        <v>2242</v>
      </c>
      <c r="J45" s="20" t="n">
        <v>6956</v>
      </c>
      <c r="K45" s="20" t="n">
        <v>122</v>
      </c>
      <c r="L45" s="20" t="n">
        <v>11</v>
      </c>
      <c r="M45" s="20" t="n">
        <v>111</v>
      </c>
      <c r="N45" s="21">
        <f>IF(B45=E45+H45+K45,"✓",B45-(E45+H45+K45))</f>
        <v/>
      </c>
      <c r="O45" s="21">
        <f>IF(B45=C45+D45,"✓","✗")</f>
        <v/>
      </c>
    </row>
    <row r="46">
      <c r="A46" s="22" t="inlineStr">
        <is>
          <t>15-20</t>
        </is>
      </c>
      <c r="B46" s="23" t="n">
        <v>20431</v>
      </c>
      <c r="C46" s="23" t="n">
        <v>10022</v>
      </c>
      <c r="D46" s="23" t="n">
        <v>10409</v>
      </c>
      <c r="E46" s="23" t="n">
        <v>4715</v>
      </c>
      <c r="F46" s="23" t="n">
        <v>4286</v>
      </c>
      <c r="G46" s="23" t="n">
        <v>429</v>
      </c>
      <c r="H46" s="23" t="n">
        <v>15412</v>
      </c>
      <c r="I46" s="23" t="n">
        <v>5680</v>
      </c>
      <c r="J46" s="23" t="n">
        <v>9732</v>
      </c>
      <c r="K46" s="23" t="n">
        <v>304</v>
      </c>
      <c r="L46" s="23" t="n">
        <v>56</v>
      </c>
      <c r="M46" s="23" t="n">
        <v>248</v>
      </c>
      <c r="N46" s="24">
        <f>IF(B46=E46+H46+K46,"✓",B46-(E46+H46+K46))</f>
        <v/>
      </c>
      <c r="O46" s="24">
        <f>IF(B46=C46+D46,"✓","✗")</f>
        <v/>
      </c>
    </row>
    <row r="47">
      <c r="A47" s="19" t="inlineStr">
        <is>
          <t>20-30</t>
        </is>
      </c>
      <c r="B47" s="20" t="n">
        <v>39580</v>
      </c>
      <c r="C47" s="20" t="n">
        <v>19186</v>
      </c>
      <c r="D47" s="20" t="n">
        <v>20394</v>
      </c>
      <c r="E47" s="20" t="n">
        <v>2338</v>
      </c>
      <c r="F47" s="20" t="n">
        <v>2027</v>
      </c>
      <c r="G47" s="20" t="n">
        <v>311</v>
      </c>
      <c r="H47" s="20" t="n">
        <v>35650</v>
      </c>
      <c r="I47" s="20" t="n">
        <v>16878</v>
      </c>
      <c r="J47" s="20" t="n">
        <v>18772</v>
      </c>
      <c r="K47" s="20" t="n">
        <v>1592</v>
      </c>
      <c r="L47" s="20" t="n">
        <v>281</v>
      </c>
      <c r="M47" s="20" t="n">
        <v>1311</v>
      </c>
      <c r="N47" s="21">
        <f>IF(B47=E47+H47+K47,"✓",B47-(E47+H47+K47))</f>
        <v/>
      </c>
      <c r="O47" s="21">
        <f>IF(B47=C47+D47,"✓","✗")</f>
        <v/>
      </c>
    </row>
    <row r="48">
      <c r="A48" s="22" t="inlineStr">
        <is>
          <t>30-40</t>
        </is>
      </c>
      <c r="B48" s="23" t="n">
        <v>29237</v>
      </c>
      <c r="C48" s="23" t="n">
        <v>15069</v>
      </c>
      <c r="D48" s="23" t="n">
        <v>14168</v>
      </c>
      <c r="E48" s="23" t="n">
        <v>309</v>
      </c>
      <c r="F48" s="23" t="n">
        <v>199</v>
      </c>
      <c r="G48" s="23" t="n">
        <v>110</v>
      </c>
      <c r="H48" s="23" t="n">
        <v>25573</v>
      </c>
      <c r="I48" s="23" t="n">
        <v>14390</v>
      </c>
      <c r="J48" s="23" t="n">
        <v>11183</v>
      </c>
      <c r="K48" s="23" t="n">
        <v>3355</v>
      </c>
      <c r="L48" s="23" t="n">
        <v>480</v>
      </c>
      <c r="M48" s="23" t="n">
        <v>2875</v>
      </c>
      <c r="N48" s="24">
        <f>IF(B48=E48+H48+K48,"✓",B48-(E48+H48+K48))</f>
        <v/>
      </c>
      <c r="O48" s="24">
        <f>IF(B48=C48+D48,"✓","✗")</f>
        <v/>
      </c>
    </row>
    <row r="49">
      <c r="A49" s="19" t="inlineStr">
        <is>
          <t>40-50</t>
        </is>
      </c>
      <c r="B49" s="20" t="n">
        <v>20853</v>
      </c>
      <c r="C49" s="20" t="n">
        <v>11279</v>
      </c>
      <c r="D49" s="20" t="n">
        <v>9574</v>
      </c>
      <c r="E49" s="20" t="n">
        <v>190</v>
      </c>
      <c r="F49" s="20" t="n">
        <v>134</v>
      </c>
      <c r="G49" s="20" t="n">
        <v>56</v>
      </c>
      <c r="H49" s="20" t="n">
        <v>15861</v>
      </c>
      <c r="I49" s="20" t="n">
        <v>10307</v>
      </c>
      <c r="J49" s="20" t="n">
        <v>5554</v>
      </c>
      <c r="K49" s="20" t="n">
        <v>4802</v>
      </c>
      <c r="L49" s="20" t="n">
        <v>838</v>
      </c>
      <c r="M49" s="20" t="n">
        <v>3964</v>
      </c>
      <c r="N49" s="21">
        <f>IF(B49=E49+H49+K49,"✓",B49-(E49+H49+K49))</f>
        <v/>
      </c>
      <c r="O49" s="21">
        <f>IF(B49=C49+D49,"✓","✗")</f>
        <v/>
      </c>
    </row>
    <row r="50">
      <c r="A50" s="22" t="inlineStr">
        <is>
          <t>50-60</t>
        </is>
      </c>
      <c r="B50" s="23" t="n">
        <v>11321</v>
      </c>
      <c r="C50" s="23" t="n">
        <v>6050</v>
      </c>
      <c r="D50" s="23" t="n">
        <v>5271</v>
      </c>
      <c r="E50" s="23" t="n">
        <v>113</v>
      </c>
      <c r="F50" s="23" t="n">
        <v>70</v>
      </c>
      <c r="G50" s="23" t="n">
        <v>43</v>
      </c>
      <c r="H50" s="23" t="n">
        <v>6965</v>
      </c>
      <c r="I50" s="23" t="n">
        <v>5075</v>
      </c>
      <c r="J50" s="23" t="n">
        <v>1890</v>
      </c>
      <c r="K50" s="23" t="n">
        <v>4243</v>
      </c>
      <c r="L50" s="23" t="n">
        <v>905</v>
      </c>
      <c r="M50" s="23" t="n">
        <v>3338</v>
      </c>
      <c r="N50" s="24">
        <f>IF(B50=E50+H50+K50,"✓",B50-(E50+H50+K50))</f>
        <v/>
      </c>
      <c r="O50" s="24">
        <f>IF(B50=C50+D50,"✓","✗")</f>
        <v/>
      </c>
    </row>
    <row r="51">
      <c r="A51" s="19" t="inlineStr">
        <is>
          <t>60 and over</t>
        </is>
      </c>
      <c r="B51" s="20" t="n">
        <v>8293</v>
      </c>
      <c r="C51" s="20" t="n">
        <v>4724</v>
      </c>
      <c r="D51" s="20" t="n">
        <v>3569</v>
      </c>
      <c r="E51" s="20" t="n">
        <v>50</v>
      </c>
      <c r="F51" s="20" t="n">
        <v>31</v>
      </c>
      <c r="G51" s="20" t="n">
        <v>19</v>
      </c>
      <c r="H51" s="20" t="n">
        <v>4507</v>
      </c>
      <c r="I51" s="20" t="n">
        <v>3766</v>
      </c>
      <c r="J51" s="20" t="n">
        <v>741</v>
      </c>
      <c r="K51" s="20" t="n">
        <v>3736</v>
      </c>
      <c r="L51" s="20" t="n">
        <v>927</v>
      </c>
      <c r="M51" s="20" t="n">
        <v>2809</v>
      </c>
      <c r="N51" s="21">
        <f>IF(B51=E51+H51+K51,"✓",B51-(E51+H51+K51))</f>
        <v/>
      </c>
      <c r="O51" s="21">
        <f>IF(B51=C51+D51,"✓","✗")</f>
        <v/>
      </c>
    </row>
    <row r="52">
      <c r="A52" s="25" t="inlineStr">
        <is>
          <t>Verify: Sum</t>
        </is>
      </c>
      <c r="B52" s="26">
        <f>IF(SUM(B41:B51)=B40,"✓",SUM(B41:B51)-B40)</f>
        <v/>
      </c>
      <c r="C52" s="26">
        <f>IF(SUM(C41:C51)=C40,"✓",SUM(C41:C51)-C40)</f>
        <v/>
      </c>
      <c r="D52" s="26">
        <f>IF(SUM(D41:D51)=D40,"✓",SUM(D41:D51)-D40)</f>
        <v/>
      </c>
      <c r="E52" s="26">
        <f>IF(SUM(E41:E51)=E40,"✓",SUM(E41:E51)-E40)</f>
        <v/>
      </c>
      <c r="F52" s="26">
        <f>IF(SUM(F41:F51)=F40,"✓",SUM(F41:F51)-F40)</f>
        <v/>
      </c>
      <c r="G52" s="26">
        <f>IF(SUM(G41:G51)=G40,"✓",SUM(G41:G51)-G40)</f>
        <v/>
      </c>
      <c r="H52" s="26">
        <f>IF(SUM(H41:H51)=H40,"✓",SUM(H41:H51)-H40)</f>
        <v/>
      </c>
      <c r="I52" s="26">
        <f>IF(SUM(I41:I51)=I40,"✓",SUM(I41:I51)-I40)</f>
        <v/>
      </c>
      <c r="J52" s="26">
        <f>IF(SUM(J41:J51)=J40,"✓",SUM(J41:J51)-J40)</f>
        <v/>
      </c>
      <c r="K52" s="26">
        <f>IF(SUM(K41:K51)=K40,"✓",SUM(K41:K51)-K40)</f>
        <v/>
      </c>
      <c r="L52" s="26">
        <f>IF(SUM(L41:L51)=L40,"✓",SUM(L41:L51)-L40)</f>
        <v/>
      </c>
      <c r="M52" s="26">
        <f>IF(SUM(M41:M51)=M40,"✓",SUM(M41:M51)-M40)</f>
        <v/>
      </c>
    </row>
  </sheetData>
  <mergeCells count="12">
    <mergeCell ref="H38:J38"/>
    <mergeCell ref="K38:M38"/>
    <mergeCell ref="K4:M4"/>
    <mergeCell ref="B4:D4"/>
    <mergeCell ref="H4:J4"/>
    <mergeCell ref="K21:M21"/>
    <mergeCell ref="E4:G4"/>
    <mergeCell ref="B21:D21"/>
    <mergeCell ref="E21:G21"/>
    <mergeCell ref="B38:D38"/>
    <mergeCell ref="H21:J21"/>
    <mergeCell ref="E38:G38"/>
  </mergeCells>
  <conditionalFormatting sqref="N6:N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N23:N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O23:O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N40:N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O40:O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Karimnagar</t>
        </is>
      </c>
    </row>
    <row r="2">
      <c r="A2" s="3" t="inlineStr">
        <is>
          <t>All Religions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2482810</v>
      </c>
      <c r="C5" s="17" t="n">
        <v>1268832</v>
      </c>
      <c r="D5" s="17" t="n">
        <v>1213978</v>
      </c>
      <c r="E5" s="17" t="n">
        <v>901166</v>
      </c>
      <c r="F5" s="17" t="n">
        <v>551714</v>
      </c>
      <c r="G5" s="17" t="n">
        <v>349452</v>
      </c>
      <c r="H5" s="17" t="n">
        <v>1334828</v>
      </c>
      <c r="I5" s="17" t="n">
        <v>666946</v>
      </c>
      <c r="J5" s="17" t="n">
        <v>667882</v>
      </c>
      <c r="K5" s="17" t="n">
        <v>246816</v>
      </c>
      <c r="L5" s="17" t="n">
        <v>50172</v>
      </c>
      <c r="M5" s="17" t="n">
        <v>196644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36583</v>
      </c>
      <c r="C6" s="20" t="n">
        <v>17403</v>
      </c>
      <c r="D6" s="20" t="n">
        <v>19180</v>
      </c>
      <c r="E6" s="20" t="n">
        <v>36536</v>
      </c>
      <c r="F6" s="20" t="n">
        <v>17395</v>
      </c>
      <c r="G6" s="20" t="n">
        <v>19141</v>
      </c>
      <c r="H6" s="20" t="n">
        <v>47</v>
      </c>
      <c r="I6" s="20" t="n">
        <v>8</v>
      </c>
      <c r="J6" s="20" t="n">
        <v>39</v>
      </c>
      <c r="K6" s="20" t="n">
        <v>0</v>
      </c>
      <c r="L6" s="20" t="n">
        <v>0</v>
      </c>
      <c r="M6" s="20" t="n">
        <v>0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187028</v>
      </c>
      <c r="C7" s="23" t="n">
        <v>82605</v>
      </c>
      <c r="D7" s="23" t="n">
        <v>104423</v>
      </c>
      <c r="E7" s="23" t="n">
        <v>181615</v>
      </c>
      <c r="F7" s="23" t="n">
        <v>80907</v>
      </c>
      <c r="G7" s="23" t="n">
        <v>100708</v>
      </c>
      <c r="H7" s="23" t="n">
        <v>5235</v>
      </c>
      <c r="I7" s="23" t="n">
        <v>1677</v>
      </c>
      <c r="J7" s="23" t="n">
        <v>3558</v>
      </c>
      <c r="K7" s="23" t="n">
        <v>178</v>
      </c>
      <c r="L7" s="23" t="n">
        <v>21</v>
      </c>
      <c r="M7" s="23" t="n">
        <v>157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137284</v>
      </c>
      <c r="C8" s="20" t="n">
        <v>82321</v>
      </c>
      <c r="D8" s="20" t="n">
        <v>54963</v>
      </c>
      <c r="E8" s="20" t="n">
        <v>102371</v>
      </c>
      <c r="F8" s="20" t="n">
        <v>74871</v>
      </c>
      <c r="G8" s="20" t="n">
        <v>27500</v>
      </c>
      <c r="H8" s="20" t="n">
        <v>34283</v>
      </c>
      <c r="I8" s="20" t="n">
        <v>7351</v>
      </c>
      <c r="J8" s="20" t="n">
        <v>26932</v>
      </c>
      <c r="K8" s="20" t="n">
        <v>630</v>
      </c>
      <c r="L8" s="20" t="n">
        <v>99</v>
      </c>
      <c r="M8" s="20" t="n">
        <v>531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138056</v>
      </c>
      <c r="C9" s="23" t="n">
        <v>74026</v>
      </c>
      <c r="D9" s="23" t="n">
        <v>64030</v>
      </c>
      <c r="E9" s="23" t="n">
        <v>79020</v>
      </c>
      <c r="F9" s="23" t="n">
        <v>58903</v>
      </c>
      <c r="G9" s="23" t="n">
        <v>20117</v>
      </c>
      <c r="H9" s="23" t="n">
        <v>57356</v>
      </c>
      <c r="I9" s="23" t="n">
        <v>14893</v>
      </c>
      <c r="J9" s="23" t="n">
        <v>42463</v>
      </c>
      <c r="K9" s="23" t="n">
        <v>1680</v>
      </c>
      <c r="L9" s="23" t="n">
        <v>230</v>
      </c>
      <c r="M9" s="23" t="n">
        <v>1450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117634</v>
      </c>
      <c r="C10" s="20" t="n">
        <v>58380</v>
      </c>
      <c r="D10" s="20" t="n">
        <v>59254</v>
      </c>
      <c r="E10" s="20" t="n">
        <v>26300</v>
      </c>
      <c r="F10" s="20" t="n">
        <v>23435</v>
      </c>
      <c r="G10" s="20" t="n">
        <v>2865</v>
      </c>
      <c r="H10" s="20" t="n">
        <v>87993</v>
      </c>
      <c r="I10" s="20" t="n">
        <v>34474</v>
      </c>
      <c r="J10" s="20" t="n">
        <v>53519</v>
      </c>
      <c r="K10" s="20" t="n">
        <v>3341</v>
      </c>
      <c r="L10" s="20" t="n">
        <v>471</v>
      </c>
      <c r="M10" s="20" t="n">
        <v>2870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228288</v>
      </c>
      <c r="C11" s="23" t="n">
        <v>113097</v>
      </c>
      <c r="D11" s="23" t="n">
        <v>115191</v>
      </c>
      <c r="E11" s="23" t="n">
        <v>18192</v>
      </c>
      <c r="F11" s="23" t="n">
        <v>16430</v>
      </c>
      <c r="G11" s="23" t="n">
        <v>1762</v>
      </c>
      <c r="H11" s="23" t="n">
        <v>198504</v>
      </c>
      <c r="I11" s="23" t="n">
        <v>94881</v>
      </c>
      <c r="J11" s="23" t="n">
        <v>103623</v>
      </c>
      <c r="K11" s="23" t="n">
        <v>11592</v>
      </c>
      <c r="L11" s="23" t="n">
        <v>1786</v>
      </c>
      <c r="M11" s="23" t="n">
        <v>9806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162694</v>
      </c>
      <c r="C12" s="20" t="n">
        <v>84416</v>
      </c>
      <c r="D12" s="20" t="n">
        <v>78278</v>
      </c>
      <c r="E12" s="20" t="n">
        <v>2679</v>
      </c>
      <c r="F12" s="20" t="n">
        <v>1802</v>
      </c>
      <c r="G12" s="20" t="n">
        <v>877</v>
      </c>
      <c r="H12" s="20" t="n">
        <v>138338</v>
      </c>
      <c r="I12" s="20" t="n">
        <v>78950</v>
      </c>
      <c r="J12" s="20" t="n">
        <v>59388</v>
      </c>
      <c r="K12" s="20" t="n">
        <v>21677</v>
      </c>
      <c r="L12" s="20" t="n">
        <v>3664</v>
      </c>
      <c r="M12" s="20" t="n">
        <v>18013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115788</v>
      </c>
      <c r="C13" s="23" t="n">
        <v>61414</v>
      </c>
      <c r="D13" s="23" t="n">
        <v>54374</v>
      </c>
      <c r="E13" s="23" t="n">
        <v>1705</v>
      </c>
      <c r="F13" s="23" t="n">
        <v>994</v>
      </c>
      <c r="G13" s="23" t="n">
        <v>711</v>
      </c>
      <c r="H13" s="23" t="n">
        <v>83812</v>
      </c>
      <c r="I13" s="23" t="n">
        <v>54525</v>
      </c>
      <c r="J13" s="23" t="n">
        <v>29287</v>
      </c>
      <c r="K13" s="23" t="n">
        <v>30271</v>
      </c>
      <c r="L13" s="23" t="n">
        <v>5895</v>
      </c>
      <c r="M13" s="23" t="n">
        <v>24376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68650</v>
      </c>
      <c r="C14" s="20" t="n">
        <v>35985</v>
      </c>
      <c r="D14" s="20" t="n">
        <v>32665</v>
      </c>
      <c r="E14" s="20" t="n">
        <v>1066</v>
      </c>
      <c r="F14" s="20" t="n">
        <v>505</v>
      </c>
      <c r="G14" s="20" t="n">
        <v>561</v>
      </c>
      <c r="H14" s="20" t="n">
        <v>40116</v>
      </c>
      <c r="I14" s="20" t="n">
        <v>29266</v>
      </c>
      <c r="J14" s="20" t="n">
        <v>10850</v>
      </c>
      <c r="K14" s="20" t="n">
        <v>27468</v>
      </c>
      <c r="L14" s="20" t="n">
        <v>6214</v>
      </c>
      <c r="M14" s="20" t="n">
        <v>21254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49400</v>
      </c>
      <c r="C15" s="23" t="n">
        <v>24769</v>
      </c>
      <c r="D15" s="23" t="n">
        <v>24631</v>
      </c>
      <c r="E15" s="23" t="n">
        <v>1099</v>
      </c>
      <c r="F15" s="23" t="n">
        <v>615</v>
      </c>
      <c r="G15" s="23" t="n">
        <v>484</v>
      </c>
      <c r="H15" s="23" t="n">
        <v>21730</v>
      </c>
      <c r="I15" s="23" t="n">
        <v>17448</v>
      </c>
      <c r="J15" s="23" t="n">
        <v>4282</v>
      </c>
      <c r="K15" s="23" t="n">
        <v>26571</v>
      </c>
      <c r="L15" s="23" t="n">
        <v>6706</v>
      </c>
      <c r="M15" s="23" t="n">
        <v>19865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1241405</v>
      </c>
      <c r="C16" s="20" t="n">
        <v>634416</v>
      </c>
      <c r="D16" s="20" t="n">
        <v>606989</v>
      </c>
      <c r="E16" s="20" t="n">
        <v>450583</v>
      </c>
      <c r="F16" s="20" t="n">
        <v>275857</v>
      </c>
      <c r="G16" s="20" t="n">
        <v>174726</v>
      </c>
      <c r="H16" s="20" t="n">
        <v>667414</v>
      </c>
      <c r="I16" s="20" t="n">
        <v>333473</v>
      </c>
      <c r="J16" s="20" t="n">
        <v>333941</v>
      </c>
      <c r="K16" s="20" t="n">
        <v>123408</v>
      </c>
      <c r="L16" s="20" t="n">
        <v>25086</v>
      </c>
      <c r="M16" s="20" t="n">
        <v>98322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Karimnagar</t>
        </is>
      </c>
    </row>
    <row r="2">
      <c r="A2" s="3" t="inlineStr">
        <is>
          <t>Hindu (Brahmanic)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1867054</v>
      </c>
      <c r="C5" s="17" t="n">
        <v>953768</v>
      </c>
      <c r="D5" s="17" t="n">
        <v>913286</v>
      </c>
      <c r="E5" s="17" t="n">
        <v>651238</v>
      </c>
      <c r="F5" s="17" t="n">
        <v>405290</v>
      </c>
      <c r="G5" s="17" t="n">
        <v>245948</v>
      </c>
      <c r="H5" s="17" t="n">
        <v>1018832</v>
      </c>
      <c r="I5" s="17" t="n">
        <v>507716</v>
      </c>
      <c r="J5" s="17" t="n">
        <v>511116</v>
      </c>
      <c r="K5" s="17" t="n">
        <v>196984</v>
      </c>
      <c r="L5" s="17" t="n">
        <v>40762</v>
      </c>
      <c r="M5" s="17" t="n">
        <v>156222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26822</v>
      </c>
      <c r="C6" s="20" t="n">
        <v>13033</v>
      </c>
      <c r="D6" s="20" t="n">
        <v>13789</v>
      </c>
      <c r="E6" s="20" t="n">
        <v>26778</v>
      </c>
      <c r="F6" s="20" t="n">
        <v>13025</v>
      </c>
      <c r="G6" s="20" t="n">
        <v>13753</v>
      </c>
      <c r="H6" s="20" t="n">
        <v>44</v>
      </c>
      <c r="I6" s="20" t="n">
        <v>8</v>
      </c>
      <c r="J6" s="20" t="n">
        <v>36</v>
      </c>
      <c r="K6" s="20" t="n">
        <v>0</v>
      </c>
      <c r="L6" s="20" t="n">
        <v>0</v>
      </c>
      <c r="M6" s="20" t="n">
        <v>0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137909</v>
      </c>
      <c r="C7" s="23" t="n">
        <v>57717</v>
      </c>
      <c r="D7" s="23" t="n">
        <v>80192</v>
      </c>
      <c r="E7" s="23" t="n">
        <v>134213</v>
      </c>
      <c r="F7" s="23" t="n">
        <v>56963</v>
      </c>
      <c r="G7" s="23" t="n">
        <v>77250</v>
      </c>
      <c r="H7" s="23" t="n">
        <v>3555</v>
      </c>
      <c r="I7" s="23" t="n">
        <v>741</v>
      </c>
      <c r="J7" s="23" t="n">
        <v>2814</v>
      </c>
      <c r="K7" s="23" t="n">
        <v>141</v>
      </c>
      <c r="L7" s="23" t="n">
        <v>13</v>
      </c>
      <c r="M7" s="23" t="n">
        <v>128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97927</v>
      </c>
      <c r="C8" s="20" t="n">
        <v>61637</v>
      </c>
      <c r="D8" s="20" t="n">
        <v>36290</v>
      </c>
      <c r="E8" s="20" t="n">
        <v>69468</v>
      </c>
      <c r="F8" s="20" t="n">
        <v>55900</v>
      </c>
      <c r="G8" s="20" t="n">
        <v>13568</v>
      </c>
      <c r="H8" s="20" t="n">
        <v>27919</v>
      </c>
      <c r="I8" s="20" t="n">
        <v>5643</v>
      </c>
      <c r="J8" s="20" t="n">
        <v>22276</v>
      </c>
      <c r="K8" s="20" t="n">
        <v>540</v>
      </c>
      <c r="L8" s="20" t="n">
        <v>94</v>
      </c>
      <c r="M8" s="20" t="n">
        <v>446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105062</v>
      </c>
      <c r="C9" s="23" t="n">
        <v>56915</v>
      </c>
      <c r="D9" s="23" t="n">
        <v>48147</v>
      </c>
      <c r="E9" s="23" t="n">
        <v>57409</v>
      </c>
      <c r="F9" s="23" t="n">
        <v>44453</v>
      </c>
      <c r="G9" s="23" t="n">
        <v>12956</v>
      </c>
      <c r="H9" s="23" t="n">
        <v>46119</v>
      </c>
      <c r="I9" s="23" t="n">
        <v>12246</v>
      </c>
      <c r="J9" s="23" t="n">
        <v>33873</v>
      </c>
      <c r="K9" s="23" t="n">
        <v>1534</v>
      </c>
      <c r="L9" s="23" t="n">
        <v>216</v>
      </c>
      <c r="M9" s="23" t="n">
        <v>1318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89703</v>
      </c>
      <c r="C10" s="20" t="n">
        <v>44584</v>
      </c>
      <c r="D10" s="20" t="n">
        <v>45119</v>
      </c>
      <c r="E10" s="20" t="n">
        <v>18635</v>
      </c>
      <c r="F10" s="20" t="n">
        <v>16687</v>
      </c>
      <c r="G10" s="20" t="n">
        <v>1948</v>
      </c>
      <c r="H10" s="20" t="n">
        <v>68139</v>
      </c>
      <c r="I10" s="20" t="n">
        <v>27500</v>
      </c>
      <c r="J10" s="20" t="n">
        <v>40639</v>
      </c>
      <c r="K10" s="20" t="n">
        <v>2929</v>
      </c>
      <c r="L10" s="20" t="n">
        <v>397</v>
      </c>
      <c r="M10" s="20" t="n">
        <v>2532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174430</v>
      </c>
      <c r="C11" s="23" t="n">
        <v>86881</v>
      </c>
      <c r="D11" s="23" t="n">
        <v>87549</v>
      </c>
      <c r="E11" s="23" t="n">
        <v>13643</v>
      </c>
      <c r="F11" s="23" t="n">
        <v>12439</v>
      </c>
      <c r="G11" s="23" t="n">
        <v>1204</v>
      </c>
      <c r="H11" s="23" t="n">
        <v>151320</v>
      </c>
      <c r="I11" s="23" t="n">
        <v>73011</v>
      </c>
      <c r="J11" s="23" t="n">
        <v>78309</v>
      </c>
      <c r="K11" s="23" t="n">
        <v>9467</v>
      </c>
      <c r="L11" s="23" t="n">
        <v>1431</v>
      </c>
      <c r="M11" s="23" t="n">
        <v>8036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122978</v>
      </c>
      <c r="C12" s="20" t="n">
        <v>63824</v>
      </c>
      <c r="D12" s="20" t="n">
        <v>59154</v>
      </c>
      <c r="E12" s="20" t="n">
        <v>2088</v>
      </c>
      <c r="F12" s="20" t="n">
        <v>1395</v>
      </c>
      <c r="G12" s="20" t="n">
        <v>693</v>
      </c>
      <c r="H12" s="20" t="n">
        <v>103743</v>
      </c>
      <c r="I12" s="20" t="n">
        <v>59435</v>
      </c>
      <c r="J12" s="20" t="n">
        <v>44308</v>
      </c>
      <c r="K12" s="20" t="n">
        <v>17147</v>
      </c>
      <c r="L12" s="20" t="n">
        <v>2994</v>
      </c>
      <c r="M12" s="20" t="n">
        <v>14153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86838</v>
      </c>
      <c r="C13" s="23" t="n">
        <v>45297</v>
      </c>
      <c r="D13" s="23" t="n">
        <v>41541</v>
      </c>
      <c r="E13" s="23" t="n">
        <v>1428</v>
      </c>
      <c r="F13" s="23" t="n">
        <v>801</v>
      </c>
      <c r="G13" s="23" t="n">
        <v>627</v>
      </c>
      <c r="H13" s="23" t="n">
        <v>61594</v>
      </c>
      <c r="I13" s="23" t="n">
        <v>39724</v>
      </c>
      <c r="J13" s="23" t="n">
        <v>21870</v>
      </c>
      <c r="K13" s="23" t="n">
        <v>23816</v>
      </c>
      <c r="L13" s="23" t="n">
        <v>4772</v>
      </c>
      <c r="M13" s="23" t="n">
        <v>19044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52997</v>
      </c>
      <c r="C14" s="20" t="n">
        <v>27642</v>
      </c>
      <c r="D14" s="20" t="n">
        <v>25355</v>
      </c>
      <c r="E14" s="20" t="n">
        <v>922</v>
      </c>
      <c r="F14" s="20" t="n">
        <v>410</v>
      </c>
      <c r="G14" s="20" t="n">
        <v>512</v>
      </c>
      <c r="H14" s="20" t="n">
        <v>30425</v>
      </c>
      <c r="I14" s="20" t="n">
        <v>22192</v>
      </c>
      <c r="J14" s="20" t="n">
        <v>8233</v>
      </c>
      <c r="K14" s="20" t="n">
        <v>21650</v>
      </c>
      <c r="L14" s="20" t="n">
        <v>5040</v>
      </c>
      <c r="M14" s="20" t="n">
        <v>16610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38861</v>
      </c>
      <c r="C15" s="23" t="n">
        <v>19354</v>
      </c>
      <c r="D15" s="23" t="n">
        <v>19507</v>
      </c>
      <c r="E15" s="23" t="n">
        <v>1035</v>
      </c>
      <c r="F15" s="23" t="n">
        <v>572</v>
      </c>
      <c r="G15" s="23" t="n">
        <v>463</v>
      </c>
      <c r="H15" s="23" t="n">
        <v>16558</v>
      </c>
      <c r="I15" s="23" t="n">
        <v>13358</v>
      </c>
      <c r="J15" s="23" t="n">
        <v>3200</v>
      </c>
      <c r="K15" s="23" t="n">
        <v>21268</v>
      </c>
      <c r="L15" s="23" t="n">
        <v>5424</v>
      </c>
      <c r="M15" s="23" t="n">
        <v>15844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933527</v>
      </c>
      <c r="C16" s="20" t="n">
        <v>476884</v>
      </c>
      <c r="D16" s="20" t="n">
        <v>456643</v>
      </c>
      <c r="E16" s="20" t="n">
        <v>325619</v>
      </c>
      <c r="F16" s="20" t="n">
        <v>202645</v>
      </c>
      <c r="G16" s="20" t="n">
        <v>122974</v>
      </c>
      <c r="H16" s="20" t="n">
        <v>509416</v>
      </c>
      <c r="I16" s="20" t="n">
        <v>253858</v>
      </c>
      <c r="J16" s="20" t="n">
        <v>255558</v>
      </c>
      <c r="K16" s="20" t="n">
        <v>98492</v>
      </c>
      <c r="L16" s="20" t="n">
        <v>20381</v>
      </c>
      <c r="M16" s="20" t="n">
        <v>78111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Karimnagar</t>
        </is>
      </c>
    </row>
    <row r="2">
      <c r="A2" s="3" t="inlineStr">
        <is>
          <t>Adi Hindu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454548</v>
      </c>
      <c r="C5" s="17" t="n">
        <v>232582</v>
      </c>
      <c r="D5" s="17" t="n">
        <v>221966</v>
      </c>
      <c r="E5" s="17" t="n">
        <v>177694</v>
      </c>
      <c r="F5" s="17" t="n">
        <v>104024</v>
      </c>
      <c r="G5" s="17" t="n">
        <v>73670</v>
      </c>
      <c r="H5" s="17" t="n">
        <v>240338</v>
      </c>
      <c r="I5" s="17" t="n">
        <v>121540</v>
      </c>
      <c r="J5" s="17" t="n">
        <v>118798</v>
      </c>
      <c r="K5" s="17" t="n">
        <v>36516</v>
      </c>
      <c r="L5" s="17" t="n">
        <v>7018</v>
      </c>
      <c r="M5" s="17" t="n">
        <v>29498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227274</v>
      </c>
      <c r="C6" s="20" t="n">
        <v>116291</v>
      </c>
      <c r="D6" s="20" t="n">
        <v>110983</v>
      </c>
      <c r="E6" s="20" t="n">
        <v>88847</v>
      </c>
      <c r="F6" s="20" t="n">
        <v>52012</v>
      </c>
      <c r="G6" s="20" t="n">
        <v>36835</v>
      </c>
      <c r="H6" s="20" t="n">
        <v>120169</v>
      </c>
      <c r="I6" s="20" t="n">
        <v>60770</v>
      </c>
      <c r="J6" s="20" t="n">
        <v>59399</v>
      </c>
      <c r="K6" s="20" t="n">
        <v>18258</v>
      </c>
      <c r="L6" s="20" t="n">
        <v>3509</v>
      </c>
      <c r="M6" s="20" t="n">
        <v>14749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7293</v>
      </c>
      <c r="C7" s="23" t="n">
        <v>3104</v>
      </c>
      <c r="D7" s="23" t="n">
        <v>4189</v>
      </c>
      <c r="E7" s="23" t="n">
        <v>7290</v>
      </c>
      <c r="F7" s="23" t="n">
        <v>3104</v>
      </c>
      <c r="G7" s="23" t="n">
        <v>4186</v>
      </c>
      <c r="H7" s="23" t="n">
        <v>3</v>
      </c>
      <c r="I7" s="23" t="n">
        <v>0</v>
      </c>
      <c r="J7" s="23" t="n">
        <v>3</v>
      </c>
      <c r="K7" s="23" t="n">
        <v>0</v>
      </c>
      <c r="L7" s="23" t="n">
        <v>0</v>
      </c>
      <c r="M7" s="23" t="n">
        <v>0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37762</v>
      </c>
      <c r="C8" s="20" t="n">
        <v>19282</v>
      </c>
      <c r="D8" s="20" t="n">
        <v>18480</v>
      </c>
      <c r="E8" s="20" t="n">
        <v>36190</v>
      </c>
      <c r="F8" s="20" t="n">
        <v>18377</v>
      </c>
      <c r="G8" s="20" t="n">
        <v>17813</v>
      </c>
      <c r="H8" s="20" t="n">
        <v>1539</v>
      </c>
      <c r="I8" s="20" t="n">
        <v>897</v>
      </c>
      <c r="J8" s="20" t="n">
        <v>642</v>
      </c>
      <c r="K8" s="20" t="n">
        <v>33</v>
      </c>
      <c r="L8" s="20" t="n">
        <v>8</v>
      </c>
      <c r="M8" s="20" t="n">
        <v>25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29052</v>
      </c>
      <c r="C9" s="23" t="n">
        <v>15457</v>
      </c>
      <c r="D9" s="23" t="n">
        <v>13595</v>
      </c>
      <c r="E9" s="23" t="n">
        <v>23520</v>
      </c>
      <c r="F9" s="23" t="n">
        <v>13919</v>
      </c>
      <c r="G9" s="23" t="n">
        <v>9601</v>
      </c>
      <c r="H9" s="23" t="n">
        <v>5461</v>
      </c>
      <c r="I9" s="23" t="n">
        <v>1535</v>
      </c>
      <c r="J9" s="23" t="n">
        <v>3926</v>
      </c>
      <c r="K9" s="23" t="n">
        <v>71</v>
      </c>
      <c r="L9" s="23" t="n">
        <v>3</v>
      </c>
      <c r="M9" s="23" t="n">
        <v>68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23452</v>
      </c>
      <c r="C10" s="20" t="n">
        <v>12118</v>
      </c>
      <c r="D10" s="20" t="n">
        <v>11334</v>
      </c>
      <c r="E10" s="20" t="n">
        <v>14132</v>
      </c>
      <c r="F10" s="20" t="n">
        <v>9865</v>
      </c>
      <c r="G10" s="20" t="n">
        <v>4267</v>
      </c>
      <c r="H10" s="20" t="n">
        <v>9198</v>
      </c>
      <c r="I10" s="20" t="n">
        <v>2242</v>
      </c>
      <c r="J10" s="20" t="n">
        <v>6956</v>
      </c>
      <c r="K10" s="20" t="n">
        <v>122</v>
      </c>
      <c r="L10" s="20" t="n">
        <v>11</v>
      </c>
      <c r="M10" s="20" t="n">
        <v>111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20431</v>
      </c>
      <c r="C11" s="23" t="n">
        <v>10022</v>
      </c>
      <c r="D11" s="23" t="n">
        <v>10409</v>
      </c>
      <c r="E11" s="23" t="n">
        <v>4715</v>
      </c>
      <c r="F11" s="23" t="n">
        <v>4286</v>
      </c>
      <c r="G11" s="23" t="n">
        <v>429</v>
      </c>
      <c r="H11" s="23" t="n">
        <v>15412</v>
      </c>
      <c r="I11" s="23" t="n">
        <v>5680</v>
      </c>
      <c r="J11" s="23" t="n">
        <v>9732</v>
      </c>
      <c r="K11" s="23" t="n">
        <v>304</v>
      </c>
      <c r="L11" s="23" t="n">
        <v>56</v>
      </c>
      <c r="M11" s="23" t="n">
        <v>248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39580</v>
      </c>
      <c r="C12" s="20" t="n">
        <v>19186</v>
      </c>
      <c r="D12" s="20" t="n">
        <v>20394</v>
      </c>
      <c r="E12" s="20" t="n">
        <v>2338</v>
      </c>
      <c r="F12" s="20" t="n">
        <v>2027</v>
      </c>
      <c r="G12" s="20" t="n">
        <v>311</v>
      </c>
      <c r="H12" s="20" t="n">
        <v>35650</v>
      </c>
      <c r="I12" s="20" t="n">
        <v>16878</v>
      </c>
      <c r="J12" s="20" t="n">
        <v>18772</v>
      </c>
      <c r="K12" s="20" t="n">
        <v>1592</v>
      </c>
      <c r="L12" s="20" t="n">
        <v>281</v>
      </c>
      <c r="M12" s="20" t="n">
        <v>1311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29237</v>
      </c>
      <c r="C13" s="23" t="n">
        <v>15069</v>
      </c>
      <c r="D13" s="23" t="n">
        <v>14168</v>
      </c>
      <c r="E13" s="23" t="n">
        <v>309</v>
      </c>
      <c r="F13" s="23" t="n">
        <v>199</v>
      </c>
      <c r="G13" s="23" t="n">
        <v>110</v>
      </c>
      <c r="H13" s="23" t="n">
        <v>25573</v>
      </c>
      <c r="I13" s="23" t="n">
        <v>14390</v>
      </c>
      <c r="J13" s="23" t="n">
        <v>11183</v>
      </c>
      <c r="K13" s="23" t="n">
        <v>3355</v>
      </c>
      <c r="L13" s="23" t="n">
        <v>480</v>
      </c>
      <c r="M13" s="23" t="n">
        <v>2875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20853</v>
      </c>
      <c r="C14" s="20" t="n">
        <v>11279</v>
      </c>
      <c r="D14" s="20" t="n">
        <v>9574</v>
      </c>
      <c r="E14" s="20" t="n">
        <v>190</v>
      </c>
      <c r="F14" s="20" t="n">
        <v>134</v>
      </c>
      <c r="G14" s="20" t="n">
        <v>56</v>
      </c>
      <c r="H14" s="20" t="n">
        <v>15861</v>
      </c>
      <c r="I14" s="20" t="n">
        <v>10307</v>
      </c>
      <c r="J14" s="20" t="n">
        <v>5554</v>
      </c>
      <c r="K14" s="20" t="n">
        <v>4802</v>
      </c>
      <c r="L14" s="20" t="n">
        <v>838</v>
      </c>
      <c r="M14" s="20" t="n">
        <v>3964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11321</v>
      </c>
      <c r="C15" s="23" t="n">
        <v>6050</v>
      </c>
      <c r="D15" s="23" t="n">
        <v>5271</v>
      </c>
      <c r="E15" s="23" t="n">
        <v>113</v>
      </c>
      <c r="F15" s="23" t="n">
        <v>70</v>
      </c>
      <c r="G15" s="23" t="n">
        <v>43</v>
      </c>
      <c r="H15" s="23" t="n">
        <v>6965</v>
      </c>
      <c r="I15" s="23" t="n">
        <v>5075</v>
      </c>
      <c r="J15" s="23" t="n">
        <v>1890</v>
      </c>
      <c r="K15" s="23" t="n">
        <v>4243</v>
      </c>
      <c r="L15" s="23" t="n">
        <v>905</v>
      </c>
      <c r="M15" s="23" t="n">
        <v>3338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8293</v>
      </c>
      <c r="C16" s="20" t="n">
        <v>4724</v>
      </c>
      <c r="D16" s="20" t="n">
        <v>3569</v>
      </c>
      <c r="E16" s="20" t="n">
        <v>50</v>
      </c>
      <c r="F16" s="20" t="n">
        <v>31</v>
      </c>
      <c r="G16" s="20" t="n">
        <v>19</v>
      </c>
      <c r="H16" s="20" t="n">
        <v>4507</v>
      </c>
      <c r="I16" s="20" t="n">
        <v>3766</v>
      </c>
      <c r="J16" s="20" t="n">
        <v>741</v>
      </c>
      <c r="K16" s="20" t="n">
        <v>3736</v>
      </c>
      <c r="L16" s="20" t="n">
        <v>927</v>
      </c>
      <c r="M16" s="20" t="n">
        <v>2809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2026-02-26T04:45:54Z</dcterms:created>
  <dcterms:modified xmlns:dcterms="http://purl.org/dc/terms/" xmlns:xsi="http://www.w3.org/2001/XMLSchema-instance" xsi:type="dcterms:W3CDTF">2026-02-26T04:45:54Z</dcterms:modified>
</cp:coreProperties>
</file>