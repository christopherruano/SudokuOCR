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ll Religions" sheetId="2" state="visible" r:id="rId2"/>
    <sheet xmlns:r="http://schemas.openxmlformats.org/officeDocument/2006/relationships" name="Hindu (Brahmanic)" sheetId="3" state="visible" r:id="rId3"/>
    <sheet xmlns:r="http://schemas.openxmlformats.org/officeDocument/2006/relationships" name="Adi Hind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8" borderId="2" pivotButton="0" quotePrefix="0" xfId="0"/>
    <xf numFmtId="3" fontId="7" fillId="8" borderId="2" pivotButton="0" quotePrefix="0" xfId="0"/>
    <xf numFmtId="0" fontId="7" fillId="8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1" t="inlineStr">
        <is>
          <t>Parbhani</t>
        </is>
      </c>
    </row>
    <row r="2">
      <c r="A2" s="2" t="inlineStr">
        <is>
          <t>Source: TABLE VII. Age, Sex and Civil Condition Part II.--Districts.</t>
        </is>
      </c>
    </row>
    <row r="3">
      <c r="A3" s="3" t="inlineStr">
        <is>
          <t>All Religions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Check</t>
        </is>
      </c>
      <c r="O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P=Sum</t>
        </is>
      </c>
      <c r="O5" s="15" t="inlineStr">
        <is>
          <t>M+F=P</t>
        </is>
      </c>
    </row>
    <row r="6">
      <c r="A6" s="16" t="inlineStr">
        <is>
          <t>Total</t>
        </is>
      </c>
      <c r="B6" s="17" t="n">
        <v>1707520</v>
      </c>
      <c r="C6" s="17" t="n">
        <v>869554</v>
      </c>
      <c r="D6" s="17" t="n">
        <v>837966</v>
      </c>
      <c r="E6" s="17" t="n">
        <v>571700</v>
      </c>
      <c r="F6" s="17" t="n">
        <v>325448</v>
      </c>
      <c r="G6" s="17" t="n">
        <v>246252</v>
      </c>
      <c r="H6" s="17" t="n">
        <v>966802</v>
      </c>
      <c r="I6" s="17" t="n">
        <v>496302</v>
      </c>
      <c r="J6" s="17" t="n">
        <v>470500</v>
      </c>
      <c r="K6" s="17" t="n">
        <v>169018</v>
      </c>
      <c r="L6" s="17" t="n">
        <v>47804</v>
      </c>
      <c r="M6" s="17" t="n">
        <v>121214</v>
      </c>
      <c r="N6" s="18">
        <f>IF(B6=E6+H6+K6,"✓","✗")</f>
        <v/>
      </c>
      <c r="O6" s="18">
        <f>IF(B6=C6+D6,"✓","✗")</f>
        <v/>
      </c>
    </row>
    <row r="7">
      <c r="A7" s="19" t="inlineStr">
        <is>
          <t>0-1</t>
        </is>
      </c>
      <c r="B7" s="20" t="n">
        <v>24644</v>
      </c>
      <c r="C7" s="20" t="n">
        <v>11769</v>
      </c>
      <c r="D7" s="20" t="n">
        <v>12875</v>
      </c>
      <c r="E7" s="20" t="n">
        <v>24151</v>
      </c>
      <c r="F7" s="20" t="n">
        <v>11532</v>
      </c>
      <c r="G7" s="20" t="n">
        <v>12619</v>
      </c>
      <c r="H7" s="20" t="n">
        <v>471</v>
      </c>
      <c r="I7" s="20" t="n">
        <v>231</v>
      </c>
      <c r="J7" s="20" t="n">
        <v>240</v>
      </c>
      <c r="K7" s="20" t="n">
        <v>22</v>
      </c>
      <c r="L7" s="20" t="n">
        <v>6</v>
      </c>
      <c r="M7" s="20" t="n">
        <v>16</v>
      </c>
      <c r="N7" s="21">
        <f>IF(B7=E7+H7+K7,"✓",B7-(E7+H7+K7))</f>
        <v/>
      </c>
      <c r="O7" s="21">
        <f>IF(B7=C7+D7,"✓","✗")</f>
        <v/>
      </c>
    </row>
    <row r="8">
      <c r="A8" s="22" t="inlineStr">
        <is>
          <t>1-5</t>
        </is>
      </c>
      <c r="B8" s="23" t="n">
        <v>122567</v>
      </c>
      <c r="C8" s="23" t="n">
        <v>56584</v>
      </c>
      <c r="D8" s="23" t="n">
        <v>65983</v>
      </c>
      <c r="E8" s="23" t="n">
        <v>110075</v>
      </c>
      <c r="F8" s="23" t="n">
        <v>53438</v>
      </c>
      <c r="G8" s="23" t="n">
        <v>56637</v>
      </c>
      <c r="H8" s="23" t="n">
        <v>12004</v>
      </c>
      <c r="I8" s="23" t="n">
        <v>2922</v>
      </c>
      <c r="J8" s="23" t="n">
        <v>9082</v>
      </c>
      <c r="K8" s="23" t="n">
        <v>488</v>
      </c>
      <c r="L8" s="23" t="n">
        <v>224</v>
      </c>
      <c r="M8" s="23" t="n">
        <v>264</v>
      </c>
      <c r="N8" s="24">
        <f>IF(B8=E8+H8+K8,"✓",B8-(E8+H8+K8))</f>
        <v/>
      </c>
      <c r="O8" s="24">
        <f>IF(B8=C8+D8,"✓","✗")</f>
        <v/>
      </c>
    </row>
    <row r="9">
      <c r="A9" s="19" t="inlineStr">
        <is>
          <t>5-10</t>
        </is>
      </c>
      <c r="B9" s="20" t="n">
        <v>113918</v>
      </c>
      <c r="C9" s="20" t="n">
        <v>58473</v>
      </c>
      <c r="D9" s="20" t="n">
        <v>55445</v>
      </c>
      <c r="E9" s="20" t="n">
        <v>76369</v>
      </c>
      <c r="F9" s="20" t="n">
        <v>45423</v>
      </c>
      <c r="G9" s="20" t="n">
        <v>30946</v>
      </c>
      <c r="H9" s="20" t="n">
        <v>36457</v>
      </c>
      <c r="I9" s="20" t="n">
        <v>12636</v>
      </c>
      <c r="J9" s="20" t="n">
        <v>23821</v>
      </c>
      <c r="K9" s="20" t="n">
        <v>1092</v>
      </c>
      <c r="L9" s="20" t="n">
        <v>414</v>
      </c>
      <c r="M9" s="20" t="n">
        <v>678</v>
      </c>
      <c r="N9" s="21">
        <f>IF(B9=E9+H9+K9,"✓",B9-(E9+H9+K9))</f>
        <v/>
      </c>
      <c r="O9" s="21">
        <f>IF(B9=C9+D9,"✓","✗")</f>
        <v/>
      </c>
    </row>
    <row r="10">
      <c r="A10" s="22" t="inlineStr">
        <is>
          <t>10-15</t>
        </is>
      </c>
      <c r="B10" s="23" t="n">
        <v>100765</v>
      </c>
      <c r="C10" s="23" t="n">
        <v>51783</v>
      </c>
      <c r="D10" s="23" t="n">
        <v>48982</v>
      </c>
      <c r="E10" s="23" t="n">
        <v>47875</v>
      </c>
      <c r="F10" s="23" t="n">
        <v>31585</v>
      </c>
      <c r="G10" s="23" t="n">
        <v>16290</v>
      </c>
      <c r="H10" s="23" t="n">
        <v>51408</v>
      </c>
      <c r="I10" s="23" t="n">
        <v>19596</v>
      </c>
      <c r="J10" s="23" t="n">
        <v>31812</v>
      </c>
      <c r="K10" s="23" t="n">
        <v>1482</v>
      </c>
      <c r="L10" s="23" t="n">
        <v>602</v>
      </c>
      <c r="M10" s="23" t="n">
        <v>880</v>
      </c>
      <c r="N10" s="24">
        <f>IF(B10=E10+H10+K10,"✓",B10-(E10+H10+K10))</f>
        <v/>
      </c>
      <c r="O10" s="24">
        <f>IF(B10=C10+D10,"✓","✗")</f>
        <v/>
      </c>
    </row>
    <row r="11">
      <c r="A11" s="19" t="inlineStr">
        <is>
          <t>15-20</t>
        </is>
      </c>
      <c r="B11" s="20" t="n">
        <v>72843</v>
      </c>
      <c r="C11" s="20" t="n">
        <v>35609</v>
      </c>
      <c r="D11" s="20" t="n">
        <v>37234</v>
      </c>
      <c r="E11" s="20" t="n">
        <v>11466</v>
      </c>
      <c r="F11" s="20" t="n">
        <v>9326</v>
      </c>
      <c r="G11" s="20" t="n">
        <v>2140</v>
      </c>
      <c r="H11" s="20" t="n">
        <v>59071</v>
      </c>
      <c r="I11" s="20" t="n">
        <v>25128</v>
      </c>
      <c r="J11" s="20" t="n">
        <v>33943</v>
      </c>
      <c r="K11" s="20" t="n">
        <v>2306</v>
      </c>
      <c r="L11" s="20" t="n">
        <v>1155</v>
      </c>
      <c r="M11" s="20" t="n">
        <v>1151</v>
      </c>
      <c r="N11" s="21">
        <f>IF(B11=E11+H11+K11,"✓",B11-(E11+H11+K11))</f>
        <v/>
      </c>
      <c r="O11" s="21">
        <f>IF(B11=C11+D11,"✓","✗")</f>
        <v/>
      </c>
    </row>
    <row r="12">
      <c r="A12" s="22" t="inlineStr">
        <is>
          <t>20-30</t>
        </is>
      </c>
      <c r="B12" s="23" t="n">
        <v>145635</v>
      </c>
      <c r="C12" s="23" t="n">
        <v>75622</v>
      </c>
      <c r="D12" s="23" t="n">
        <v>70013</v>
      </c>
      <c r="E12" s="23" t="n">
        <v>9027</v>
      </c>
      <c r="F12" s="23" t="n">
        <v>7423</v>
      </c>
      <c r="G12" s="23" t="n">
        <v>1604</v>
      </c>
      <c r="H12" s="23" t="n">
        <v>127562</v>
      </c>
      <c r="I12" s="23" t="n">
        <v>63978</v>
      </c>
      <c r="J12" s="23" t="n">
        <v>63584</v>
      </c>
      <c r="K12" s="23" t="n">
        <v>9046</v>
      </c>
      <c r="L12" s="23" t="n">
        <v>4221</v>
      </c>
      <c r="M12" s="23" t="n">
        <v>4825</v>
      </c>
      <c r="N12" s="24">
        <f>IF(B12=E12+H12+K12,"✓",B12-(E12+H12+K12))</f>
        <v/>
      </c>
      <c r="O12" s="24">
        <f>IF(B12=C12+D12,"✓","✗")</f>
        <v/>
      </c>
    </row>
    <row r="13">
      <c r="A13" s="19" t="inlineStr">
        <is>
          <t>30-40</t>
        </is>
      </c>
      <c r="B13" s="20" t="n">
        <v>109987</v>
      </c>
      <c r="C13" s="20" t="n">
        <v>57069</v>
      </c>
      <c r="D13" s="20" t="n">
        <v>52918</v>
      </c>
      <c r="E13" s="20" t="n">
        <v>3539</v>
      </c>
      <c r="F13" s="20" t="n">
        <v>1937</v>
      </c>
      <c r="G13" s="20" t="n">
        <v>1602</v>
      </c>
      <c r="H13" s="20" t="n">
        <v>92258</v>
      </c>
      <c r="I13" s="20" t="n">
        <v>51500</v>
      </c>
      <c r="J13" s="20" t="n">
        <v>40758</v>
      </c>
      <c r="K13" s="20" t="n">
        <v>14190</v>
      </c>
      <c r="L13" s="20" t="n">
        <v>3632</v>
      </c>
      <c r="M13" s="20" t="n">
        <v>10558</v>
      </c>
      <c r="N13" s="21">
        <f>IF(B13=E13+H13+K13,"✓",B13-(E13+H13+K13))</f>
        <v/>
      </c>
      <c r="O13" s="21">
        <f>IF(B13=C13+D13,"✓","✗")</f>
        <v/>
      </c>
    </row>
    <row r="14">
      <c r="A14" s="22" t="inlineStr">
        <is>
          <t>40-50</t>
        </is>
      </c>
      <c r="B14" s="23" t="n">
        <v>78860</v>
      </c>
      <c r="C14" s="23" t="n">
        <v>42830</v>
      </c>
      <c r="D14" s="23" t="n">
        <v>36030</v>
      </c>
      <c r="E14" s="23" t="n">
        <v>1684</v>
      </c>
      <c r="F14" s="23" t="n">
        <v>1009</v>
      </c>
      <c r="G14" s="23" t="n">
        <v>675</v>
      </c>
      <c r="H14" s="23" t="n">
        <v>58020</v>
      </c>
      <c r="I14" s="23" t="n">
        <v>37407</v>
      </c>
      <c r="J14" s="23" t="n">
        <v>20613</v>
      </c>
      <c r="K14" s="23" t="n">
        <v>19156</v>
      </c>
      <c r="L14" s="23" t="n">
        <v>4414</v>
      </c>
      <c r="M14" s="23" t="n">
        <v>14742</v>
      </c>
      <c r="N14" s="24">
        <f>IF(B14=E14+H14+K14,"✓",B14-(E14+H14+K14))</f>
        <v/>
      </c>
      <c r="O14" s="24">
        <f>IF(B14=C14+D14,"✓","✗")</f>
        <v/>
      </c>
    </row>
    <row r="15">
      <c r="A15" s="19" t="inlineStr">
        <is>
          <t>50-60</t>
        </is>
      </c>
      <c r="B15" s="20" t="n">
        <v>49192</v>
      </c>
      <c r="C15" s="20" t="n">
        <v>26907</v>
      </c>
      <c r="D15" s="20" t="n">
        <v>22285</v>
      </c>
      <c r="E15" s="20" t="n">
        <v>937</v>
      </c>
      <c r="F15" s="20" t="n">
        <v>538</v>
      </c>
      <c r="G15" s="20" t="n">
        <v>399</v>
      </c>
      <c r="H15" s="20" t="n">
        <v>29527</v>
      </c>
      <c r="I15" s="20" t="n">
        <v>21775</v>
      </c>
      <c r="J15" s="20" t="n">
        <v>7752</v>
      </c>
      <c r="K15" s="20" t="n">
        <v>18728</v>
      </c>
      <c r="L15" s="20" t="n">
        <v>4594</v>
      </c>
      <c r="M15" s="20" t="n">
        <v>14134</v>
      </c>
      <c r="N15" s="21">
        <f>IF(B15=E15+H15+K15,"✓",B15-(E15+H15+K15))</f>
        <v/>
      </c>
      <c r="O15" s="21">
        <f>IF(B15=C15+D15,"✓","✗")</f>
        <v/>
      </c>
    </row>
    <row r="16">
      <c r="A16" s="22" t="inlineStr">
        <is>
          <t>60 and over</t>
        </is>
      </c>
      <c r="B16" s="23" t="n">
        <v>35349</v>
      </c>
      <c r="C16" s="23" t="n">
        <v>18131</v>
      </c>
      <c r="D16" s="23" t="n">
        <v>17218</v>
      </c>
      <c r="E16" s="23" t="n">
        <v>727</v>
      </c>
      <c r="F16" s="23" t="n">
        <v>513</v>
      </c>
      <c r="G16" s="23" t="n">
        <v>214</v>
      </c>
      <c r="H16" s="23" t="n">
        <v>16623</v>
      </c>
      <c r="I16" s="23" t="n">
        <v>12993</v>
      </c>
      <c r="J16" s="23" t="n">
        <v>3630</v>
      </c>
      <c r="K16" s="23" t="n">
        <v>17999</v>
      </c>
      <c r="L16" s="23" t="n">
        <v>4625</v>
      </c>
      <c r="M16" s="23" t="n">
        <v>13374</v>
      </c>
      <c r="N16" s="24">
        <f>IF(B16=E16+H16+K16,"✓",B16-(E16+H16+K16))</f>
        <v/>
      </c>
      <c r="O16" s="24">
        <f>IF(B16=C16+D16,"✓","✗")</f>
        <v/>
      </c>
    </row>
    <row r="17">
      <c r="A17" s="19" t="inlineStr">
        <is>
          <t>Total</t>
        </is>
      </c>
      <c r="B17" s="20" t="n">
        <v>853760</v>
      </c>
      <c r="C17" s="20" t="n">
        <v>434777</v>
      </c>
      <c r="D17" s="20" t="n">
        <v>418983</v>
      </c>
      <c r="E17" s="20" t="n">
        <v>285850</v>
      </c>
      <c r="F17" s="20" t="n">
        <v>162724</v>
      </c>
      <c r="G17" s="20" t="n">
        <v>123126</v>
      </c>
      <c r="H17" s="20" t="n">
        <v>483401</v>
      </c>
      <c r="I17" s="20" t="n">
        <v>248136</v>
      </c>
      <c r="J17" s="20" t="n">
        <v>235265</v>
      </c>
      <c r="K17" s="20" t="n">
        <v>84509</v>
      </c>
      <c r="L17" s="20" t="n">
        <v>23917</v>
      </c>
      <c r="M17" s="20" t="n">
        <v>60592</v>
      </c>
      <c r="N17" s="21">
        <f>IF(B17=E17+H17+K17,"✓",B17-(E17+H17+K17))</f>
        <v/>
      </c>
      <c r="O17" s="21">
        <f>IF(B17=C17+D17,"✓","✗")</f>
        <v/>
      </c>
    </row>
    <row r="18">
      <c r="A18" s="25" t="inlineStr">
        <is>
          <t>Verify: Sum</t>
        </is>
      </c>
      <c r="B18" s="26">
        <f>IF(SUM(B7:B17)=B6,"✓",SUM(B7:B17)-B6)</f>
        <v/>
      </c>
      <c r="C18" s="26">
        <f>IF(SUM(C7:C17)=C6,"✓",SUM(C7:C17)-C6)</f>
        <v/>
      </c>
      <c r="D18" s="26">
        <f>IF(SUM(D7:D17)=D6,"✓",SUM(D7:D17)-D6)</f>
        <v/>
      </c>
      <c r="E18" s="26">
        <f>IF(SUM(E7:E17)=E6,"✓",SUM(E7:E17)-E6)</f>
        <v/>
      </c>
      <c r="F18" s="26">
        <f>IF(SUM(F7:F17)=F6,"✓",SUM(F7:F17)-F6)</f>
        <v/>
      </c>
      <c r="G18" s="26">
        <f>IF(SUM(G7:G17)=G6,"✓",SUM(G7:G17)-G6)</f>
        <v/>
      </c>
      <c r="H18" s="26">
        <f>IF(SUM(H7:H17)=H6,"✓",SUM(H7:H17)-H6)</f>
        <v/>
      </c>
      <c r="I18" s="26">
        <f>IF(SUM(I7:I17)=I6,"✓",SUM(I7:I17)-I6)</f>
        <v/>
      </c>
      <c r="J18" s="26">
        <f>IF(SUM(J7:J17)=J6,"✓",SUM(J7:J17)-J6)</f>
        <v/>
      </c>
      <c r="K18" s="26">
        <f>IF(SUM(K7:K17)=K6,"✓",SUM(K7:K17)-K6)</f>
        <v/>
      </c>
      <c r="L18" s="26">
        <f>IF(SUM(L7:L17)=L6,"✓",SUM(L7:L17)-L6)</f>
        <v/>
      </c>
      <c r="M18" s="26">
        <f>IF(SUM(M7:M17)=M6,"✓",SUM(M7:M17)-M6)</f>
        <v/>
      </c>
    </row>
    <row r="20">
      <c r="A20" s="3" t="inlineStr">
        <is>
          <t>Hindu (Brahmanic)</t>
        </is>
      </c>
    </row>
    <row r="21">
      <c r="A21" s="4" t="inlineStr">
        <is>
          <t>Age</t>
        </is>
      </c>
      <c r="B21" s="5" t="inlineStr">
        <is>
          <t>POPULATION</t>
        </is>
      </c>
      <c r="C21" s="6" t="n"/>
      <c r="D21" s="6" t="n"/>
      <c r="E21" s="7" t="inlineStr">
        <is>
          <t>UNMARRIED</t>
        </is>
      </c>
      <c r="F21" s="8" t="n"/>
      <c r="G21" s="8" t="n"/>
      <c r="H21" s="9" t="inlineStr">
        <is>
          <t>MARRIED</t>
        </is>
      </c>
      <c r="I21" s="10" t="n"/>
      <c r="J21" s="10" t="n"/>
      <c r="K21" s="11" t="inlineStr">
        <is>
          <t>WIDOWED</t>
        </is>
      </c>
      <c r="L21" s="12" t="n"/>
      <c r="M21" s="12" t="n"/>
      <c r="N21" s="13" t="inlineStr">
        <is>
          <t>Check</t>
        </is>
      </c>
      <c r="O21" s="13" t="inlineStr">
        <is>
          <t>Check</t>
        </is>
      </c>
    </row>
    <row r="22">
      <c r="A22" s="14" t="inlineStr"/>
      <c r="B22" s="15" t="inlineStr">
        <is>
          <t>Persons</t>
        </is>
      </c>
      <c r="C22" s="15" t="inlineStr">
        <is>
          <t>Males</t>
        </is>
      </c>
      <c r="D22" s="15" t="inlineStr">
        <is>
          <t>Females</t>
        </is>
      </c>
      <c r="E22" s="15" t="inlineStr">
        <is>
          <t>Persons</t>
        </is>
      </c>
      <c r="F22" s="15" t="inlineStr">
        <is>
          <t>Males</t>
        </is>
      </c>
      <c r="G22" s="15" t="inlineStr">
        <is>
          <t>Females</t>
        </is>
      </c>
      <c r="H22" s="15" t="inlineStr">
        <is>
          <t>Persons</t>
        </is>
      </c>
      <c r="I22" s="15" t="inlineStr">
        <is>
          <t>Males</t>
        </is>
      </c>
      <c r="J22" s="15" t="inlineStr">
        <is>
          <t>Females</t>
        </is>
      </c>
      <c r="K22" s="15" t="inlineStr">
        <is>
          <t>Persons</t>
        </is>
      </c>
      <c r="L22" s="15" t="inlineStr">
        <is>
          <t>Males</t>
        </is>
      </c>
      <c r="M22" s="15" t="inlineStr">
        <is>
          <t>Females</t>
        </is>
      </c>
      <c r="N22" s="15" t="inlineStr">
        <is>
          <t>P=Sum</t>
        </is>
      </c>
      <c r="O22" s="15" t="inlineStr">
        <is>
          <t>M+F=P</t>
        </is>
      </c>
    </row>
    <row r="23">
      <c r="A23" s="16" t="inlineStr">
        <is>
          <t>Total</t>
        </is>
      </c>
      <c r="B23" s="17" t="n">
        <v>1178516</v>
      </c>
      <c r="C23" s="17" t="n">
        <v>603222</v>
      </c>
      <c r="D23" s="17" t="n">
        <v>575294</v>
      </c>
      <c r="E23" s="17" t="n">
        <v>380820</v>
      </c>
      <c r="F23" s="17" t="n">
        <v>222204</v>
      </c>
      <c r="G23" s="17" t="n">
        <v>158616</v>
      </c>
      <c r="H23" s="17" t="n">
        <v>670838</v>
      </c>
      <c r="I23" s="17" t="n">
        <v>342814</v>
      </c>
      <c r="J23" s="17" t="n">
        <v>328024</v>
      </c>
      <c r="K23" s="17" t="n">
        <v>126858</v>
      </c>
      <c r="L23" s="17" t="n">
        <v>38204</v>
      </c>
      <c r="M23" s="17" t="n">
        <v>88654</v>
      </c>
      <c r="N23" s="18">
        <f>IF(B23=E23+H23+K23,"✓","✗")</f>
        <v/>
      </c>
      <c r="O23" s="18">
        <f>IF(B23=C23+D23,"✓","✗")</f>
        <v/>
      </c>
    </row>
    <row r="24">
      <c r="A24" s="19" t="inlineStr">
        <is>
          <t>0-1</t>
        </is>
      </c>
      <c r="B24" s="20" t="n">
        <v>16720</v>
      </c>
      <c r="C24" s="20" t="n">
        <v>7920</v>
      </c>
      <c r="D24" s="20" t="n">
        <v>8800</v>
      </c>
      <c r="E24" s="20" t="n">
        <v>16453</v>
      </c>
      <c r="F24" s="20" t="n">
        <v>7793</v>
      </c>
      <c r="G24" s="20" t="n">
        <v>8660</v>
      </c>
      <c r="H24" s="20" t="n">
        <v>256</v>
      </c>
      <c r="I24" s="20" t="n">
        <v>127</v>
      </c>
      <c r="J24" s="20" t="n">
        <v>129</v>
      </c>
      <c r="K24" s="20" t="n">
        <v>11</v>
      </c>
      <c r="L24" s="20" t="n">
        <v>0</v>
      </c>
      <c r="M24" s="20" t="n">
        <v>11</v>
      </c>
      <c r="N24" s="21">
        <f>IF(B24=E24+H24+K24,"✓",B24-(E24+H24+K24))</f>
        <v/>
      </c>
      <c r="O24" s="21">
        <f>IF(B24=C24+D24,"✓","✗")</f>
        <v/>
      </c>
    </row>
    <row r="25">
      <c r="A25" s="22" t="inlineStr">
        <is>
          <t>1-5</t>
        </is>
      </c>
      <c r="B25" s="23" t="n">
        <v>79552</v>
      </c>
      <c r="C25" s="23" t="n">
        <v>36388</v>
      </c>
      <c r="D25" s="23" t="n">
        <v>43164</v>
      </c>
      <c r="E25" s="23" t="n">
        <v>71673</v>
      </c>
      <c r="F25" s="23" t="n">
        <v>34515</v>
      </c>
      <c r="G25" s="23" t="n">
        <v>37158</v>
      </c>
      <c r="H25" s="23" t="n">
        <v>7659</v>
      </c>
      <c r="I25" s="23" t="n">
        <v>1801</v>
      </c>
      <c r="J25" s="23" t="n">
        <v>5858</v>
      </c>
      <c r="K25" s="23" t="n">
        <v>220</v>
      </c>
      <c r="L25" s="23" t="n">
        <v>72</v>
      </c>
      <c r="M25" s="23" t="n">
        <v>148</v>
      </c>
      <c r="N25" s="24">
        <f>IF(B25=E25+H25+K25,"✓",B25-(E25+H25+K25))</f>
        <v/>
      </c>
      <c r="O25" s="24">
        <f>IF(B25=C25+D25,"✓","✗")</f>
        <v/>
      </c>
    </row>
    <row r="26">
      <c r="A26" s="19" t="inlineStr">
        <is>
          <t>5-10</t>
        </is>
      </c>
      <c r="B26" s="20" t="n">
        <v>78024</v>
      </c>
      <c r="C26" s="20" t="n">
        <v>40380</v>
      </c>
      <c r="D26" s="20" t="n">
        <v>37644</v>
      </c>
      <c r="E26" s="20" t="n">
        <v>51747</v>
      </c>
      <c r="F26" s="20" t="n">
        <v>31737</v>
      </c>
      <c r="G26" s="20" t="n">
        <v>20010</v>
      </c>
      <c r="H26" s="20" t="n">
        <v>25494</v>
      </c>
      <c r="I26" s="20" t="n">
        <v>8354</v>
      </c>
      <c r="J26" s="20" t="n">
        <v>17140</v>
      </c>
      <c r="K26" s="20" t="n">
        <v>783</v>
      </c>
      <c r="L26" s="20" t="n">
        <v>289</v>
      </c>
      <c r="M26" s="20" t="n">
        <v>494</v>
      </c>
      <c r="N26" s="21">
        <f>IF(B26=E26+H26+K26,"✓",B26-(E26+H26+K26))</f>
        <v/>
      </c>
      <c r="O26" s="21">
        <f>IF(B26=C26+D26,"✓","✗")</f>
        <v/>
      </c>
    </row>
    <row r="27">
      <c r="A27" s="22" t="inlineStr">
        <is>
          <t>10-15</t>
        </is>
      </c>
      <c r="B27" s="23" t="n">
        <v>71193</v>
      </c>
      <c r="C27" s="23" t="n">
        <v>37211</v>
      </c>
      <c r="D27" s="23" t="n">
        <v>33982</v>
      </c>
      <c r="E27" s="23" t="n">
        <v>32691</v>
      </c>
      <c r="F27" s="23" t="n">
        <v>22328</v>
      </c>
      <c r="G27" s="23" t="n">
        <v>10363</v>
      </c>
      <c r="H27" s="23" t="n">
        <v>37467</v>
      </c>
      <c r="I27" s="23" t="n">
        <v>14453</v>
      </c>
      <c r="J27" s="23" t="n">
        <v>23014</v>
      </c>
      <c r="K27" s="23" t="n">
        <v>1035</v>
      </c>
      <c r="L27" s="23" t="n">
        <v>430</v>
      </c>
      <c r="M27" s="23" t="n">
        <v>605</v>
      </c>
      <c r="N27" s="24">
        <f>IF(B27=E27+H27+K27,"✓",B27-(E27+H27+K27))</f>
        <v/>
      </c>
      <c r="O27" s="24">
        <f>IF(B27=C27+D27,"✓","✗")</f>
        <v/>
      </c>
    </row>
    <row r="28">
      <c r="A28" s="19" t="inlineStr">
        <is>
          <t>15-20</t>
        </is>
      </c>
      <c r="B28" s="20" t="n">
        <v>51162</v>
      </c>
      <c r="C28" s="20" t="n">
        <v>25069</v>
      </c>
      <c r="D28" s="20" t="n">
        <v>26093</v>
      </c>
      <c r="E28" s="20" t="n">
        <v>7484</v>
      </c>
      <c r="F28" s="20" t="n">
        <v>6384</v>
      </c>
      <c r="G28" s="20" t="n">
        <v>1100</v>
      </c>
      <c r="H28" s="20" t="n">
        <v>41823</v>
      </c>
      <c r="I28" s="20" t="n">
        <v>17683</v>
      </c>
      <c r="J28" s="20" t="n">
        <v>24140</v>
      </c>
      <c r="K28" s="20" t="n">
        <v>1855</v>
      </c>
      <c r="L28" s="20" t="n">
        <v>1002</v>
      </c>
      <c r="M28" s="20" t="n">
        <v>853</v>
      </c>
      <c r="N28" s="21">
        <f>IF(B28=E28+H28+K28,"✓",B28-(E28+H28+K28))</f>
        <v/>
      </c>
      <c r="O28" s="21">
        <f>IF(B28=C28+D28,"✓","✗")</f>
        <v/>
      </c>
    </row>
    <row r="29">
      <c r="A29" s="22" t="inlineStr">
        <is>
          <t>20-30</t>
        </is>
      </c>
      <c r="B29" s="23" t="n">
        <v>101754</v>
      </c>
      <c r="C29" s="23" t="n">
        <v>53589</v>
      </c>
      <c r="D29" s="23" t="n">
        <v>48165</v>
      </c>
      <c r="E29" s="23" t="n">
        <v>5894</v>
      </c>
      <c r="F29" s="23" t="n">
        <v>5271</v>
      </c>
      <c r="G29" s="23" t="n">
        <v>623</v>
      </c>
      <c r="H29" s="23" t="n">
        <v>88771</v>
      </c>
      <c r="I29" s="23" t="n">
        <v>44709</v>
      </c>
      <c r="J29" s="23" t="n">
        <v>44062</v>
      </c>
      <c r="K29" s="23" t="n">
        <v>7089</v>
      </c>
      <c r="L29" s="23" t="n">
        <v>3609</v>
      </c>
      <c r="M29" s="23" t="n">
        <v>3480</v>
      </c>
      <c r="N29" s="24">
        <f>IF(B29=E29+H29+K29,"✓",B29-(E29+H29+K29))</f>
        <v/>
      </c>
      <c r="O29" s="24">
        <f>IF(B29=C29+D29,"✓","✗")</f>
        <v/>
      </c>
    </row>
    <row r="30">
      <c r="A30" s="19" t="inlineStr">
        <is>
          <t>30-40</t>
        </is>
      </c>
      <c r="B30" s="20" t="n">
        <v>76120</v>
      </c>
      <c r="C30" s="20" t="n">
        <v>39757</v>
      </c>
      <c r="D30" s="20" t="n">
        <v>36363</v>
      </c>
      <c r="E30" s="20" t="n">
        <v>2209</v>
      </c>
      <c r="F30" s="20" t="n">
        <v>1429</v>
      </c>
      <c r="G30" s="20" t="n">
        <v>780</v>
      </c>
      <c r="H30" s="20" t="n">
        <v>63213</v>
      </c>
      <c r="I30" s="20" t="n">
        <v>35417</v>
      </c>
      <c r="J30" s="20" t="n">
        <v>27796</v>
      </c>
      <c r="K30" s="20" t="n">
        <v>10698</v>
      </c>
      <c r="L30" s="20" t="n">
        <v>2911</v>
      </c>
      <c r="M30" s="20" t="n">
        <v>7787</v>
      </c>
      <c r="N30" s="21">
        <f>IF(B30=E30+H30+K30,"✓",B30-(E30+H30+K30))</f>
        <v/>
      </c>
      <c r="O30" s="21">
        <f>IF(B30=C30+D30,"✓","✗")</f>
        <v/>
      </c>
    </row>
    <row r="31">
      <c r="A31" s="22" t="inlineStr">
        <is>
          <t>40-50</t>
        </is>
      </c>
      <c r="B31" s="23" t="n">
        <v>54985</v>
      </c>
      <c r="C31" s="23" t="n">
        <v>29679</v>
      </c>
      <c r="D31" s="23" t="n">
        <v>25306</v>
      </c>
      <c r="E31" s="23" t="n">
        <v>1036</v>
      </c>
      <c r="F31" s="23" t="n">
        <v>785</v>
      </c>
      <c r="G31" s="23" t="n">
        <v>251</v>
      </c>
      <c r="H31" s="23" t="n">
        <v>39580</v>
      </c>
      <c r="I31" s="23" t="n">
        <v>25321</v>
      </c>
      <c r="J31" s="23" t="n">
        <v>14259</v>
      </c>
      <c r="K31" s="23" t="n">
        <v>14369</v>
      </c>
      <c r="L31" s="23" t="n">
        <v>3573</v>
      </c>
      <c r="M31" s="23" t="n">
        <v>10796</v>
      </c>
      <c r="N31" s="24">
        <f>IF(B31=E31+H31+K31,"✓",B31-(E31+H31+K31))</f>
        <v/>
      </c>
      <c r="O31" s="24">
        <f>IF(B31=C31+D31,"✓","✗")</f>
        <v/>
      </c>
    </row>
    <row r="32">
      <c r="A32" s="19" t="inlineStr">
        <is>
          <t>50-60</t>
        </is>
      </c>
      <c r="B32" s="20" t="n">
        <v>34273</v>
      </c>
      <c r="C32" s="20" t="n">
        <v>18583</v>
      </c>
      <c r="D32" s="20" t="n">
        <v>15690</v>
      </c>
      <c r="E32" s="20" t="n">
        <v>670</v>
      </c>
      <c r="F32" s="20" t="n">
        <v>431</v>
      </c>
      <c r="G32" s="20" t="n">
        <v>239</v>
      </c>
      <c r="H32" s="20" t="n">
        <v>19665</v>
      </c>
      <c r="I32" s="20" t="n">
        <v>14597</v>
      </c>
      <c r="J32" s="20" t="n">
        <v>5068</v>
      </c>
      <c r="K32" s="20" t="n">
        <v>13938</v>
      </c>
      <c r="L32" s="20" t="n">
        <v>3555</v>
      </c>
      <c r="M32" s="20" t="n">
        <v>10383</v>
      </c>
      <c r="N32" s="21">
        <f>IF(B32=E32+H32+K32,"✓",B32-(E32+H32+K32))</f>
        <v/>
      </c>
      <c r="O32" s="21">
        <f>IF(B32=C32+D32,"✓","✗")</f>
        <v/>
      </c>
    </row>
    <row r="33">
      <c r="A33" s="22" t="inlineStr">
        <is>
          <t>60 and over</t>
        </is>
      </c>
      <c r="B33" s="23" t="n">
        <v>25475</v>
      </c>
      <c r="C33" s="23" t="n">
        <v>13035</v>
      </c>
      <c r="D33" s="23" t="n">
        <v>12440</v>
      </c>
      <c r="E33" s="23" t="n">
        <v>553</v>
      </c>
      <c r="F33" s="23" t="n">
        <v>429</v>
      </c>
      <c r="G33" s="23" t="n">
        <v>124</v>
      </c>
      <c r="H33" s="23" t="n">
        <v>11491</v>
      </c>
      <c r="I33" s="23" t="n">
        <v>8945</v>
      </c>
      <c r="J33" s="23" t="n">
        <v>2546</v>
      </c>
      <c r="K33" s="23" t="n">
        <v>13431</v>
      </c>
      <c r="L33" s="23" t="n">
        <v>3661</v>
      </c>
      <c r="M33" s="23" t="n">
        <v>9770</v>
      </c>
      <c r="N33" s="24">
        <f>IF(B33=E33+H33+K33,"✓",B33-(E33+H33+K33))</f>
        <v/>
      </c>
      <c r="O33" s="24">
        <f>IF(B33=C33+D33,"✓","✗")</f>
        <v/>
      </c>
    </row>
    <row r="34">
      <c r="A34" s="19" t="inlineStr">
        <is>
          <t>Total</t>
        </is>
      </c>
      <c r="B34" s="20" t="n">
        <v>589258</v>
      </c>
      <c r="C34" s="20" t="n">
        <v>301611</v>
      </c>
      <c r="D34" s="20" t="n">
        <v>287647</v>
      </c>
      <c r="E34" s="20" t="n">
        <v>190410</v>
      </c>
      <c r="F34" s="20" t="n">
        <v>111102</v>
      </c>
      <c r="G34" s="20" t="n">
        <v>79308</v>
      </c>
      <c r="H34" s="20" t="n">
        <v>335419</v>
      </c>
      <c r="I34" s="20" t="n">
        <v>171407</v>
      </c>
      <c r="J34" s="20" t="n">
        <v>164012</v>
      </c>
      <c r="K34" s="20" t="n">
        <v>63429</v>
      </c>
      <c r="L34" s="20" t="n">
        <v>19102</v>
      </c>
      <c r="M34" s="20" t="n">
        <v>44327</v>
      </c>
      <c r="N34" s="21">
        <f>IF(B34=E34+H34+K34,"✓",B34-(E34+H34+K34))</f>
        <v/>
      </c>
      <c r="O34" s="21">
        <f>IF(B34=C34+D34,"✓","✗")</f>
        <v/>
      </c>
    </row>
    <row r="35">
      <c r="A35" s="25" t="inlineStr">
        <is>
          <t>Verify: Sum</t>
        </is>
      </c>
      <c r="B35" s="26">
        <f>IF(SUM(B24:B34)=B23,"✓",SUM(B24:B34)-B23)</f>
        <v/>
      </c>
      <c r="C35" s="26">
        <f>IF(SUM(C24:C34)=C23,"✓",SUM(C24:C34)-C23)</f>
        <v/>
      </c>
      <c r="D35" s="26">
        <f>IF(SUM(D24:D34)=D23,"✓",SUM(D24:D34)-D23)</f>
        <v/>
      </c>
      <c r="E35" s="26">
        <f>IF(SUM(E24:E34)=E23,"✓",SUM(E24:E34)-E23)</f>
        <v/>
      </c>
      <c r="F35" s="26">
        <f>IF(SUM(F24:F34)=F23,"✓",SUM(F24:F34)-F23)</f>
        <v/>
      </c>
      <c r="G35" s="26">
        <f>IF(SUM(G24:G34)=G23,"✓",SUM(G24:G34)-G23)</f>
        <v/>
      </c>
      <c r="H35" s="26">
        <f>IF(SUM(H24:H34)=H23,"✓",SUM(H24:H34)-H23)</f>
        <v/>
      </c>
      <c r="I35" s="26">
        <f>IF(SUM(I24:I34)=I23,"✓",SUM(I24:I34)-I23)</f>
        <v/>
      </c>
      <c r="J35" s="26">
        <f>IF(SUM(J24:J34)=J23,"✓",SUM(J24:J34)-J23)</f>
        <v/>
      </c>
      <c r="K35" s="26">
        <f>IF(SUM(K24:K34)=K23,"✓",SUM(K24:K34)-K23)</f>
        <v/>
      </c>
      <c r="L35" s="26">
        <f>IF(SUM(L24:L34)=L23,"✓",SUM(L24:L34)-L23)</f>
        <v/>
      </c>
      <c r="M35" s="26">
        <f>IF(SUM(M24:M34)=M23,"✓",SUM(M24:M34)-M23)</f>
        <v/>
      </c>
    </row>
    <row r="37">
      <c r="A37" s="3" t="inlineStr">
        <is>
          <t>Adi Hindu</t>
        </is>
      </c>
    </row>
    <row r="38">
      <c r="A38" s="4" t="inlineStr">
        <is>
          <t>Age</t>
        </is>
      </c>
      <c r="B38" s="5" t="inlineStr">
        <is>
          <t>POPULATION</t>
        </is>
      </c>
      <c r="C38" s="6" t="n"/>
      <c r="D38" s="6" t="n"/>
      <c r="E38" s="7" t="inlineStr">
        <is>
          <t>UNMARRIED</t>
        </is>
      </c>
      <c r="F38" s="8" t="n"/>
      <c r="G38" s="8" t="n"/>
      <c r="H38" s="9" t="inlineStr">
        <is>
          <t>MARRIED</t>
        </is>
      </c>
      <c r="I38" s="10" t="n"/>
      <c r="J38" s="10" t="n"/>
      <c r="K38" s="11" t="inlineStr">
        <is>
          <t>WIDOWED</t>
        </is>
      </c>
      <c r="L38" s="12" t="n"/>
      <c r="M38" s="12" t="n"/>
      <c r="N38" s="13" t="inlineStr">
        <is>
          <t>Check</t>
        </is>
      </c>
      <c r="O38" s="13" t="inlineStr">
        <is>
          <t>Check</t>
        </is>
      </c>
    </row>
    <row r="39">
      <c r="A39" s="14" t="inlineStr"/>
      <c r="B39" s="15" t="inlineStr">
        <is>
          <t>Persons</t>
        </is>
      </c>
      <c r="C39" s="15" t="inlineStr">
        <is>
          <t>Males</t>
        </is>
      </c>
      <c r="D39" s="15" t="inlineStr">
        <is>
          <t>Females</t>
        </is>
      </c>
      <c r="E39" s="15" t="inlineStr">
        <is>
          <t>Persons</t>
        </is>
      </c>
      <c r="F39" s="15" t="inlineStr">
        <is>
          <t>Males</t>
        </is>
      </c>
      <c r="G39" s="15" t="inlineStr">
        <is>
          <t>Females</t>
        </is>
      </c>
      <c r="H39" s="15" t="inlineStr">
        <is>
          <t>Persons</t>
        </is>
      </c>
      <c r="I39" s="15" t="inlineStr">
        <is>
          <t>Males</t>
        </is>
      </c>
      <c r="J39" s="15" t="inlineStr">
        <is>
          <t>Females</t>
        </is>
      </c>
      <c r="K39" s="15" t="inlineStr">
        <is>
          <t>Persons</t>
        </is>
      </c>
      <c r="L39" s="15" t="inlineStr">
        <is>
          <t>Males</t>
        </is>
      </c>
      <c r="M39" s="15" t="inlineStr">
        <is>
          <t>Females</t>
        </is>
      </c>
      <c r="N39" s="15" t="inlineStr">
        <is>
          <t>P=Sum</t>
        </is>
      </c>
      <c r="O39" s="15" t="inlineStr">
        <is>
          <t>M+F=P</t>
        </is>
      </c>
    </row>
    <row r="40">
      <c r="A40" s="16" t="inlineStr">
        <is>
          <t>Total</t>
        </is>
      </c>
      <c r="B40" s="17" t="n">
        <v>306060</v>
      </c>
      <c r="C40" s="17" t="n">
        <v>152688</v>
      </c>
      <c r="D40" s="17" t="n">
        <v>153372</v>
      </c>
      <c r="E40" s="17" t="n">
        <v>101120</v>
      </c>
      <c r="F40" s="17" t="n">
        <v>54960</v>
      </c>
      <c r="G40" s="17" t="n">
        <v>46160</v>
      </c>
      <c r="H40" s="17" t="n">
        <v>180778</v>
      </c>
      <c r="I40" s="17" t="n">
        <v>92818</v>
      </c>
      <c r="J40" s="17" t="n">
        <v>87960</v>
      </c>
      <c r="K40" s="17" t="n">
        <v>24162</v>
      </c>
      <c r="L40" s="17" t="n">
        <v>4910</v>
      </c>
      <c r="M40" s="17" t="n">
        <v>19252</v>
      </c>
      <c r="N40" s="18">
        <f>IF(B40=E40+H40+K40,"✓","✗")</f>
        <v/>
      </c>
      <c r="O40" s="18">
        <f>IF(B40=C40+D40,"✓","✗")</f>
        <v/>
      </c>
    </row>
    <row r="41">
      <c r="A41" s="19" t="inlineStr">
        <is>
          <t>Total</t>
        </is>
      </c>
      <c r="B41" s="20" t="n">
        <v>153030</v>
      </c>
      <c r="C41" s="20" t="n">
        <v>76344</v>
      </c>
      <c r="D41" s="20" t="n">
        <v>76686</v>
      </c>
      <c r="E41" s="20" t="n">
        <v>50560</v>
      </c>
      <c r="F41" s="20" t="n">
        <v>27480</v>
      </c>
      <c r="G41" s="20" t="n">
        <v>23080</v>
      </c>
      <c r="H41" s="20" t="n">
        <v>90389</v>
      </c>
      <c r="I41" s="20" t="n">
        <v>46409</v>
      </c>
      <c r="J41" s="20" t="n">
        <v>43980</v>
      </c>
      <c r="K41" s="20" t="n">
        <v>12081</v>
      </c>
      <c r="L41" s="20" t="n">
        <v>2455</v>
      </c>
      <c r="M41" s="20" t="n">
        <v>9626</v>
      </c>
      <c r="N41" s="21">
        <f>IF(B41=E41+H41+K41,"✓",B41-(E41+H41+K41))</f>
        <v/>
      </c>
      <c r="O41" s="21">
        <f>IF(B41=C41+D41,"✓","✗")</f>
        <v/>
      </c>
    </row>
    <row r="42">
      <c r="A42" s="22" t="inlineStr">
        <is>
          <t>0-1</t>
        </is>
      </c>
      <c r="B42" s="23" t="n">
        <v>5012</v>
      </c>
      <c r="C42" s="23" t="n">
        <v>2444</v>
      </c>
      <c r="D42" s="23" t="n">
        <v>2568</v>
      </c>
      <c r="E42" s="23" t="n">
        <v>4870</v>
      </c>
      <c r="F42" s="23" t="n">
        <v>2381</v>
      </c>
      <c r="G42" s="23" t="n">
        <v>2489</v>
      </c>
      <c r="H42" s="23" t="n">
        <v>140</v>
      </c>
      <c r="I42" s="23" t="n">
        <v>63</v>
      </c>
      <c r="J42" s="23" t="n">
        <v>77</v>
      </c>
      <c r="K42" s="23" t="n">
        <v>2</v>
      </c>
      <c r="L42" s="23" t="n">
        <v>0</v>
      </c>
      <c r="M42" s="23" t="n">
        <v>2</v>
      </c>
      <c r="N42" s="24">
        <f>IF(B42=E42+H42+K42,"✓",B42-(E42+H42+K42))</f>
        <v/>
      </c>
      <c r="O42" s="24">
        <f>IF(B42=C42+D42,"✓","✗")</f>
        <v/>
      </c>
    </row>
    <row r="43">
      <c r="A43" s="19" t="inlineStr">
        <is>
          <t>1-5</t>
        </is>
      </c>
      <c r="B43" s="20" t="n">
        <v>24293</v>
      </c>
      <c r="C43" s="20" t="n">
        <v>11073</v>
      </c>
      <c r="D43" s="20" t="n">
        <v>13220</v>
      </c>
      <c r="E43" s="20" t="n">
        <v>21740</v>
      </c>
      <c r="F43" s="20" t="n">
        <v>10393</v>
      </c>
      <c r="G43" s="20" t="n">
        <v>11347</v>
      </c>
      <c r="H43" s="20" t="n">
        <v>2478</v>
      </c>
      <c r="I43" s="20" t="n">
        <v>667</v>
      </c>
      <c r="J43" s="20" t="n">
        <v>1811</v>
      </c>
      <c r="K43" s="20" t="n">
        <v>75</v>
      </c>
      <c r="L43" s="20" t="n">
        <v>13</v>
      </c>
      <c r="M43" s="20" t="n">
        <v>62</v>
      </c>
      <c r="N43" s="21">
        <f>IF(B43=E43+H43+K43,"✓",B43-(E43+H43+K43))</f>
        <v/>
      </c>
      <c r="O43" s="21">
        <f>IF(B43=C43+D43,"✓","✗")</f>
        <v/>
      </c>
    </row>
    <row r="44">
      <c r="A44" s="22" t="inlineStr">
        <is>
          <t>5-10</t>
        </is>
      </c>
      <c r="B44" s="23" t="n">
        <v>21258</v>
      </c>
      <c r="C44" s="23" t="n">
        <v>11195</v>
      </c>
      <c r="D44" s="23" t="n">
        <v>10063</v>
      </c>
      <c r="E44" s="23" t="n">
        <v>12832</v>
      </c>
      <c r="F44" s="23" t="n">
        <v>7534</v>
      </c>
      <c r="G44" s="23" t="n">
        <v>5298</v>
      </c>
      <c r="H44" s="23" t="n">
        <v>8225</v>
      </c>
      <c r="I44" s="23" t="n">
        <v>3593</v>
      </c>
      <c r="J44" s="23" t="n">
        <v>4632</v>
      </c>
      <c r="K44" s="23" t="n">
        <v>201</v>
      </c>
      <c r="L44" s="23" t="n">
        <v>68</v>
      </c>
      <c r="M44" s="23" t="n">
        <v>133</v>
      </c>
      <c r="N44" s="24">
        <f>IF(B44=E44+H44+K44,"✓",B44-(E44+H44+K44))</f>
        <v/>
      </c>
      <c r="O44" s="24">
        <f>IF(B44=C44+D44,"✓","✗")</f>
        <v/>
      </c>
    </row>
    <row r="45">
      <c r="A45" s="19" t="inlineStr">
        <is>
          <t>10-15</t>
        </is>
      </c>
      <c r="B45" s="20" t="n">
        <v>18173</v>
      </c>
      <c r="C45" s="20" t="n">
        <v>9293</v>
      </c>
      <c r="D45" s="20" t="n">
        <v>8880</v>
      </c>
      <c r="E45" s="20" t="n">
        <v>7684</v>
      </c>
      <c r="F45" s="20" t="n">
        <v>5085</v>
      </c>
      <c r="G45" s="20" t="n">
        <v>2599</v>
      </c>
      <c r="H45" s="20" t="n">
        <v>10189</v>
      </c>
      <c r="I45" s="20" t="n">
        <v>4061</v>
      </c>
      <c r="J45" s="20" t="n">
        <v>6128</v>
      </c>
      <c r="K45" s="20" t="n">
        <v>300</v>
      </c>
      <c r="L45" s="20" t="n">
        <v>147</v>
      </c>
      <c r="M45" s="20" t="n">
        <v>153</v>
      </c>
      <c r="N45" s="21">
        <f>IF(B45=E45+H45+K45,"✓",B45-(E45+H45+K45))</f>
        <v/>
      </c>
      <c r="O45" s="21">
        <f>IF(B45=C45+D45,"✓","✗")</f>
        <v/>
      </c>
    </row>
    <row r="46">
      <c r="A46" s="22" t="inlineStr">
        <is>
          <t>15-20</t>
        </is>
      </c>
      <c r="B46" s="23" t="n">
        <v>12896</v>
      </c>
      <c r="C46" s="23" t="n">
        <v>6447</v>
      </c>
      <c r="D46" s="23" t="n">
        <v>6449</v>
      </c>
      <c r="E46" s="23" t="n">
        <v>1660</v>
      </c>
      <c r="F46" s="23" t="n">
        <v>1148</v>
      </c>
      <c r="G46" s="23" t="n">
        <v>512</v>
      </c>
      <c r="H46" s="23" t="n">
        <v>11008</v>
      </c>
      <c r="I46" s="23" t="n">
        <v>5218</v>
      </c>
      <c r="J46" s="23" t="n">
        <v>5790</v>
      </c>
      <c r="K46" s="23" t="n">
        <v>228</v>
      </c>
      <c r="L46" s="23" t="n">
        <v>81</v>
      </c>
      <c r="M46" s="23" t="n">
        <v>147</v>
      </c>
      <c r="N46" s="24">
        <f>IF(B46=E46+H46+K46,"✓",B46-(E46+H46+K46))</f>
        <v/>
      </c>
      <c r="O46" s="24">
        <f>IF(B46=C46+D46,"✓","✗")</f>
        <v/>
      </c>
    </row>
    <row r="47">
      <c r="A47" s="19" t="inlineStr">
        <is>
          <t>20-30</t>
        </is>
      </c>
      <c r="B47" s="20" t="n">
        <v>24786</v>
      </c>
      <c r="C47" s="20" t="n">
        <v>12528</v>
      </c>
      <c r="D47" s="20" t="n">
        <v>12258</v>
      </c>
      <c r="E47" s="20" t="n">
        <v>911</v>
      </c>
      <c r="F47" s="20" t="n">
        <v>630</v>
      </c>
      <c r="G47" s="20" t="n">
        <v>281</v>
      </c>
      <c r="H47" s="20" t="n">
        <v>22813</v>
      </c>
      <c r="I47" s="20" t="n">
        <v>11594</v>
      </c>
      <c r="J47" s="20" t="n">
        <v>11219</v>
      </c>
      <c r="K47" s="20" t="n">
        <v>1062</v>
      </c>
      <c r="L47" s="20" t="n">
        <v>304</v>
      </c>
      <c r="M47" s="20" t="n">
        <v>758</v>
      </c>
      <c r="N47" s="21">
        <f>IF(B47=E47+H47+K47,"✓",B47-(E47+H47+K47))</f>
        <v/>
      </c>
      <c r="O47" s="21">
        <f>IF(B47=C47+D47,"✓","✗")</f>
        <v/>
      </c>
    </row>
    <row r="48">
      <c r="A48" s="22" t="inlineStr">
        <is>
          <t>30-40</t>
        </is>
      </c>
      <c r="B48" s="23" t="n">
        <v>19106</v>
      </c>
      <c r="C48" s="23" t="n">
        <v>9297</v>
      </c>
      <c r="D48" s="23" t="n">
        <v>9809</v>
      </c>
      <c r="E48" s="23" t="n">
        <v>430</v>
      </c>
      <c r="F48" s="23" t="n">
        <v>132</v>
      </c>
      <c r="G48" s="23" t="n">
        <v>298</v>
      </c>
      <c r="H48" s="23" t="n">
        <v>16640</v>
      </c>
      <c r="I48" s="23" t="n">
        <v>8802</v>
      </c>
      <c r="J48" s="23" t="n">
        <v>7838</v>
      </c>
      <c r="K48" s="23" t="n">
        <v>2036</v>
      </c>
      <c r="L48" s="23" t="n">
        <v>363</v>
      </c>
      <c r="M48" s="23" t="n">
        <v>1673</v>
      </c>
      <c r="N48" s="24">
        <f>IF(B48=E48+H48+K48,"✓",B48-(E48+H48+K48))</f>
        <v/>
      </c>
      <c r="O48" s="24">
        <f>IF(B48=C48+D48,"✓","✗")</f>
        <v/>
      </c>
    </row>
    <row r="49">
      <c r="A49" s="19" t="inlineStr">
        <is>
          <t>40-50</t>
        </is>
      </c>
      <c r="B49" s="20" t="n">
        <v>13740</v>
      </c>
      <c r="C49" s="20" t="n">
        <v>7177</v>
      </c>
      <c r="D49" s="20" t="n">
        <v>6563</v>
      </c>
      <c r="E49" s="20" t="n">
        <v>282</v>
      </c>
      <c r="F49" s="20" t="n">
        <v>71</v>
      </c>
      <c r="G49" s="20" t="n">
        <v>211</v>
      </c>
      <c r="H49" s="20" t="n">
        <v>10589</v>
      </c>
      <c r="I49" s="20" t="n">
        <v>6653</v>
      </c>
      <c r="J49" s="20" t="n">
        <v>3936</v>
      </c>
      <c r="K49" s="20" t="n">
        <v>2869</v>
      </c>
      <c r="L49" s="20" t="n">
        <v>453</v>
      </c>
      <c r="M49" s="20" t="n">
        <v>2416</v>
      </c>
      <c r="N49" s="21">
        <f>IF(B49=E49+H49+K49,"✓",B49-(E49+H49+K49))</f>
        <v/>
      </c>
      <c r="O49" s="21">
        <f>IF(B49=C49+D49,"✓","✗")</f>
        <v/>
      </c>
    </row>
    <row r="50">
      <c r="A50" s="22" t="inlineStr">
        <is>
          <t>50-60</t>
        </is>
      </c>
      <c r="B50" s="23" t="n">
        <v>8709</v>
      </c>
      <c r="C50" s="23" t="n">
        <v>4585</v>
      </c>
      <c r="D50" s="23" t="n">
        <v>4124</v>
      </c>
      <c r="E50" s="23" t="n">
        <v>75</v>
      </c>
      <c r="F50" s="23" t="n">
        <v>47</v>
      </c>
      <c r="G50" s="23" t="n">
        <v>28</v>
      </c>
      <c r="H50" s="23" t="n">
        <v>5835</v>
      </c>
      <c r="I50" s="23" t="n">
        <v>4018</v>
      </c>
      <c r="J50" s="23" t="n">
        <v>1817</v>
      </c>
      <c r="K50" s="23" t="n">
        <v>2799</v>
      </c>
      <c r="L50" s="23" t="n">
        <v>520</v>
      </c>
      <c r="M50" s="23" t="n">
        <v>2279</v>
      </c>
      <c r="N50" s="24">
        <f>IF(B50=E50+H50+K50,"✓",B50-(E50+H50+K50))</f>
        <v/>
      </c>
      <c r="O50" s="24">
        <f>IF(B50=C50+D50,"✓","✗")</f>
        <v/>
      </c>
    </row>
    <row r="51">
      <c r="A51" s="19" t="inlineStr">
        <is>
          <t>60 and over</t>
        </is>
      </c>
      <c r="B51" s="20" t="n">
        <v>5057</v>
      </c>
      <c r="C51" s="20" t="n">
        <v>2305</v>
      </c>
      <c r="D51" s="20" t="n">
        <v>2752</v>
      </c>
      <c r="E51" s="20" t="n">
        <v>76</v>
      </c>
      <c r="F51" s="20" t="n">
        <v>59</v>
      </c>
      <c r="G51" s="20" t="n">
        <v>17</v>
      </c>
      <c r="H51" s="20" t="n">
        <v>2472</v>
      </c>
      <c r="I51" s="20" t="n">
        <v>1740</v>
      </c>
      <c r="J51" s="20" t="n">
        <v>732</v>
      </c>
      <c r="K51" s="20" t="n">
        <v>2509</v>
      </c>
      <c r="L51" s="20" t="n">
        <v>506</v>
      </c>
      <c r="M51" s="20" t="n">
        <v>2003</v>
      </c>
      <c r="N51" s="21">
        <f>IF(B51=E51+H51+K51,"✓",B51-(E51+H51+K51))</f>
        <v/>
      </c>
      <c r="O51" s="21">
        <f>IF(B51=C51+D51,"✓","✗")</f>
        <v/>
      </c>
    </row>
    <row r="52">
      <c r="A52" s="25" t="inlineStr">
        <is>
          <t>Verify: Sum</t>
        </is>
      </c>
      <c r="B52" s="26">
        <f>IF(SUM(B41:B51)=B40,"✓",SUM(B41:B51)-B40)</f>
        <v/>
      </c>
      <c r="C52" s="26">
        <f>IF(SUM(C41:C51)=C40,"✓",SUM(C41:C51)-C40)</f>
        <v/>
      </c>
      <c r="D52" s="26">
        <f>IF(SUM(D41:D51)=D40,"✓",SUM(D41:D51)-D40)</f>
        <v/>
      </c>
      <c r="E52" s="26">
        <f>IF(SUM(E41:E51)=E40,"✓",SUM(E41:E51)-E40)</f>
        <v/>
      </c>
      <c r="F52" s="26">
        <f>IF(SUM(F41:F51)=F40,"✓",SUM(F41:F51)-F40)</f>
        <v/>
      </c>
      <c r="G52" s="26">
        <f>IF(SUM(G41:G51)=G40,"✓",SUM(G41:G51)-G40)</f>
        <v/>
      </c>
      <c r="H52" s="26">
        <f>IF(SUM(H41:H51)=H40,"✓",SUM(H41:H51)-H40)</f>
        <v/>
      </c>
      <c r="I52" s="26">
        <f>IF(SUM(I41:I51)=I40,"✓",SUM(I41:I51)-I40)</f>
        <v/>
      </c>
      <c r="J52" s="26">
        <f>IF(SUM(J41:J51)=J40,"✓",SUM(J41:J51)-J40)</f>
        <v/>
      </c>
      <c r="K52" s="26">
        <f>IF(SUM(K41:K51)=K40,"✓",SUM(K41:K51)-K40)</f>
        <v/>
      </c>
      <c r="L52" s="26">
        <f>IF(SUM(L41:L51)=L40,"✓",SUM(L41:L51)-L40)</f>
        <v/>
      </c>
      <c r="M52" s="26">
        <f>IF(SUM(M41:M51)=M40,"✓",SUM(M41:M51)-M40)</f>
        <v/>
      </c>
    </row>
  </sheetData>
  <mergeCells count="12">
    <mergeCell ref="H38:J38"/>
    <mergeCell ref="K38:M38"/>
    <mergeCell ref="K4:M4"/>
    <mergeCell ref="B4:D4"/>
    <mergeCell ref="H4:J4"/>
    <mergeCell ref="K21:M21"/>
    <mergeCell ref="E4:G4"/>
    <mergeCell ref="B21:D21"/>
    <mergeCell ref="E21:G21"/>
    <mergeCell ref="B38:D38"/>
    <mergeCell ref="H21:J21"/>
    <mergeCell ref="E38:G38"/>
  </mergeCells>
  <conditionalFormatting sqref="N6:N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6:O18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N23:N35">
    <cfRule type="cellIs" priority="5" operator="equal" dxfId="0">
      <formula>"✓"</formula>
    </cfRule>
    <cfRule type="cellIs" priority="6" operator="notEqual" dxfId="1">
      <formula>"✓"</formula>
    </cfRule>
  </conditionalFormatting>
  <conditionalFormatting sqref="O23:O35">
    <cfRule type="cellIs" priority="7" operator="equal" dxfId="0">
      <formula>"✓"</formula>
    </cfRule>
    <cfRule type="cellIs" priority="8" operator="notEqual" dxfId="1">
      <formula>"✓"</formula>
    </cfRule>
  </conditionalFormatting>
  <conditionalFormatting sqref="N40:N52">
    <cfRule type="cellIs" priority="9" operator="equal" dxfId="0">
      <formula>"✓"</formula>
    </cfRule>
    <cfRule type="cellIs" priority="10" operator="notEqual" dxfId="1">
      <formula>"✓"</formula>
    </cfRule>
  </conditionalFormatting>
  <conditionalFormatting sqref="O40:O52">
    <cfRule type="cellIs" priority="11" operator="equal" dxfId="0">
      <formula>"✓"</formula>
    </cfRule>
    <cfRule type="cellIs" priority="1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Parbhani</t>
        </is>
      </c>
    </row>
    <row r="2">
      <c r="A2" s="3" t="inlineStr">
        <is>
          <t>All Religions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1707520</v>
      </c>
      <c r="C5" s="17" t="n">
        <v>869554</v>
      </c>
      <c r="D5" s="17" t="n">
        <v>837966</v>
      </c>
      <c r="E5" s="17" t="n">
        <v>571700</v>
      </c>
      <c r="F5" s="17" t="n">
        <v>325448</v>
      </c>
      <c r="G5" s="17" t="n">
        <v>246252</v>
      </c>
      <c r="H5" s="17" t="n">
        <v>966802</v>
      </c>
      <c r="I5" s="17" t="n">
        <v>496302</v>
      </c>
      <c r="J5" s="17" t="n">
        <v>470500</v>
      </c>
      <c r="K5" s="17" t="n">
        <v>169018</v>
      </c>
      <c r="L5" s="17" t="n">
        <v>47804</v>
      </c>
      <c r="M5" s="17" t="n">
        <v>121214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0-1</t>
        </is>
      </c>
      <c r="B6" s="20" t="n">
        <v>24644</v>
      </c>
      <c r="C6" s="20" t="n">
        <v>11769</v>
      </c>
      <c r="D6" s="20" t="n">
        <v>12875</v>
      </c>
      <c r="E6" s="20" t="n">
        <v>24151</v>
      </c>
      <c r="F6" s="20" t="n">
        <v>11532</v>
      </c>
      <c r="G6" s="20" t="n">
        <v>12619</v>
      </c>
      <c r="H6" s="20" t="n">
        <v>471</v>
      </c>
      <c r="I6" s="20" t="n">
        <v>231</v>
      </c>
      <c r="J6" s="20" t="n">
        <v>240</v>
      </c>
      <c r="K6" s="20" t="n">
        <v>22</v>
      </c>
      <c r="L6" s="20" t="n">
        <v>6</v>
      </c>
      <c r="M6" s="20" t="n">
        <v>16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1-5</t>
        </is>
      </c>
      <c r="B7" s="23" t="n">
        <v>122567</v>
      </c>
      <c r="C7" s="23" t="n">
        <v>56584</v>
      </c>
      <c r="D7" s="23" t="n">
        <v>65983</v>
      </c>
      <c r="E7" s="23" t="n">
        <v>110075</v>
      </c>
      <c r="F7" s="23" t="n">
        <v>53438</v>
      </c>
      <c r="G7" s="23" t="n">
        <v>56637</v>
      </c>
      <c r="H7" s="23" t="n">
        <v>12004</v>
      </c>
      <c r="I7" s="23" t="n">
        <v>2922</v>
      </c>
      <c r="J7" s="23" t="n">
        <v>9082</v>
      </c>
      <c r="K7" s="23" t="n">
        <v>488</v>
      </c>
      <c r="L7" s="23" t="n">
        <v>224</v>
      </c>
      <c r="M7" s="23" t="n">
        <v>264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5-10</t>
        </is>
      </c>
      <c r="B8" s="20" t="n">
        <v>113918</v>
      </c>
      <c r="C8" s="20" t="n">
        <v>58473</v>
      </c>
      <c r="D8" s="20" t="n">
        <v>55445</v>
      </c>
      <c r="E8" s="20" t="n">
        <v>76369</v>
      </c>
      <c r="F8" s="20" t="n">
        <v>45423</v>
      </c>
      <c r="G8" s="20" t="n">
        <v>30946</v>
      </c>
      <c r="H8" s="20" t="n">
        <v>36457</v>
      </c>
      <c r="I8" s="20" t="n">
        <v>12636</v>
      </c>
      <c r="J8" s="20" t="n">
        <v>23821</v>
      </c>
      <c r="K8" s="20" t="n">
        <v>1092</v>
      </c>
      <c r="L8" s="20" t="n">
        <v>414</v>
      </c>
      <c r="M8" s="20" t="n">
        <v>678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10-15</t>
        </is>
      </c>
      <c r="B9" s="23" t="n">
        <v>100765</v>
      </c>
      <c r="C9" s="23" t="n">
        <v>51783</v>
      </c>
      <c r="D9" s="23" t="n">
        <v>48982</v>
      </c>
      <c r="E9" s="23" t="n">
        <v>47875</v>
      </c>
      <c r="F9" s="23" t="n">
        <v>31585</v>
      </c>
      <c r="G9" s="23" t="n">
        <v>16290</v>
      </c>
      <c r="H9" s="23" t="n">
        <v>51408</v>
      </c>
      <c r="I9" s="23" t="n">
        <v>19596</v>
      </c>
      <c r="J9" s="23" t="n">
        <v>31812</v>
      </c>
      <c r="K9" s="23" t="n">
        <v>1482</v>
      </c>
      <c r="L9" s="23" t="n">
        <v>602</v>
      </c>
      <c r="M9" s="23" t="n">
        <v>880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15-20</t>
        </is>
      </c>
      <c r="B10" s="20" t="n">
        <v>72843</v>
      </c>
      <c r="C10" s="20" t="n">
        <v>35609</v>
      </c>
      <c r="D10" s="20" t="n">
        <v>37234</v>
      </c>
      <c r="E10" s="20" t="n">
        <v>11466</v>
      </c>
      <c r="F10" s="20" t="n">
        <v>9326</v>
      </c>
      <c r="G10" s="20" t="n">
        <v>2140</v>
      </c>
      <c r="H10" s="20" t="n">
        <v>59071</v>
      </c>
      <c r="I10" s="20" t="n">
        <v>25128</v>
      </c>
      <c r="J10" s="20" t="n">
        <v>33943</v>
      </c>
      <c r="K10" s="20" t="n">
        <v>2306</v>
      </c>
      <c r="L10" s="20" t="n">
        <v>1155</v>
      </c>
      <c r="M10" s="20" t="n">
        <v>1151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20-30</t>
        </is>
      </c>
      <c r="B11" s="23" t="n">
        <v>145635</v>
      </c>
      <c r="C11" s="23" t="n">
        <v>75622</v>
      </c>
      <c r="D11" s="23" t="n">
        <v>70013</v>
      </c>
      <c r="E11" s="23" t="n">
        <v>9027</v>
      </c>
      <c r="F11" s="23" t="n">
        <v>7423</v>
      </c>
      <c r="G11" s="23" t="n">
        <v>1604</v>
      </c>
      <c r="H11" s="23" t="n">
        <v>127562</v>
      </c>
      <c r="I11" s="23" t="n">
        <v>63978</v>
      </c>
      <c r="J11" s="23" t="n">
        <v>63584</v>
      </c>
      <c r="K11" s="23" t="n">
        <v>9046</v>
      </c>
      <c r="L11" s="23" t="n">
        <v>4221</v>
      </c>
      <c r="M11" s="23" t="n">
        <v>4825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30-40</t>
        </is>
      </c>
      <c r="B12" s="20" t="n">
        <v>109987</v>
      </c>
      <c r="C12" s="20" t="n">
        <v>57069</v>
      </c>
      <c r="D12" s="20" t="n">
        <v>52918</v>
      </c>
      <c r="E12" s="20" t="n">
        <v>3539</v>
      </c>
      <c r="F12" s="20" t="n">
        <v>1937</v>
      </c>
      <c r="G12" s="20" t="n">
        <v>1602</v>
      </c>
      <c r="H12" s="20" t="n">
        <v>92258</v>
      </c>
      <c r="I12" s="20" t="n">
        <v>51500</v>
      </c>
      <c r="J12" s="20" t="n">
        <v>40758</v>
      </c>
      <c r="K12" s="20" t="n">
        <v>14190</v>
      </c>
      <c r="L12" s="20" t="n">
        <v>3632</v>
      </c>
      <c r="M12" s="20" t="n">
        <v>10558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40-50</t>
        </is>
      </c>
      <c r="B13" s="23" t="n">
        <v>78860</v>
      </c>
      <c r="C13" s="23" t="n">
        <v>42830</v>
      </c>
      <c r="D13" s="23" t="n">
        <v>36030</v>
      </c>
      <c r="E13" s="23" t="n">
        <v>1684</v>
      </c>
      <c r="F13" s="23" t="n">
        <v>1009</v>
      </c>
      <c r="G13" s="23" t="n">
        <v>675</v>
      </c>
      <c r="H13" s="23" t="n">
        <v>58020</v>
      </c>
      <c r="I13" s="23" t="n">
        <v>37407</v>
      </c>
      <c r="J13" s="23" t="n">
        <v>20613</v>
      </c>
      <c r="K13" s="23" t="n">
        <v>19156</v>
      </c>
      <c r="L13" s="23" t="n">
        <v>4414</v>
      </c>
      <c r="M13" s="23" t="n">
        <v>14742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50-60</t>
        </is>
      </c>
      <c r="B14" s="20" t="n">
        <v>49192</v>
      </c>
      <c r="C14" s="20" t="n">
        <v>26907</v>
      </c>
      <c r="D14" s="20" t="n">
        <v>22285</v>
      </c>
      <c r="E14" s="20" t="n">
        <v>937</v>
      </c>
      <c r="F14" s="20" t="n">
        <v>538</v>
      </c>
      <c r="G14" s="20" t="n">
        <v>399</v>
      </c>
      <c r="H14" s="20" t="n">
        <v>29527</v>
      </c>
      <c r="I14" s="20" t="n">
        <v>21775</v>
      </c>
      <c r="J14" s="20" t="n">
        <v>7752</v>
      </c>
      <c r="K14" s="20" t="n">
        <v>18728</v>
      </c>
      <c r="L14" s="20" t="n">
        <v>4594</v>
      </c>
      <c r="M14" s="20" t="n">
        <v>14134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60 and over</t>
        </is>
      </c>
      <c r="B15" s="23" t="n">
        <v>35349</v>
      </c>
      <c r="C15" s="23" t="n">
        <v>18131</v>
      </c>
      <c r="D15" s="23" t="n">
        <v>17218</v>
      </c>
      <c r="E15" s="23" t="n">
        <v>727</v>
      </c>
      <c r="F15" s="23" t="n">
        <v>513</v>
      </c>
      <c r="G15" s="23" t="n">
        <v>214</v>
      </c>
      <c r="H15" s="23" t="n">
        <v>16623</v>
      </c>
      <c r="I15" s="23" t="n">
        <v>12993</v>
      </c>
      <c r="J15" s="23" t="n">
        <v>3630</v>
      </c>
      <c r="K15" s="23" t="n">
        <v>17999</v>
      </c>
      <c r="L15" s="23" t="n">
        <v>4625</v>
      </c>
      <c r="M15" s="23" t="n">
        <v>13374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Total</t>
        </is>
      </c>
      <c r="B16" s="20" t="n">
        <v>853760</v>
      </c>
      <c r="C16" s="20" t="n">
        <v>434777</v>
      </c>
      <c r="D16" s="20" t="n">
        <v>418983</v>
      </c>
      <c r="E16" s="20" t="n">
        <v>285850</v>
      </c>
      <c r="F16" s="20" t="n">
        <v>162724</v>
      </c>
      <c r="G16" s="20" t="n">
        <v>123126</v>
      </c>
      <c r="H16" s="20" t="n">
        <v>483401</v>
      </c>
      <c r="I16" s="20" t="n">
        <v>248136</v>
      </c>
      <c r="J16" s="20" t="n">
        <v>235265</v>
      </c>
      <c r="K16" s="20" t="n">
        <v>84509</v>
      </c>
      <c r="L16" s="20" t="n">
        <v>23917</v>
      </c>
      <c r="M16" s="20" t="n">
        <v>60592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Parbhani</t>
        </is>
      </c>
    </row>
    <row r="2">
      <c r="A2" s="3" t="inlineStr">
        <is>
          <t>Hindu (Brahmanic)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1178516</v>
      </c>
      <c r="C5" s="17" t="n">
        <v>603222</v>
      </c>
      <c r="D5" s="17" t="n">
        <v>575294</v>
      </c>
      <c r="E5" s="17" t="n">
        <v>380820</v>
      </c>
      <c r="F5" s="17" t="n">
        <v>222204</v>
      </c>
      <c r="G5" s="17" t="n">
        <v>158616</v>
      </c>
      <c r="H5" s="17" t="n">
        <v>670838</v>
      </c>
      <c r="I5" s="17" t="n">
        <v>342814</v>
      </c>
      <c r="J5" s="17" t="n">
        <v>328024</v>
      </c>
      <c r="K5" s="17" t="n">
        <v>126858</v>
      </c>
      <c r="L5" s="17" t="n">
        <v>38204</v>
      </c>
      <c r="M5" s="17" t="n">
        <v>88654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0-1</t>
        </is>
      </c>
      <c r="B6" s="20" t="n">
        <v>16720</v>
      </c>
      <c r="C6" s="20" t="n">
        <v>7920</v>
      </c>
      <c r="D6" s="20" t="n">
        <v>8800</v>
      </c>
      <c r="E6" s="20" t="n">
        <v>16453</v>
      </c>
      <c r="F6" s="20" t="n">
        <v>7793</v>
      </c>
      <c r="G6" s="20" t="n">
        <v>8660</v>
      </c>
      <c r="H6" s="20" t="n">
        <v>256</v>
      </c>
      <c r="I6" s="20" t="n">
        <v>127</v>
      </c>
      <c r="J6" s="20" t="n">
        <v>129</v>
      </c>
      <c r="K6" s="20" t="n">
        <v>11</v>
      </c>
      <c r="L6" s="20" t="n">
        <v>0</v>
      </c>
      <c r="M6" s="20" t="n">
        <v>11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1-5</t>
        </is>
      </c>
      <c r="B7" s="23" t="n">
        <v>79552</v>
      </c>
      <c r="C7" s="23" t="n">
        <v>36388</v>
      </c>
      <c r="D7" s="23" t="n">
        <v>43164</v>
      </c>
      <c r="E7" s="23" t="n">
        <v>71673</v>
      </c>
      <c r="F7" s="23" t="n">
        <v>34515</v>
      </c>
      <c r="G7" s="23" t="n">
        <v>37158</v>
      </c>
      <c r="H7" s="23" t="n">
        <v>7659</v>
      </c>
      <c r="I7" s="23" t="n">
        <v>1801</v>
      </c>
      <c r="J7" s="23" t="n">
        <v>5858</v>
      </c>
      <c r="K7" s="23" t="n">
        <v>220</v>
      </c>
      <c r="L7" s="23" t="n">
        <v>72</v>
      </c>
      <c r="M7" s="23" t="n">
        <v>148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5-10</t>
        </is>
      </c>
      <c r="B8" s="20" t="n">
        <v>78024</v>
      </c>
      <c r="C8" s="20" t="n">
        <v>40380</v>
      </c>
      <c r="D8" s="20" t="n">
        <v>37644</v>
      </c>
      <c r="E8" s="20" t="n">
        <v>51747</v>
      </c>
      <c r="F8" s="20" t="n">
        <v>31737</v>
      </c>
      <c r="G8" s="20" t="n">
        <v>20010</v>
      </c>
      <c r="H8" s="20" t="n">
        <v>25494</v>
      </c>
      <c r="I8" s="20" t="n">
        <v>8354</v>
      </c>
      <c r="J8" s="20" t="n">
        <v>17140</v>
      </c>
      <c r="K8" s="20" t="n">
        <v>783</v>
      </c>
      <c r="L8" s="20" t="n">
        <v>289</v>
      </c>
      <c r="M8" s="20" t="n">
        <v>494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10-15</t>
        </is>
      </c>
      <c r="B9" s="23" t="n">
        <v>71193</v>
      </c>
      <c r="C9" s="23" t="n">
        <v>37211</v>
      </c>
      <c r="D9" s="23" t="n">
        <v>33982</v>
      </c>
      <c r="E9" s="23" t="n">
        <v>32691</v>
      </c>
      <c r="F9" s="23" t="n">
        <v>22328</v>
      </c>
      <c r="G9" s="23" t="n">
        <v>10363</v>
      </c>
      <c r="H9" s="23" t="n">
        <v>37467</v>
      </c>
      <c r="I9" s="23" t="n">
        <v>14453</v>
      </c>
      <c r="J9" s="23" t="n">
        <v>23014</v>
      </c>
      <c r="K9" s="23" t="n">
        <v>1035</v>
      </c>
      <c r="L9" s="23" t="n">
        <v>430</v>
      </c>
      <c r="M9" s="23" t="n">
        <v>605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15-20</t>
        </is>
      </c>
      <c r="B10" s="20" t="n">
        <v>51162</v>
      </c>
      <c r="C10" s="20" t="n">
        <v>25069</v>
      </c>
      <c r="D10" s="20" t="n">
        <v>26093</v>
      </c>
      <c r="E10" s="20" t="n">
        <v>7484</v>
      </c>
      <c r="F10" s="20" t="n">
        <v>6384</v>
      </c>
      <c r="G10" s="20" t="n">
        <v>1100</v>
      </c>
      <c r="H10" s="20" t="n">
        <v>41823</v>
      </c>
      <c r="I10" s="20" t="n">
        <v>17683</v>
      </c>
      <c r="J10" s="20" t="n">
        <v>24140</v>
      </c>
      <c r="K10" s="20" t="n">
        <v>1855</v>
      </c>
      <c r="L10" s="20" t="n">
        <v>1002</v>
      </c>
      <c r="M10" s="20" t="n">
        <v>853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20-30</t>
        </is>
      </c>
      <c r="B11" s="23" t="n">
        <v>101754</v>
      </c>
      <c r="C11" s="23" t="n">
        <v>53589</v>
      </c>
      <c r="D11" s="23" t="n">
        <v>48165</v>
      </c>
      <c r="E11" s="23" t="n">
        <v>5894</v>
      </c>
      <c r="F11" s="23" t="n">
        <v>5271</v>
      </c>
      <c r="G11" s="23" t="n">
        <v>623</v>
      </c>
      <c r="H11" s="23" t="n">
        <v>88771</v>
      </c>
      <c r="I11" s="23" t="n">
        <v>44709</v>
      </c>
      <c r="J11" s="23" t="n">
        <v>44062</v>
      </c>
      <c r="K11" s="23" t="n">
        <v>7089</v>
      </c>
      <c r="L11" s="23" t="n">
        <v>3609</v>
      </c>
      <c r="M11" s="23" t="n">
        <v>3480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30-40</t>
        </is>
      </c>
      <c r="B12" s="20" t="n">
        <v>76120</v>
      </c>
      <c r="C12" s="20" t="n">
        <v>39757</v>
      </c>
      <c r="D12" s="20" t="n">
        <v>36363</v>
      </c>
      <c r="E12" s="20" t="n">
        <v>2209</v>
      </c>
      <c r="F12" s="20" t="n">
        <v>1429</v>
      </c>
      <c r="G12" s="20" t="n">
        <v>780</v>
      </c>
      <c r="H12" s="20" t="n">
        <v>63213</v>
      </c>
      <c r="I12" s="20" t="n">
        <v>35417</v>
      </c>
      <c r="J12" s="20" t="n">
        <v>27796</v>
      </c>
      <c r="K12" s="20" t="n">
        <v>10698</v>
      </c>
      <c r="L12" s="20" t="n">
        <v>2911</v>
      </c>
      <c r="M12" s="20" t="n">
        <v>7787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40-50</t>
        </is>
      </c>
      <c r="B13" s="23" t="n">
        <v>54985</v>
      </c>
      <c r="C13" s="23" t="n">
        <v>29679</v>
      </c>
      <c r="D13" s="23" t="n">
        <v>25306</v>
      </c>
      <c r="E13" s="23" t="n">
        <v>1036</v>
      </c>
      <c r="F13" s="23" t="n">
        <v>785</v>
      </c>
      <c r="G13" s="23" t="n">
        <v>251</v>
      </c>
      <c r="H13" s="23" t="n">
        <v>39580</v>
      </c>
      <c r="I13" s="23" t="n">
        <v>25321</v>
      </c>
      <c r="J13" s="23" t="n">
        <v>14259</v>
      </c>
      <c r="K13" s="23" t="n">
        <v>14369</v>
      </c>
      <c r="L13" s="23" t="n">
        <v>3573</v>
      </c>
      <c r="M13" s="23" t="n">
        <v>10796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50-60</t>
        </is>
      </c>
      <c r="B14" s="20" t="n">
        <v>34273</v>
      </c>
      <c r="C14" s="20" t="n">
        <v>18583</v>
      </c>
      <c r="D14" s="20" t="n">
        <v>15690</v>
      </c>
      <c r="E14" s="20" t="n">
        <v>670</v>
      </c>
      <c r="F14" s="20" t="n">
        <v>431</v>
      </c>
      <c r="G14" s="20" t="n">
        <v>239</v>
      </c>
      <c r="H14" s="20" t="n">
        <v>19665</v>
      </c>
      <c r="I14" s="20" t="n">
        <v>14597</v>
      </c>
      <c r="J14" s="20" t="n">
        <v>5068</v>
      </c>
      <c r="K14" s="20" t="n">
        <v>13938</v>
      </c>
      <c r="L14" s="20" t="n">
        <v>3555</v>
      </c>
      <c r="M14" s="20" t="n">
        <v>10383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60 and over</t>
        </is>
      </c>
      <c r="B15" s="23" t="n">
        <v>25475</v>
      </c>
      <c r="C15" s="23" t="n">
        <v>13035</v>
      </c>
      <c r="D15" s="23" t="n">
        <v>12440</v>
      </c>
      <c r="E15" s="23" t="n">
        <v>553</v>
      </c>
      <c r="F15" s="23" t="n">
        <v>429</v>
      </c>
      <c r="G15" s="23" t="n">
        <v>124</v>
      </c>
      <c r="H15" s="23" t="n">
        <v>11491</v>
      </c>
      <c r="I15" s="23" t="n">
        <v>8945</v>
      </c>
      <c r="J15" s="23" t="n">
        <v>2546</v>
      </c>
      <c r="K15" s="23" t="n">
        <v>13431</v>
      </c>
      <c r="L15" s="23" t="n">
        <v>3661</v>
      </c>
      <c r="M15" s="23" t="n">
        <v>9770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Total</t>
        </is>
      </c>
      <c r="B16" s="20" t="n">
        <v>589258</v>
      </c>
      <c r="C16" s="20" t="n">
        <v>301611</v>
      </c>
      <c r="D16" s="20" t="n">
        <v>287647</v>
      </c>
      <c r="E16" s="20" t="n">
        <v>190410</v>
      </c>
      <c r="F16" s="20" t="n">
        <v>111102</v>
      </c>
      <c r="G16" s="20" t="n">
        <v>79308</v>
      </c>
      <c r="H16" s="20" t="n">
        <v>335419</v>
      </c>
      <c r="I16" s="20" t="n">
        <v>171407</v>
      </c>
      <c r="J16" s="20" t="n">
        <v>164012</v>
      </c>
      <c r="K16" s="20" t="n">
        <v>63429</v>
      </c>
      <c r="L16" s="20" t="n">
        <v>19102</v>
      </c>
      <c r="M16" s="20" t="n">
        <v>44327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Parbhani</t>
        </is>
      </c>
    </row>
    <row r="2">
      <c r="A2" s="3" t="inlineStr">
        <is>
          <t>Adi Hindu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306060</v>
      </c>
      <c r="C5" s="17" t="n">
        <v>152688</v>
      </c>
      <c r="D5" s="17" t="n">
        <v>153372</v>
      </c>
      <c r="E5" s="17" t="n">
        <v>101120</v>
      </c>
      <c r="F5" s="17" t="n">
        <v>54960</v>
      </c>
      <c r="G5" s="17" t="n">
        <v>46160</v>
      </c>
      <c r="H5" s="17" t="n">
        <v>180778</v>
      </c>
      <c r="I5" s="17" t="n">
        <v>92818</v>
      </c>
      <c r="J5" s="17" t="n">
        <v>87960</v>
      </c>
      <c r="K5" s="17" t="n">
        <v>24162</v>
      </c>
      <c r="L5" s="17" t="n">
        <v>4910</v>
      </c>
      <c r="M5" s="17" t="n">
        <v>19252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Total</t>
        </is>
      </c>
      <c r="B6" s="20" t="n">
        <v>153030</v>
      </c>
      <c r="C6" s="20" t="n">
        <v>76344</v>
      </c>
      <c r="D6" s="20" t="n">
        <v>76686</v>
      </c>
      <c r="E6" s="20" t="n">
        <v>50560</v>
      </c>
      <c r="F6" s="20" t="n">
        <v>27480</v>
      </c>
      <c r="G6" s="20" t="n">
        <v>23080</v>
      </c>
      <c r="H6" s="20" t="n">
        <v>90389</v>
      </c>
      <c r="I6" s="20" t="n">
        <v>46409</v>
      </c>
      <c r="J6" s="20" t="n">
        <v>43980</v>
      </c>
      <c r="K6" s="20" t="n">
        <v>12081</v>
      </c>
      <c r="L6" s="20" t="n">
        <v>2455</v>
      </c>
      <c r="M6" s="20" t="n">
        <v>9626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0-1</t>
        </is>
      </c>
      <c r="B7" s="23" t="n">
        <v>5012</v>
      </c>
      <c r="C7" s="23" t="n">
        <v>2444</v>
      </c>
      <c r="D7" s="23" t="n">
        <v>2568</v>
      </c>
      <c r="E7" s="23" t="n">
        <v>4870</v>
      </c>
      <c r="F7" s="23" t="n">
        <v>2381</v>
      </c>
      <c r="G7" s="23" t="n">
        <v>2489</v>
      </c>
      <c r="H7" s="23" t="n">
        <v>140</v>
      </c>
      <c r="I7" s="23" t="n">
        <v>63</v>
      </c>
      <c r="J7" s="23" t="n">
        <v>77</v>
      </c>
      <c r="K7" s="23" t="n">
        <v>2</v>
      </c>
      <c r="L7" s="23" t="n">
        <v>0</v>
      </c>
      <c r="M7" s="23" t="n">
        <v>2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1-5</t>
        </is>
      </c>
      <c r="B8" s="20" t="n">
        <v>24293</v>
      </c>
      <c r="C8" s="20" t="n">
        <v>11073</v>
      </c>
      <c r="D8" s="20" t="n">
        <v>13220</v>
      </c>
      <c r="E8" s="20" t="n">
        <v>21740</v>
      </c>
      <c r="F8" s="20" t="n">
        <v>10393</v>
      </c>
      <c r="G8" s="20" t="n">
        <v>11347</v>
      </c>
      <c r="H8" s="20" t="n">
        <v>2478</v>
      </c>
      <c r="I8" s="20" t="n">
        <v>667</v>
      </c>
      <c r="J8" s="20" t="n">
        <v>1811</v>
      </c>
      <c r="K8" s="20" t="n">
        <v>75</v>
      </c>
      <c r="L8" s="20" t="n">
        <v>13</v>
      </c>
      <c r="M8" s="20" t="n">
        <v>62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5-10</t>
        </is>
      </c>
      <c r="B9" s="23" t="n">
        <v>21258</v>
      </c>
      <c r="C9" s="23" t="n">
        <v>11195</v>
      </c>
      <c r="D9" s="23" t="n">
        <v>10063</v>
      </c>
      <c r="E9" s="23" t="n">
        <v>12832</v>
      </c>
      <c r="F9" s="23" t="n">
        <v>7534</v>
      </c>
      <c r="G9" s="23" t="n">
        <v>5298</v>
      </c>
      <c r="H9" s="23" t="n">
        <v>8225</v>
      </c>
      <c r="I9" s="23" t="n">
        <v>3593</v>
      </c>
      <c r="J9" s="23" t="n">
        <v>4632</v>
      </c>
      <c r="K9" s="23" t="n">
        <v>201</v>
      </c>
      <c r="L9" s="23" t="n">
        <v>68</v>
      </c>
      <c r="M9" s="23" t="n">
        <v>133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10-15</t>
        </is>
      </c>
      <c r="B10" s="20" t="n">
        <v>18173</v>
      </c>
      <c r="C10" s="20" t="n">
        <v>9293</v>
      </c>
      <c r="D10" s="20" t="n">
        <v>8880</v>
      </c>
      <c r="E10" s="20" t="n">
        <v>7684</v>
      </c>
      <c r="F10" s="20" t="n">
        <v>5085</v>
      </c>
      <c r="G10" s="20" t="n">
        <v>2599</v>
      </c>
      <c r="H10" s="20" t="n">
        <v>10189</v>
      </c>
      <c r="I10" s="20" t="n">
        <v>4061</v>
      </c>
      <c r="J10" s="20" t="n">
        <v>6128</v>
      </c>
      <c r="K10" s="20" t="n">
        <v>300</v>
      </c>
      <c r="L10" s="20" t="n">
        <v>147</v>
      </c>
      <c r="M10" s="20" t="n">
        <v>153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15-20</t>
        </is>
      </c>
      <c r="B11" s="23" t="n">
        <v>12896</v>
      </c>
      <c r="C11" s="23" t="n">
        <v>6447</v>
      </c>
      <c r="D11" s="23" t="n">
        <v>6449</v>
      </c>
      <c r="E11" s="23" t="n">
        <v>1660</v>
      </c>
      <c r="F11" s="23" t="n">
        <v>1148</v>
      </c>
      <c r="G11" s="23" t="n">
        <v>512</v>
      </c>
      <c r="H11" s="23" t="n">
        <v>11008</v>
      </c>
      <c r="I11" s="23" t="n">
        <v>5218</v>
      </c>
      <c r="J11" s="23" t="n">
        <v>5790</v>
      </c>
      <c r="K11" s="23" t="n">
        <v>228</v>
      </c>
      <c r="L11" s="23" t="n">
        <v>81</v>
      </c>
      <c r="M11" s="23" t="n">
        <v>147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20-30</t>
        </is>
      </c>
      <c r="B12" s="20" t="n">
        <v>24786</v>
      </c>
      <c r="C12" s="20" t="n">
        <v>12528</v>
      </c>
      <c r="D12" s="20" t="n">
        <v>12258</v>
      </c>
      <c r="E12" s="20" t="n">
        <v>911</v>
      </c>
      <c r="F12" s="20" t="n">
        <v>630</v>
      </c>
      <c r="G12" s="20" t="n">
        <v>281</v>
      </c>
      <c r="H12" s="20" t="n">
        <v>22813</v>
      </c>
      <c r="I12" s="20" t="n">
        <v>11594</v>
      </c>
      <c r="J12" s="20" t="n">
        <v>11219</v>
      </c>
      <c r="K12" s="20" t="n">
        <v>1062</v>
      </c>
      <c r="L12" s="20" t="n">
        <v>304</v>
      </c>
      <c r="M12" s="20" t="n">
        <v>758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30-40</t>
        </is>
      </c>
      <c r="B13" s="23" t="n">
        <v>19106</v>
      </c>
      <c r="C13" s="23" t="n">
        <v>9297</v>
      </c>
      <c r="D13" s="23" t="n">
        <v>9809</v>
      </c>
      <c r="E13" s="23" t="n">
        <v>430</v>
      </c>
      <c r="F13" s="23" t="n">
        <v>132</v>
      </c>
      <c r="G13" s="23" t="n">
        <v>298</v>
      </c>
      <c r="H13" s="23" t="n">
        <v>16640</v>
      </c>
      <c r="I13" s="23" t="n">
        <v>8802</v>
      </c>
      <c r="J13" s="23" t="n">
        <v>7838</v>
      </c>
      <c r="K13" s="23" t="n">
        <v>2036</v>
      </c>
      <c r="L13" s="23" t="n">
        <v>363</v>
      </c>
      <c r="M13" s="23" t="n">
        <v>1673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40-50</t>
        </is>
      </c>
      <c r="B14" s="20" t="n">
        <v>13740</v>
      </c>
      <c r="C14" s="20" t="n">
        <v>7177</v>
      </c>
      <c r="D14" s="20" t="n">
        <v>6563</v>
      </c>
      <c r="E14" s="20" t="n">
        <v>282</v>
      </c>
      <c r="F14" s="20" t="n">
        <v>71</v>
      </c>
      <c r="G14" s="20" t="n">
        <v>211</v>
      </c>
      <c r="H14" s="20" t="n">
        <v>10589</v>
      </c>
      <c r="I14" s="20" t="n">
        <v>6653</v>
      </c>
      <c r="J14" s="20" t="n">
        <v>3936</v>
      </c>
      <c r="K14" s="20" t="n">
        <v>2869</v>
      </c>
      <c r="L14" s="20" t="n">
        <v>453</v>
      </c>
      <c r="M14" s="20" t="n">
        <v>2416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50-60</t>
        </is>
      </c>
      <c r="B15" s="23" t="n">
        <v>8709</v>
      </c>
      <c r="C15" s="23" t="n">
        <v>4585</v>
      </c>
      <c r="D15" s="23" t="n">
        <v>4124</v>
      </c>
      <c r="E15" s="23" t="n">
        <v>75</v>
      </c>
      <c r="F15" s="23" t="n">
        <v>47</v>
      </c>
      <c r="G15" s="23" t="n">
        <v>28</v>
      </c>
      <c r="H15" s="23" t="n">
        <v>5835</v>
      </c>
      <c r="I15" s="23" t="n">
        <v>4018</v>
      </c>
      <c r="J15" s="23" t="n">
        <v>1817</v>
      </c>
      <c r="K15" s="23" t="n">
        <v>2799</v>
      </c>
      <c r="L15" s="23" t="n">
        <v>520</v>
      </c>
      <c r="M15" s="23" t="n">
        <v>2279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60 and over</t>
        </is>
      </c>
      <c r="B16" s="20" t="n">
        <v>5057</v>
      </c>
      <c r="C16" s="20" t="n">
        <v>2305</v>
      </c>
      <c r="D16" s="20" t="n">
        <v>2752</v>
      </c>
      <c r="E16" s="20" t="n">
        <v>76</v>
      </c>
      <c r="F16" s="20" t="n">
        <v>59</v>
      </c>
      <c r="G16" s="20" t="n">
        <v>17</v>
      </c>
      <c r="H16" s="20" t="n">
        <v>2472</v>
      </c>
      <c r="I16" s="20" t="n">
        <v>1740</v>
      </c>
      <c r="J16" s="20" t="n">
        <v>732</v>
      </c>
      <c r="K16" s="20" t="n">
        <v>2509</v>
      </c>
      <c r="L16" s="20" t="n">
        <v>506</v>
      </c>
      <c r="M16" s="20" t="n">
        <v>2003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2026-03-03T20:01:03Z</dcterms:created>
  <dcterms:modified xmlns:dcterms="http://purl.org/dc/terms/" xmlns:xsi="http://www.w3.org/2001/XMLSchema-instance" xsi:type="dcterms:W3CDTF">2026-03-03T20:01:03Z</dcterms:modified>
</cp:coreProperties>
</file>