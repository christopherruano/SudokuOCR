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" sheetId="2" state="visible" r:id="rId2"/>
    <sheet xmlns:r="http://schemas.openxmlformats.org/officeDocument/2006/relationships" name="Hindu (Brahmanic)" sheetId="3" state="visible" r:id="rId3"/>
    <sheet xmlns:r="http://schemas.openxmlformats.org/officeDocument/2006/relationships" name="Adi Hind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Osmanabad</t>
        </is>
      </c>
    </row>
    <row r="2">
      <c r="A2" s="2" t="inlineStr">
        <is>
          <t>Source: TABLE VII. Age, Sex and Civil Condition Part II.—Districts.</t>
        </is>
      </c>
    </row>
    <row r="3">
      <c r="A3" s="3" t="inlineStr">
        <is>
          <t>All Religions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1382136</v>
      </c>
      <c r="C6" s="17" t="n">
        <v>714978</v>
      </c>
      <c r="D6" s="17" t="n">
        <v>667158</v>
      </c>
      <c r="E6" s="17" t="n">
        <v>489868</v>
      </c>
      <c r="F6" s="17" t="n">
        <v>277048</v>
      </c>
      <c r="G6" s="17" t="n">
        <v>212820</v>
      </c>
      <c r="H6" s="17" t="n">
        <v>748264</v>
      </c>
      <c r="I6" s="17" t="n">
        <v>384152</v>
      </c>
      <c r="J6" s="17" t="n">
        <v>364112</v>
      </c>
      <c r="K6" s="17" t="n">
        <v>144004</v>
      </c>
      <c r="L6" s="17" t="n">
        <v>53778</v>
      </c>
      <c r="M6" s="17" t="n">
        <v>90226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0-1</t>
        </is>
      </c>
      <c r="B7" s="20" t="n">
        <v>24449</v>
      </c>
      <c r="C7" s="20" t="n">
        <v>12199</v>
      </c>
      <c r="D7" s="20" t="n">
        <v>12250</v>
      </c>
      <c r="E7" s="20" t="n">
        <v>23176</v>
      </c>
      <c r="F7" s="20" t="n">
        <v>11922</v>
      </c>
      <c r="G7" s="20" t="n">
        <v>11254</v>
      </c>
      <c r="H7" s="20" t="n">
        <v>1256</v>
      </c>
      <c r="I7" s="20" t="n">
        <v>270</v>
      </c>
      <c r="J7" s="20" t="n">
        <v>986</v>
      </c>
      <c r="K7" s="20" t="n">
        <v>17</v>
      </c>
      <c r="L7" s="20" t="n">
        <v>7</v>
      </c>
      <c r="M7" s="20" t="n">
        <v>10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1-5</t>
        </is>
      </c>
      <c r="B8" s="23" t="n">
        <v>94661</v>
      </c>
      <c r="C8" s="23" t="n">
        <v>46381</v>
      </c>
      <c r="D8" s="23" t="n">
        <v>48280</v>
      </c>
      <c r="E8" s="23" t="n">
        <v>84775</v>
      </c>
      <c r="F8" s="23" t="n">
        <v>42429</v>
      </c>
      <c r="G8" s="23" t="n">
        <v>42346</v>
      </c>
      <c r="H8" s="23" t="n">
        <v>9444</v>
      </c>
      <c r="I8" s="23" t="n">
        <v>3704</v>
      </c>
      <c r="J8" s="23" t="n">
        <v>5740</v>
      </c>
      <c r="K8" s="23" t="n">
        <v>442</v>
      </c>
      <c r="L8" s="23" t="n">
        <v>248</v>
      </c>
      <c r="M8" s="23" t="n">
        <v>194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5-10</t>
        </is>
      </c>
      <c r="B9" s="20" t="n">
        <v>85887</v>
      </c>
      <c r="C9" s="20" t="n">
        <v>43378</v>
      </c>
      <c r="D9" s="20" t="n">
        <v>42509</v>
      </c>
      <c r="E9" s="20" t="n">
        <v>62152</v>
      </c>
      <c r="F9" s="20" t="n">
        <v>34460</v>
      </c>
      <c r="G9" s="20" t="n">
        <v>27692</v>
      </c>
      <c r="H9" s="20" t="n">
        <v>22879</v>
      </c>
      <c r="I9" s="20" t="n">
        <v>8517</v>
      </c>
      <c r="J9" s="20" t="n">
        <v>14362</v>
      </c>
      <c r="K9" s="20" t="n">
        <v>856</v>
      </c>
      <c r="L9" s="20" t="n">
        <v>401</v>
      </c>
      <c r="M9" s="20" t="n">
        <v>455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10-15</t>
        </is>
      </c>
      <c r="B10" s="23" t="n">
        <v>77831</v>
      </c>
      <c r="C10" s="23" t="n">
        <v>40909</v>
      </c>
      <c r="D10" s="23" t="n">
        <v>36922</v>
      </c>
      <c r="E10" s="23" t="n">
        <v>43047</v>
      </c>
      <c r="F10" s="23" t="n">
        <v>27733</v>
      </c>
      <c r="G10" s="23" t="n">
        <v>15314</v>
      </c>
      <c r="H10" s="23" t="n">
        <v>33570</v>
      </c>
      <c r="I10" s="23" t="n">
        <v>12676</v>
      </c>
      <c r="J10" s="23" t="n">
        <v>20894</v>
      </c>
      <c r="K10" s="23" t="n">
        <v>1214</v>
      </c>
      <c r="L10" s="23" t="n">
        <v>500</v>
      </c>
      <c r="M10" s="23" t="n">
        <v>714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15-20</t>
        </is>
      </c>
      <c r="B11" s="20" t="n">
        <v>58731</v>
      </c>
      <c r="C11" s="20" t="n">
        <v>29458</v>
      </c>
      <c r="D11" s="20" t="n">
        <v>29273</v>
      </c>
      <c r="E11" s="20" t="n">
        <v>13293</v>
      </c>
      <c r="F11" s="20" t="n">
        <v>10742</v>
      </c>
      <c r="G11" s="20" t="n">
        <v>2551</v>
      </c>
      <c r="H11" s="20" t="n">
        <v>43650</v>
      </c>
      <c r="I11" s="20" t="n">
        <v>17955</v>
      </c>
      <c r="J11" s="20" t="n">
        <v>25695</v>
      </c>
      <c r="K11" s="20" t="n">
        <v>1788</v>
      </c>
      <c r="L11" s="20" t="n">
        <v>761</v>
      </c>
      <c r="M11" s="20" t="n">
        <v>1027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20-30</t>
        </is>
      </c>
      <c r="B12" s="23" t="n">
        <v>118651</v>
      </c>
      <c r="C12" s="23" t="n">
        <v>59611</v>
      </c>
      <c r="D12" s="23" t="n">
        <v>59040</v>
      </c>
      <c r="E12" s="23" t="n">
        <v>10735</v>
      </c>
      <c r="F12" s="23" t="n">
        <v>7384</v>
      </c>
      <c r="G12" s="23" t="n">
        <v>3351</v>
      </c>
      <c r="H12" s="23" t="n">
        <v>99929</v>
      </c>
      <c r="I12" s="23" t="n">
        <v>49475</v>
      </c>
      <c r="J12" s="23" t="n">
        <v>50454</v>
      </c>
      <c r="K12" s="23" t="n">
        <v>7987</v>
      </c>
      <c r="L12" s="23" t="n">
        <v>2752</v>
      </c>
      <c r="M12" s="23" t="n">
        <v>5235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30-40</t>
        </is>
      </c>
      <c r="B13" s="20" t="n">
        <v>93982</v>
      </c>
      <c r="C13" s="20" t="n">
        <v>49487</v>
      </c>
      <c r="D13" s="20" t="n">
        <v>44495</v>
      </c>
      <c r="E13" s="20" t="n">
        <v>4213</v>
      </c>
      <c r="F13" s="20" t="n">
        <v>2066</v>
      </c>
      <c r="G13" s="20" t="n">
        <v>2147</v>
      </c>
      <c r="H13" s="20" t="n">
        <v>76449</v>
      </c>
      <c r="I13" s="20" t="n">
        <v>42863</v>
      </c>
      <c r="J13" s="20" t="n">
        <v>33586</v>
      </c>
      <c r="K13" s="20" t="n">
        <v>13320</v>
      </c>
      <c r="L13" s="20" t="n">
        <v>4558</v>
      </c>
      <c r="M13" s="20" t="n">
        <v>8762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40-50</t>
        </is>
      </c>
      <c r="B14" s="23" t="n">
        <v>63590</v>
      </c>
      <c r="C14" s="23" t="n">
        <v>34591</v>
      </c>
      <c r="D14" s="23" t="n">
        <v>28999</v>
      </c>
      <c r="E14" s="23" t="n">
        <v>1995</v>
      </c>
      <c r="F14" s="23" t="n">
        <v>977</v>
      </c>
      <c r="G14" s="23" t="n">
        <v>1018</v>
      </c>
      <c r="H14" s="23" t="n">
        <v>45539</v>
      </c>
      <c r="I14" s="23" t="n">
        <v>28107</v>
      </c>
      <c r="J14" s="23" t="n">
        <v>17432</v>
      </c>
      <c r="K14" s="23" t="n">
        <v>16056</v>
      </c>
      <c r="L14" s="23" t="n">
        <v>5507</v>
      </c>
      <c r="M14" s="23" t="n">
        <v>10549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50-60</t>
        </is>
      </c>
      <c r="B15" s="20" t="n">
        <v>39266</v>
      </c>
      <c r="C15" s="20" t="n">
        <v>22425</v>
      </c>
      <c r="D15" s="20" t="n">
        <v>16841</v>
      </c>
      <c r="E15" s="20" t="n">
        <v>867</v>
      </c>
      <c r="F15" s="20" t="n">
        <v>414</v>
      </c>
      <c r="G15" s="20" t="n">
        <v>453</v>
      </c>
      <c r="H15" s="20" t="n">
        <v>23994</v>
      </c>
      <c r="I15" s="20" t="n">
        <v>16694</v>
      </c>
      <c r="J15" s="20" t="n">
        <v>7300</v>
      </c>
      <c r="K15" s="20" t="n">
        <v>14405</v>
      </c>
      <c r="L15" s="20" t="n">
        <v>5317</v>
      </c>
      <c r="M15" s="20" t="n">
        <v>9088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60 and over</t>
        </is>
      </c>
      <c r="B16" s="23" t="n">
        <v>34020</v>
      </c>
      <c r="C16" s="23" t="n">
        <v>19050</v>
      </c>
      <c r="D16" s="23" t="n">
        <v>14970</v>
      </c>
      <c r="E16" s="23" t="n">
        <v>681</v>
      </c>
      <c r="F16" s="23" t="n">
        <v>397</v>
      </c>
      <c r="G16" s="23" t="n">
        <v>284</v>
      </c>
      <c r="H16" s="23" t="n">
        <v>17422</v>
      </c>
      <c r="I16" s="23" t="n">
        <v>11815</v>
      </c>
      <c r="J16" s="23" t="n">
        <v>5607</v>
      </c>
      <c r="K16" s="23" t="n">
        <v>15917</v>
      </c>
      <c r="L16" s="23" t="n">
        <v>6838</v>
      </c>
      <c r="M16" s="23" t="n">
        <v>9079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Total</t>
        </is>
      </c>
      <c r="B17" s="20" t="n">
        <v>691068</v>
      </c>
      <c r="C17" s="20" t="n">
        <v>357489</v>
      </c>
      <c r="D17" s="20" t="n">
        <v>333579</v>
      </c>
      <c r="E17" s="20" t="n">
        <v>244934</v>
      </c>
      <c r="F17" s="20" t="n">
        <v>138524</v>
      </c>
      <c r="G17" s="20" t="n">
        <v>106410</v>
      </c>
      <c r="H17" s="20" t="n">
        <v>374132</v>
      </c>
      <c r="I17" s="20" t="n">
        <v>192076</v>
      </c>
      <c r="J17" s="20" t="n">
        <v>182056</v>
      </c>
      <c r="K17" s="20" t="n">
        <v>72002</v>
      </c>
      <c r="L17" s="20" t="n">
        <v>26889</v>
      </c>
      <c r="M17" s="20" t="n">
        <v>45113</v>
      </c>
      <c r="N17" s="21">
        <f>IF(B17=E17+H17+K17,"✓",B17-(E17+H17+K17))</f>
        <v/>
      </c>
      <c r="O17" s="21">
        <f>IF(B17=C17+D17,"✓","✗")</f>
        <v/>
      </c>
    </row>
    <row r="18">
      <c r="A18" s="25" t="inlineStr">
        <is>
          <t>Verify: Sum</t>
        </is>
      </c>
      <c r="B18" s="26">
        <f>IF(SUM(B7:B17)=B6,"✓",SUM(B7:B17)-B6)</f>
        <v/>
      </c>
      <c r="C18" s="26">
        <f>IF(SUM(C7:C17)=C6,"✓",SUM(C7:C17)-C6)</f>
        <v/>
      </c>
      <c r="D18" s="26">
        <f>IF(SUM(D7:D17)=D6,"✓",SUM(D7:D17)-D6)</f>
        <v/>
      </c>
      <c r="E18" s="26">
        <f>IF(SUM(E7:E17)=E6,"✓",SUM(E7:E17)-E6)</f>
        <v/>
      </c>
      <c r="F18" s="26">
        <f>IF(SUM(F7:F17)=F6,"✓",SUM(F7:F17)-F6)</f>
        <v/>
      </c>
      <c r="G18" s="26">
        <f>IF(SUM(G7:G17)=G6,"✓",SUM(G7:G17)-G6)</f>
        <v/>
      </c>
      <c r="H18" s="26">
        <f>IF(SUM(H7:H17)=H6,"✓",SUM(H7:H17)-H6)</f>
        <v/>
      </c>
      <c r="I18" s="26">
        <f>IF(SUM(I7:I17)=I6,"✓",SUM(I7:I17)-I6)</f>
        <v/>
      </c>
      <c r="J18" s="26">
        <f>IF(SUM(J7:J17)=J6,"✓",SUM(J7:J17)-J6)</f>
        <v/>
      </c>
      <c r="K18" s="26">
        <f>IF(SUM(K7:K17)=K6,"✓",SUM(K7:K17)-K6)</f>
        <v/>
      </c>
      <c r="L18" s="26">
        <f>IF(SUM(L7:L17)=L6,"✓",SUM(L7:L17)-L6)</f>
        <v/>
      </c>
      <c r="M18" s="26">
        <f>IF(SUM(M7:M17)=M6,"✓",SUM(M7:M17)-M6)</f>
        <v/>
      </c>
    </row>
    <row r="20">
      <c r="A20" s="3" t="inlineStr">
        <is>
          <t>Hindu (Brahmanic)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Check</t>
        </is>
      </c>
      <c r="O21" s="13" t="inlineStr">
        <is>
          <t>Check</t>
        </is>
      </c>
    </row>
    <row r="22">
      <c r="A22" s="14" t="inlineStr"/>
      <c r="B22" s="15" t="inlineStr">
        <is>
          <t>Persons</t>
        </is>
      </c>
      <c r="C22" s="15" t="inlineStr">
        <is>
          <t>Males</t>
        </is>
      </c>
      <c r="D22" s="15" t="inlineStr">
        <is>
          <t>Females</t>
        </is>
      </c>
      <c r="E22" s="15" t="inlineStr">
        <is>
          <t>Persons</t>
        </is>
      </c>
      <c r="F22" s="15" t="inlineStr">
        <is>
          <t>Males</t>
        </is>
      </c>
      <c r="G22" s="15" t="inlineStr">
        <is>
          <t>Females</t>
        </is>
      </c>
      <c r="H22" s="15" t="inlineStr">
        <is>
          <t>Persons</t>
        </is>
      </c>
      <c r="I22" s="15" t="inlineStr">
        <is>
          <t>Males</t>
        </is>
      </c>
      <c r="J22" s="15" t="inlineStr">
        <is>
          <t>Females</t>
        </is>
      </c>
      <c r="K22" s="15" t="inlineStr">
        <is>
          <t>Persons</t>
        </is>
      </c>
      <c r="L22" s="15" t="inlineStr">
        <is>
          <t>Males</t>
        </is>
      </c>
      <c r="M22" s="15" t="inlineStr">
        <is>
          <t>Females</t>
        </is>
      </c>
      <c r="N22" s="15" t="inlineStr">
        <is>
          <t>P=Sum</t>
        </is>
      </c>
      <c r="O22" s="15" t="inlineStr">
        <is>
          <t>M+F=P</t>
        </is>
      </c>
    </row>
    <row r="23">
      <c r="A23" s="16" t="inlineStr">
        <is>
          <t>Total</t>
        </is>
      </c>
      <c r="B23" s="17" t="n">
        <v>928910</v>
      </c>
      <c r="C23" s="17" t="n">
        <v>482746</v>
      </c>
      <c r="D23" s="17" t="n">
        <v>446164</v>
      </c>
      <c r="E23" s="17" t="n">
        <v>319714</v>
      </c>
      <c r="F23" s="17" t="n">
        <v>181968</v>
      </c>
      <c r="G23" s="17" t="n">
        <v>137746</v>
      </c>
      <c r="H23" s="17" t="n">
        <v>502436</v>
      </c>
      <c r="I23" s="17" t="n">
        <v>259618</v>
      </c>
      <c r="J23" s="17" t="n">
        <v>242818</v>
      </c>
      <c r="K23" s="17" t="n">
        <v>106760</v>
      </c>
      <c r="L23" s="17" t="n">
        <v>41160</v>
      </c>
      <c r="M23" s="17" t="n">
        <v>65600</v>
      </c>
      <c r="N23" s="18">
        <f>IF(B23=E23+H23+K23,"✓","✗")</f>
        <v/>
      </c>
      <c r="O23" s="18">
        <f>IF(B23=C23+D23,"✓","✗")</f>
        <v/>
      </c>
    </row>
    <row r="24">
      <c r="A24" s="19" t="inlineStr">
        <is>
          <t>0-1</t>
        </is>
      </c>
      <c r="B24" s="20" t="n">
        <v>15847</v>
      </c>
      <c r="C24" s="20" t="n">
        <v>7933</v>
      </c>
      <c r="D24" s="20" t="n">
        <v>7914</v>
      </c>
      <c r="E24" s="20" t="n">
        <v>14792</v>
      </c>
      <c r="F24" s="20" t="n">
        <v>7827</v>
      </c>
      <c r="G24" s="20" t="n">
        <v>6965</v>
      </c>
      <c r="H24" s="20" t="n">
        <v>1047</v>
      </c>
      <c r="I24" s="20" t="n">
        <v>105</v>
      </c>
      <c r="J24" s="20" t="n">
        <v>942</v>
      </c>
      <c r="K24" s="20" t="n">
        <v>8</v>
      </c>
      <c r="L24" s="20" t="n">
        <v>1</v>
      </c>
      <c r="M24" s="20" t="n">
        <v>7</v>
      </c>
      <c r="N24" s="21">
        <f>IF(B24=E24+H24+K24,"✓",B24-(E24+H24+K24))</f>
        <v/>
      </c>
      <c r="O24" s="21">
        <f>IF(B24=C24+D24,"✓","✗")</f>
        <v/>
      </c>
    </row>
    <row r="25">
      <c r="A25" s="22" t="inlineStr">
        <is>
          <t>1-5</t>
        </is>
      </c>
      <c r="B25" s="23" t="n">
        <v>61390</v>
      </c>
      <c r="C25" s="23" t="n">
        <v>30370</v>
      </c>
      <c r="D25" s="23" t="n">
        <v>31020</v>
      </c>
      <c r="E25" s="23" t="n">
        <v>53835</v>
      </c>
      <c r="F25" s="23" t="n">
        <v>27330</v>
      </c>
      <c r="G25" s="23" t="n">
        <v>26505</v>
      </c>
      <c r="H25" s="23" t="n">
        <v>7236</v>
      </c>
      <c r="I25" s="23" t="n">
        <v>2830</v>
      </c>
      <c r="J25" s="23" t="n">
        <v>4406</v>
      </c>
      <c r="K25" s="23" t="n">
        <v>319</v>
      </c>
      <c r="L25" s="23" t="n">
        <v>210</v>
      </c>
      <c r="M25" s="23" t="n">
        <v>109</v>
      </c>
      <c r="N25" s="24">
        <f>IF(B25=E25+H25+K25,"✓",B25-(E25+H25+K25))</f>
        <v/>
      </c>
      <c r="O25" s="24">
        <f>IF(B25=C25+D25,"✓","✗")</f>
        <v/>
      </c>
    </row>
    <row r="26">
      <c r="A26" s="19" t="inlineStr">
        <is>
          <t>5-10</t>
        </is>
      </c>
      <c r="B26" s="20" t="n">
        <v>57038</v>
      </c>
      <c r="C26" s="20" t="n">
        <v>28702</v>
      </c>
      <c r="D26" s="20" t="n">
        <v>28336</v>
      </c>
      <c r="E26" s="20" t="n">
        <v>40072</v>
      </c>
      <c r="F26" s="20" t="n">
        <v>22273</v>
      </c>
      <c r="G26" s="20" t="n">
        <v>17799</v>
      </c>
      <c r="H26" s="20" t="n">
        <v>16347</v>
      </c>
      <c r="I26" s="20" t="n">
        <v>6117</v>
      </c>
      <c r="J26" s="20" t="n">
        <v>10230</v>
      </c>
      <c r="K26" s="20" t="n">
        <v>619</v>
      </c>
      <c r="L26" s="20" t="n">
        <v>312</v>
      </c>
      <c r="M26" s="20" t="n">
        <v>307</v>
      </c>
      <c r="N26" s="21">
        <f>IF(B26=E26+H26+K26,"✓",B26-(E26+H26+K26))</f>
        <v/>
      </c>
      <c r="O26" s="21">
        <f>IF(B26=C26+D26,"✓","✗")</f>
        <v/>
      </c>
    </row>
    <row r="27">
      <c r="A27" s="22" t="inlineStr">
        <is>
          <t>10-15</t>
        </is>
      </c>
      <c r="B27" s="23" t="n">
        <v>52679</v>
      </c>
      <c r="C27" s="23" t="n">
        <v>27803</v>
      </c>
      <c r="D27" s="23" t="n">
        <v>24876</v>
      </c>
      <c r="E27" s="23" t="n">
        <v>28407</v>
      </c>
      <c r="F27" s="23" t="n">
        <v>18495</v>
      </c>
      <c r="G27" s="23" t="n">
        <v>9912</v>
      </c>
      <c r="H27" s="23" t="n">
        <v>23289</v>
      </c>
      <c r="I27" s="23" t="n">
        <v>8884</v>
      </c>
      <c r="J27" s="23" t="n">
        <v>14405</v>
      </c>
      <c r="K27" s="23" t="n">
        <v>983</v>
      </c>
      <c r="L27" s="23" t="n">
        <v>424</v>
      </c>
      <c r="M27" s="23" t="n">
        <v>559</v>
      </c>
      <c r="N27" s="24">
        <f>IF(B27=E27+H27+K27,"✓",B27-(E27+H27+K27))</f>
        <v/>
      </c>
      <c r="O27" s="24">
        <f>IF(B27=C27+D27,"✓","✗")</f>
        <v/>
      </c>
    </row>
    <row r="28">
      <c r="A28" s="19" t="inlineStr">
        <is>
          <t>15-20</t>
        </is>
      </c>
      <c r="B28" s="20" t="n">
        <v>40066</v>
      </c>
      <c r="C28" s="20" t="n">
        <v>20389</v>
      </c>
      <c r="D28" s="20" t="n">
        <v>19677</v>
      </c>
      <c r="E28" s="20" t="n">
        <v>9247</v>
      </c>
      <c r="F28" s="20" t="n">
        <v>7537</v>
      </c>
      <c r="G28" s="20" t="n">
        <v>1710</v>
      </c>
      <c r="H28" s="20" t="n">
        <v>29402</v>
      </c>
      <c r="I28" s="20" t="n">
        <v>12213</v>
      </c>
      <c r="J28" s="20" t="n">
        <v>17189</v>
      </c>
      <c r="K28" s="20" t="n">
        <v>1417</v>
      </c>
      <c r="L28" s="20" t="n">
        <v>639</v>
      </c>
      <c r="M28" s="20" t="n">
        <v>778</v>
      </c>
      <c r="N28" s="21">
        <f>IF(B28=E28+H28+K28,"✓",B28-(E28+H28+K28))</f>
        <v/>
      </c>
      <c r="O28" s="21">
        <f>IF(B28=C28+D28,"✓","✗")</f>
        <v/>
      </c>
    </row>
    <row r="29">
      <c r="A29" s="22" t="inlineStr">
        <is>
          <t>20-30</t>
        </is>
      </c>
      <c r="B29" s="23" t="n">
        <v>80060</v>
      </c>
      <c r="C29" s="23" t="n">
        <v>40436</v>
      </c>
      <c r="D29" s="23" t="n">
        <v>39624</v>
      </c>
      <c r="E29" s="23" t="n">
        <v>7583</v>
      </c>
      <c r="F29" s="23" t="n">
        <v>4987</v>
      </c>
      <c r="G29" s="23" t="n">
        <v>2596</v>
      </c>
      <c r="H29" s="23" t="n">
        <v>66358</v>
      </c>
      <c r="I29" s="23" t="n">
        <v>33237</v>
      </c>
      <c r="J29" s="23" t="n">
        <v>33121</v>
      </c>
      <c r="K29" s="23" t="n">
        <v>6119</v>
      </c>
      <c r="L29" s="23" t="n">
        <v>2212</v>
      </c>
      <c r="M29" s="23" t="n">
        <v>3907</v>
      </c>
      <c r="N29" s="24">
        <f>IF(B29=E29+H29+K29,"✓",B29-(E29+H29+K29))</f>
        <v/>
      </c>
      <c r="O29" s="24">
        <f>IF(B29=C29+D29,"✓","✗")</f>
        <v/>
      </c>
    </row>
    <row r="30">
      <c r="A30" s="19" t="inlineStr">
        <is>
          <t>30-40</t>
        </is>
      </c>
      <c r="B30" s="20" t="n">
        <v>63875</v>
      </c>
      <c r="C30" s="20" t="n">
        <v>33932</v>
      </c>
      <c r="D30" s="20" t="n">
        <v>29943</v>
      </c>
      <c r="E30" s="20" t="n">
        <v>3301</v>
      </c>
      <c r="F30" s="20" t="n">
        <v>1422</v>
      </c>
      <c r="G30" s="20" t="n">
        <v>1879</v>
      </c>
      <c r="H30" s="20" t="n">
        <v>50747</v>
      </c>
      <c r="I30" s="20" t="n">
        <v>28990</v>
      </c>
      <c r="J30" s="20" t="n">
        <v>21757</v>
      </c>
      <c r="K30" s="20" t="n">
        <v>9827</v>
      </c>
      <c r="L30" s="20" t="n">
        <v>3520</v>
      </c>
      <c r="M30" s="20" t="n">
        <v>6307</v>
      </c>
      <c r="N30" s="21">
        <f>IF(B30=E30+H30+K30,"✓",B30-(E30+H30+K30))</f>
        <v/>
      </c>
      <c r="O30" s="21">
        <f>IF(B30=C30+D30,"✓","✗")</f>
        <v/>
      </c>
    </row>
    <row r="31">
      <c r="A31" s="22" t="inlineStr">
        <is>
          <t>40-50</t>
        </is>
      </c>
      <c r="B31" s="23" t="n">
        <v>43384</v>
      </c>
      <c r="C31" s="23" t="n">
        <v>23596</v>
      </c>
      <c r="D31" s="23" t="n">
        <v>19788</v>
      </c>
      <c r="E31" s="23" t="n">
        <v>1517</v>
      </c>
      <c r="F31" s="23" t="n">
        <v>603</v>
      </c>
      <c r="G31" s="23" t="n">
        <v>914</v>
      </c>
      <c r="H31" s="23" t="n">
        <v>29950</v>
      </c>
      <c r="I31" s="23" t="n">
        <v>18735</v>
      </c>
      <c r="J31" s="23" t="n">
        <v>11215</v>
      </c>
      <c r="K31" s="23" t="n">
        <v>11917</v>
      </c>
      <c r="L31" s="23" t="n">
        <v>4258</v>
      </c>
      <c r="M31" s="23" t="n">
        <v>7659</v>
      </c>
      <c r="N31" s="24">
        <f>IF(B31=E31+H31+K31,"✓",B31-(E31+H31+K31))</f>
        <v/>
      </c>
      <c r="O31" s="24">
        <f>IF(B31=C31+D31,"✓","✗")</f>
        <v/>
      </c>
    </row>
    <row r="32">
      <c r="A32" s="19" t="inlineStr">
        <is>
          <t>50-60</t>
        </is>
      </c>
      <c r="B32" s="20" t="n">
        <v>26912</v>
      </c>
      <c r="C32" s="20" t="n">
        <v>15345</v>
      </c>
      <c r="D32" s="20" t="n">
        <v>11567</v>
      </c>
      <c r="E32" s="20" t="n">
        <v>689</v>
      </c>
      <c r="F32" s="20" t="n">
        <v>308</v>
      </c>
      <c r="G32" s="20" t="n">
        <v>381</v>
      </c>
      <c r="H32" s="20" t="n">
        <v>15666</v>
      </c>
      <c r="I32" s="20" t="n">
        <v>11065</v>
      </c>
      <c r="J32" s="20" t="n">
        <v>4601</v>
      </c>
      <c r="K32" s="20" t="n">
        <v>10557</v>
      </c>
      <c r="L32" s="20" t="n">
        <v>3972</v>
      </c>
      <c r="M32" s="20" t="n">
        <v>6585</v>
      </c>
      <c r="N32" s="21">
        <f>IF(B32=E32+H32+K32,"✓",B32-(E32+H32+K32))</f>
        <v/>
      </c>
      <c r="O32" s="21">
        <f>IF(B32=C32+D32,"✓","✗")</f>
        <v/>
      </c>
    </row>
    <row r="33">
      <c r="A33" s="22" t="inlineStr">
        <is>
          <t>60 and over</t>
        </is>
      </c>
      <c r="B33" s="23" t="n">
        <v>23204</v>
      </c>
      <c r="C33" s="23" t="n">
        <v>12867</v>
      </c>
      <c r="D33" s="23" t="n">
        <v>10337</v>
      </c>
      <c r="E33" s="23" t="n">
        <v>414</v>
      </c>
      <c r="F33" s="23" t="n">
        <v>202</v>
      </c>
      <c r="G33" s="23" t="n">
        <v>212</v>
      </c>
      <c r="H33" s="23" t="n">
        <v>11176</v>
      </c>
      <c r="I33" s="23" t="n">
        <v>7633</v>
      </c>
      <c r="J33" s="23" t="n">
        <v>3543</v>
      </c>
      <c r="K33" s="23" t="n">
        <v>11614</v>
      </c>
      <c r="L33" s="23" t="n">
        <v>5032</v>
      </c>
      <c r="M33" s="23" t="n">
        <v>6582</v>
      </c>
      <c r="N33" s="24">
        <f>IF(B33=E33+H33+K33,"✓",B33-(E33+H33+K33))</f>
        <v/>
      </c>
      <c r="O33" s="24">
        <f>IF(B33=C33+D33,"✓","✗")</f>
        <v/>
      </c>
    </row>
    <row r="34">
      <c r="A34" s="19" t="inlineStr">
        <is>
          <t>Total</t>
        </is>
      </c>
      <c r="B34" s="20" t="n">
        <v>464455</v>
      </c>
      <c r="C34" s="20" t="n">
        <v>241373</v>
      </c>
      <c r="D34" s="20" t="n">
        <v>223082</v>
      </c>
      <c r="E34" s="20" t="n">
        <v>159857</v>
      </c>
      <c r="F34" s="20" t="n">
        <v>90984</v>
      </c>
      <c r="G34" s="20" t="n">
        <v>68873</v>
      </c>
      <c r="H34" s="20" t="n">
        <v>251218</v>
      </c>
      <c r="I34" s="20" t="n">
        <v>129809</v>
      </c>
      <c r="J34" s="20" t="n">
        <v>121409</v>
      </c>
      <c r="K34" s="20" t="n">
        <v>53380</v>
      </c>
      <c r="L34" s="20" t="n">
        <v>20580</v>
      </c>
      <c r="M34" s="20" t="n">
        <v>32800</v>
      </c>
      <c r="N34" s="21">
        <f>IF(B34=E34+H34+K34,"✓",B34-(E34+H34+K34))</f>
        <v/>
      </c>
      <c r="O34" s="21">
        <f>IF(B34=C34+D34,"✓","✗")</f>
        <v/>
      </c>
    </row>
    <row r="35">
      <c r="A35" s="25" t="inlineStr">
        <is>
          <t>Verify: Sum</t>
        </is>
      </c>
      <c r="B35" s="26">
        <f>IF(SUM(B24:B34)=B23,"✓",SUM(B24:B34)-B23)</f>
        <v/>
      </c>
      <c r="C35" s="26">
        <f>IF(SUM(C24:C34)=C23,"✓",SUM(C24:C34)-C23)</f>
        <v/>
      </c>
      <c r="D35" s="26">
        <f>IF(SUM(D24:D34)=D23,"✓",SUM(D24:D34)-D23)</f>
        <v/>
      </c>
      <c r="E35" s="26">
        <f>IF(SUM(E24:E34)=E23,"✓",SUM(E24:E34)-E23)</f>
        <v/>
      </c>
      <c r="F35" s="26">
        <f>IF(SUM(F24:F34)=F23,"✓",SUM(F24:F34)-F23)</f>
        <v/>
      </c>
      <c r="G35" s="26">
        <f>IF(SUM(G24:G34)=G23,"✓",SUM(G24:G34)-G23)</f>
        <v/>
      </c>
      <c r="H35" s="26">
        <f>IF(SUM(H24:H34)=H23,"✓",SUM(H24:H34)-H23)</f>
        <v/>
      </c>
      <c r="I35" s="26">
        <f>IF(SUM(I24:I34)=I23,"✓",SUM(I24:I34)-I23)</f>
        <v/>
      </c>
      <c r="J35" s="26">
        <f>IF(SUM(J24:J34)=J23,"✓",SUM(J24:J34)-J23)</f>
        <v/>
      </c>
      <c r="K35" s="26">
        <f>IF(SUM(K24:K34)=K23,"✓",SUM(K24:K34)-K23)</f>
        <v/>
      </c>
      <c r="L35" s="26">
        <f>IF(SUM(L24:L34)=L23,"✓",SUM(L24:L34)-L23)</f>
        <v/>
      </c>
      <c r="M35" s="26">
        <f>IF(SUM(M24:M34)=M23,"✓",SUM(M24:M34)-M23)</f>
        <v/>
      </c>
    </row>
    <row r="37">
      <c r="A37" s="3" t="inlineStr">
        <is>
          <t>Adi Hindu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Check</t>
        </is>
      </c>
      <c r="O38" s="13" t="inlineStr">
        <is>
          <t>Check</t>
        </is>
      </c>
    </row>
    <row r="39">
      <c r="A39" s="14" t="inlineStr"/>
      <c r="B39" s="15" t="inlineStr">
        <is>
          <t>Persons</t>
        </is>
      </c>
      <c r="C39" s="15" t="inlineStr">
        <is>
          <t>Males</t>
        </is>
      </c>
      <c r="D39" s="15" t="inlineStr">
        <is>
          <t>Females</t>
        </is>
      </c>
      <c r="E39" s="15" t="inlineStr">
        <is>
          <t>Persons</t>
        </is>
      </c>
      <c r="F39" s="15" t="inlineStr">
        <is>
          <t>Males</t>
        </is>
      </c>
      <c r="G39" s="15" t="inlineStr">
        <is>
          <t>Females</t>
        </is>
      </c>
      <c r="H39" s="15" t="inlineStr">
        <is>
          <t>Persons</t>
        </is>
      </c>
      <c r="I39" s="15" t="inlineStr">
        <is>
          <t>Males</t>
        </is>
      </c>
      <c r="J39" s="15" t="inlineStr">
        <is>
          <t>Females</t>
        </is>
      </c>
      <c r="K39" s="15" t="inlineStr">
        <is>
          <t>Persons</t>
        </is>
      </c>
      <c r="L39" s="15" t="inlineStr">
        <is>
          <t>Males</t>
        </is>
      </c>
      <c r="M39" s="15" t="inlineStr">
        <is>
          <t>Females</t>
        </is>
      </c>
      <c r="N39" s="15" t="inlineStr">
        <is>
          <t>P=Sum</t>
        </is>
      </c>
      <c r="O39" s="15" t="inlineStr">
        <is>
          <t>M+F=P</t>
        </is>
      </c>
    </row>
    <row r="40">
      <c r="A40" s="16" t="inlineStr">
        <is>
          <t>Total</t>
        </is>
      </c>
      <c r="B40" s="17" t="n">
        <v>263808</v>
      </c>
      <c r="C40" s="17" t="n">
        <v>133842</v>
      </c>
      <c r="D40" s="17" t="n">
        <v>129966</v>
      </c>
      <c r="E40" s="17" t="n">
        <v>93978</v>
      </c>
      <c r="F40" s="17" t="n">
        <v>52270</v>
      </c>
      <c r="G40" s="17" t="n">
        <v>41708</v>
      </c>
      <c r="H40" s="17" t="n">
        <v>148778</v>
      </c>
      <c r="I40" s="17" t="n">
        <v>74514</v>
      </c>
      <c r="J40" s="17" t="n">
        <v>74264</v>
      </c>
      <c r="K40" s="17" t="n">
        <v>21052</v>
      </c>
      <c r="L40" s="17" t="n">
        <v>7058</v>
      </c>
      <c r="M40" s="17" t="n">
        <v>13994</v>
      </c>
      <c r="N40" s="18">
        <f>IF(B40=E40+H40+K40,"✓","✗")</f>
        <v/>
      </c>
      <c r="O40" s="18">
        <f>IF(B40=C40+D40,"✓","✗")</f>
        <v/>
      </c>
    </row>
    <row r="41">
      <c r="A41" s="19" t="inlineStr">
        <is>
          <t>0-1</t>
        </is>
      </c>
      <c r="B41" s="20" t="n">
        <v>4852</v>
      </c>
      <c r="C41" s="20" t="n">
        <v>2415</v>
      </c>
      <c r="D41" s="20" t="n">
        <v>2437</v>
      </c>
      <c r="E41" s="20" t="n">
        <v>4680</v>
      </c>
      <c r="F41" s="20" t="n">
        <v>2270</v>
      </c>
      <c r="G41" s="20" t="n">
        <v>2410</v>
      </c>
      <c r="H41" s="20" t="n">
        <v>168</v>
      </c>
      <c r="I41" s="20" t="n">
        <v>142</v>
      </c>
      <c r="J41" s="20" t="n">
        <v>26</v>
      </c>
      <c r="K41" s="20" t="n">
        <v>4</v>
      </c>
      <c r="L41" s="20" t="n">
        <v>3</v>
      </c>
      <c r="M41" s="20" t="n">
        <v>1</v>
      </c>
      <c r="N41" s="21">
        <f>IF(B41=E41+H41+K41,"✓",B41-(E41+H41+K41))</f>
        <v/>
      </c>
      <c r="O41" s="21">
        <f>IF(B41=C41+D41,"✓","✗")</f>
        <v/>
      </c>
    </row>
    <row r="42">
      <c r="A42" s="22" t="inlineStr">
        <is>
          <t>1-5</t>
        </is>
      </c>
      <c r="B42" s="23" t="n">
        <v>19368</v>
      </c>
      <c r="C42" s="23" t="n">
        <v>9069</v>
      </c>
      <c r="D42" s="23" t="n">
        <v>10299</v>
      </c>
      <c r="E42" s="23" t="n">
        <v>18055</v>
      </c>
      <c r="F42" s="23" t="n">
        <v>8617</v>
      </c>
      <c r="G42" s="23" t="n">
        <v>9438</v>
      </c>
      <c r="H42" s="23" t="n">
        <v>1225</v>
      </c>
      <c r="I42" s="23" t="n">
        <v>417</v>
      </c>
      <c r="J42" s="23" t="n">
        <v>808</v>
      </c>
      <c r="K42" s="23" t="n">
        <v>88</v>
      </c>
      <c r="L42" s="23" t="n">
        <v>35</v>
      </c>
      <c r="M42" s="23" t="n">
        <v>53</v>
      </c>
      <c r="N42" s="24">
        <f>IF(B42=E42+H42+K42,"✓",B42-(E42+H42+K42))</f>
        <v/>
      </c>
      <c r="O42" s="24">
        <f>IF(B42=C42+D42,"✓","✗")</f>
        <v/>
      </c>
    </row>
    <row r="43">
      <c r="A43" s="19" t="inlineStr">
        <is>
          <t>5-10</t>
        </is>
      </c>
      <c r="B43" s="20" t="n">
        <v>16892</v>
      </c>
      <c r="C43" s="20" t="n">
        <v>8628</v>
      </c>
      <c r="D43" s="20" t="n">
        <v>8264</v>
      </c>
      <c r="E43" s="20" t="n">
        <v>12577</v>
      </c>
      <c r="F43" s="20" t="n">
        <v>7155</v>
      </c>
      <c r="G43" s="20" t="n">
        <v>5422</v>
      </c>
      <c r="H43" s="20" t="n">
        <v>4141</v>
      </c>
      <c r="I43" s="20" t="n">
        <v>1401</v>
      </c>
      <c r="J43" s="20" t="n">
        <v>2740</v>
      </c>
      <c r="K43" s="20" t="n">
        <v>174</v>
      </c>
      <c r="L43" s="20" t="n">
        <v>72</v>
      </c>
      <c r="M43" s="20" t="n">
        <v>102</v>
      </c>
      <c r="N43" s="21">
        <f>IF(B43=E43+H43+K43,"✓",B43-(E43+H43+K43))</f>
        <v/>
      </c>
      <c r="O43" s="21">
        <f>IF(B43=C43+D43,"✓","✗")</f>
        <v/>
      </c>
    </row>
    <row r="44">
      <c r="A44" s="22" t="inlineStr">
        <is>
          <t>10-15</t>
        </is>
      </c>
      <c r="B44" s="23" t="n">
        <v>14412</v>
      </c>
      <c r="C44" s="23" t="n">
        <v>7602</v>
      </c>
      <c r="D44" s="23" t="n">
        <v>6810</v>
      </c>
      <c r="E44" s="23" t="n">
        <v>7931</v>
      </c>
      <c r="F44" s="23" t="n">
        <v>5284</v>
      </c>
      <c r="G44" s="23" t="n">
        <v>2647</v>
      </c>
      <c r="H44" s="23" t="n">
        <v>6373</v>
      </c>
      <c r="I44" s="23" t="n">
        <v>2280</v>
      </c>
      <c r="J44" s="23" t="n">
        <v>4093</v>
      </c>
      <c r="K44" s="23" t="n">
        <v>108</v>
      </c>
      <c r="L44" s="23" t="n">
        <v>38</v>
      </c>
      <c r="M44" s="23" t="n">
        <v>70</v>
      </c>
      <c r="N44" s="24">
        <f>IF(B44=E44+H44+K44,"✓",B44-(E44+H44+K44))</f>
        <v/>
      </c>
      <c r="O44" s="24">
        <f>IF(B44=C44+D44,"✓","✗")</f>
        <v/>
      </c>
    </row>
    <row r="45">
      <c r="A45" s="19" t="inlineStr">
        <is>
          <t>15-20</t>
        </is>
      </c>
      <c r="B45" s="20" t="n">
        <v>10516</v>
      </c>
      <c r="C45" s="20" t="n">
        <v>4994</v>
      </c>
      <c r="D45" s="20" t="n">
        <v>5522</v>
      </c>
      <c r="E45" s="20" t="n">
        <v>1767</v>
      </c>
      <c r="F45" s="20" t="n">
        <v>1435</v>
      </c>
      <c r="G45" s="20" t="n">
        <v>332</v>
      </c>
      <c r="H45" s="20" t="n">
        <v>8567</v>
      </c>
      <c r="I45" s="20" t="n">
        <v>3503</v>
      </c>
      <c r="J45" s="20" t="n">
        <v>5064</v>
      </c>
      <c r="K45" s="20" t="n">
        <v>182</v>
      </c>
      <c r="L45" s="20" t="n">
        <v>56</v>
      </c>
      <c r="M45" s="20" t="n">
        <v>126</v>
      </c>
      <c r="N45" s="21">
        <f>IF(B45=E45+H45+K45,"✓",B45-(E45+H45+K45))</f>
        <v/>
      </c>
      <c r="O45" s="21">
        <f>IF(B45=C45+D45,"✓","✗")</f>
        <v/>
      </c>
    </row>
    <row r="46">
      <c r="A46" s="22" t="inlineStr">
        <is>
          <t>20-30</t>
        </is>
      </c>
      <c r="B46" s="23" t="n">
        <v>22630</v>
      </c>
      <c r="C46" s="23" t="n">
        <v>10912</v>
      </c>
      <c r="D46" s="23" t="n">
        <v>11718</v>
      </c>
      <c r="E46" s="23" t="n">
        <v>1193</v>
      </c>
      <c r="F46" s="23" t="n">
        <v>861</v>
      </c>
      <c r="G46" s="23" t="n">
        <v>332</v>
      </c>
      <c r="H46" s="23" t="n">
        <v>20472</v>
      </c>
      <c r="I46" s="23" t="n">
        <v>9797</v>
      </c>
      <c r="J46" s="23" t="n">
        <v>10675</v>
      </c>
      <c r="K46" s="23" t="n">
        <v>965</v>
      </c>
      <c r="L46" s="23" t="n">
        <v>254</v>
      </c>
      <c r="M46" s="23" t="n">
        <v>711</v>
      </c>
      <c r="N46" s="24">
        <f>IF(B46=E46+H46+K46,"✓",B46-(E46+H46+K46))</f>
        <v/>
      </c>
      <c r="O46" s="24">
        <f>IF(B46=C46+D46,"✓","✗")</f>
        <v/>
      </c>
    </row>
    <row r="47">
      <c r="A47" s="19" t="inlineStr">
        <is>
          <t>30-40</t>
        </is>
      </c>
      <c r="B47" s="20" t="n">
        <v>17669</v>
      </c>
      <c r="C47" s="20" t="n">
        <v>8934</v>
      </c>
      <c r="D47" s="20" t="n">
        <v>8735</v>
      </c>
      <c r="E47" s="20" t="n">
        <v>357</v>
      </c>
      <c r="F47" s="20" t="n">
        <v>218</v>
      </c>
      <c r="G47" s="20" t="n">
        <v>139</v>
      </c>
      <c r="H47" s="20" t="n">
        <v>15405</v>
      </c>
      <c r="I47" s="20" t="n">
        <v>8225</v>
      </c>
      <c r="J47" s="20" t="n">
        <v>7180</v>
      </c>
      <c r="K47" s="20" t="n">
        <v>1907</v>
      </c>
      <c r="L47" s="20" t="n">
        <v>491</v>
      </c>
      <c r="M47" s="20" t="n">
        <v>1416</v>
      </c>
      <c r="N47" s="21">
        <f>IF(B47=E47+H47+K47,"✓",B47-(E47+H47+K47))</f>
        <v/>
      </c>
      <c r="O47" s="21">
        <f>IF(B47=C47+D47,"✓","✗")</f>
        <v/>
      </c>
    </row>
    <row r="48">
      <c r="A48" s="22" t="inlineStr">
        <is>
          <t>40-50</t>
        </is>
      </c>
      <c r="B48" s="23" t="n">
        <v>11706</v>
      </c>
      <c r="C48" s="23" t="n">
        <v>6287</v>
      </c>
      <c r="D48" s="23" t="n">
        <v>5419</v>
      </c>
      <c r="E48" s="23" t="n">
        <v>199</v>
      </c>
      <c r="F48" s="23" t="n">
        <v>142</v>
      </c>
      <c r="G48" s="23" t="n">
        <v>57</v>
      </c>
      <c r="H48" s="23" t="n">
        <v>9212</v>
      </c>
      <c r="I48" s="23" t="n">
        <v>5451</v>
      </c>
      <c r="J48" s="23" t="n">
        <v>3761</v>
      </c>
      <c r="K48" s="23" t="n">
        <v>2295</v>
      </c>
      <c r="L48" s="23" t="n">
        <v>694</v>
      </c>
      <c r="M48" s="23" t="n">
        <v>1601</v>
      </c>
      <c r="N48" s="24">
        <f>IF(B48=E48+H48+K48,"✓",B48-(E48+H48+K48))</f>
        <v/>
      </c>
      <c r="O48" s="24">
        <f>IF(B48=C48+D48,"✓","✗")</f>
        <v/>
      </c>
    </row>
    <row r="49">
      <c r="A49" s="19" t="inlineStr">
        <is>
          <t>50-60</t>
        </is>
      </c>
      <c r="B49" s="20" t="n">
        <v>7318</v>
      </c>
      <c r="C49" s="20" t="n">
        <v>4243</v>
      </c>
      <c r="D49" s="20" t="n">
        <v>3075</v>
      </c>
      <c r="E49" s="20" t="n">
        <v>79</v>
      </c>
      <c r="F49" s="20" t="n">
        <v>45</v>
      </c>
      <c r="G49" s="20" t="n">
        <v>34</v>
      </c>
      <c r="H49" s="20" t="n">
        <v>4972</v>
      </c>
      <c r="I49" s="20" t="n">
        <v>3419</v>
      </c>
      <c r="J49" s="20" t="n">
        <v>1553</v>
      </c>
      <c r="K49" s="20" t="n">
        <v>2267</v>
      </c>
      <c r="L49" s="20" t="n">
        <v>779</v>
      </c>
      <c r="M49" s="20" t="n">
        <v>1488</v>
      </c>
      <c r="N49" s="21">
        <f>IF(B49=E49+H49+K49,"✓",B49-(E49+H49+K49))</f>
        <v/>
      </c>
      <c r="O49" s="21">
        <f>IF(B49=C49+D49,"✓","✗")</f>
        <v/>
      </c>
    </row>
    <row r="50">
      <c r="A50" s="22" t="inlineStr">
        <is>
          <t>60 and over</t>
        </is>
      </c>
      <c r="B50" s="23" t="n">
        <v>6541</v>
      </c>
      <c r="C50" s="23" t="n">
        <v>3837</v>
      </c>
      <c r="D50" s="23" t="n">
        <v>2704</v>
      </c>
      <c r="E50" s="23" t="n">
        <v>151</v>
      </c>
      <c r="F50" s="23" t="n">
        <v>108</v>
      </c>
      <c r="G50" s="23" t="n">
        <v>43</v>
      </c>
      <c r="H50" s="23" t="n">
        <v>3854</v>
      </c>
      <c r="I50" s="23" t="n">
        <v>2622</v>
      </c>
      <c r="J50" s="23" t="n">
        <v>1232</v>
      </c>
      <c r="K50" s="23" t="n">
        <v>2536</v>
      </c>
      <c r="L50" s="23" t="n">
        <v>1107</v>
      </c>
      <c r="M50" s="23" t="n">
        <v>1429</v>
      </c>
      <c r="N50" s="24">
        <f>IF(B50=E50+H50+K50,"✓",B50-(E50+H50+K50))</f>
        <v/>
      </c>
      <c r="O50" s="24">
        <f>IF(B50=C50+D50,"✓","✗")</f>
        <v/>
      </c>
    </row>
    <row r="51">
      <c r="A51" s="19" t="inlineStr">
        <is>
          <t>Total</t>
        </is>
      </c>
      <c r="B51" s="20" t="n">
        <v>131904</v>
      </c>
      <c r="C51" s="20" t="n">
        <v>66921</v>
      </c>
      <c r="D51" s="20" t="n">
        <v>64983</v>
      </c>
      <c r="E51" s="20" t="n">
        <v>46989</v>
      </c>
      <c r="F51" s="20" t="n">
        <v>26135</v>
      </c>
      <c r="G51" s="20" t="n">
        <v>20854</v>
      </c>
      <c r="H51" s="20" t="n">
        <v>74389</v>
      </c>
      <c r="I51" s="20" t="n">
        <v>37257</v>
      </c>
      <c r="J51" s="20" t="n">
        <v>37132</v>
      </c>
      <c r="K51" s="20" t="n">
        <v>10526</v>
      </c>
      <c r="L51" s="20" t="n">
        <v>3529</v>
      </c>
      <c r="M51" s="20" t="n">
        <v>6997</v>
      </c>
      <c r="N51" s="21">
        <f>IF(B51=E51+H51+K51,"✓",B51-(E51+H51+K51))</f>
        <v/>
      </c>
      <c r="O51" s="21">
        <f>IF(B51=C51+D51,"✓","✗")</f>
        <v/>
      </c>
    </row>
    <row r="52">
      <c r="A52" s="25" t="inlineStr">
        <is>
          <t>Verify: Sum</t>
        </is>
      </c>
      <c r="B52" s="26">
        <f>IF(SUM(B41:B51)=B40,"✓",SUM(B41:B51)-B40)</f>
        <v/>
      </c>
      <c r="C52" s="26">
        <f>IF(SUM(C41:C51)=C40,"✓",SUM(C41:C51)-C40)</f>
        <v/>
      </c>
      <c r="D52" s="26">
        <f>IF(SUM(D41:D51)=D40,"✓",SUM(D41:D51)-D40)</f>
        <v/>
      </c>
      <c r="E52" s="26">
        <f>IF(SUM(E41:E51)=E40,"✓",SUM(E41:E51)-E40)</f>
        <v/>
      </c>
      <c r="F52" s="26">
        <f>IF(SUM(F41:F51)=F40,"✓",SUM(F41:F51)-F40)</f>
        <v/>
      </c>
      <c r="G52" s="26">
        <f>IF(SUM(G41:G51)=G40,"✓",SUM(G41:G51)-G40)</f>
        <v/>
      </c>
      <c r="H52" s="26">
        <f>IF(SUM(H41:H51)=H40,"✓",SUM(H41:H51)-H40)</f>
        <v/>
      </c>
      <c r="I52" s="26">
        <f>IF(SUM(I41:I51)=I40,"✓",SUM(I41:I51)-I40)</f>
        <v/>
      </c>
      <c r="J52" s="26">
        <f>IF(SUM(J41:J51)=J40,"✓",SUM(J41:J51)-J40)</f>
        <v/>
      </c>
      <c r="K52" s="26">
        <f>IF(SUM(K41:K51)=K40,"✓",SUM(K41:K51)-K40)</f>
        <v/>
      </c>
      <c r="L52" s="26">
        <f>IF(SUM(L41:L51)=L40,"✓",SUM(L41:L51)-L40)</f>
        <v/>
      </c>
      <c r="M52" s="26">
        <f>IF(SUM(M41:M51)=M40,"✓",SUM(M41:M51)-M40)</f>
        <v/>
      </c>
    </row>
  </sheetData>
  <mergeCells count="12">
    <mergeCell ref="H38:J38"/>
    <mergeCell ref="K38:M38"/>
    <mergeCell ref="K4:M4"/>
    <mergeCell ref="B4:D4"/>
    <mergeCell ref="H4:J4"/>
    <mergeCell ref="K21:M21"/>
    <mergeCell ref="E4:G4"/>
    <mergeCell ref="B21:D21"/>
    <mergeCell ref="E21:G21"/>
    <mergeCell ref="B38:D38"/>
    <mergeCell ref="H21:J21"/>
    <mergeCell ref="E38:G38"/>
  </mergeCells>
  <conditionalFormatting sqref="N6:N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N23:N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O23:O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N40:N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O40:O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Osmanabad</t>
        </is>
      </c>
    </row>
    <row r="2">
      <c r="A2" s="3" t="inlineStr">
        <is>
          <t>All Religions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1382136</v>
      </c>
      <c r="C5" s="17" t="n">
        <v>714978</v>
      </c>
      <c r="D5" s="17" t="n">
        <v>667158</v>
      </c>
      <c r="E5" s="17" t="n">
        <v>489868</v>
      </c>
      <c r="F5" s="17" t="n">
        <v>277048</v>
      </c>
      <c r="G5" s="17" t="n">
        <v>212820</v>
      </c>
      <c r="H5" s="17" t="n">
        <v>748264</v>
      </c>
      <c r="I5" s="17" t="n">
        <v>384152</v>
      </c>
      <c r="J5" s="17" t="n">
        <v>364112</v>
      </c>
      <c r="K5" s="17" t="n">
        <v>144004</v>
      </c>
      <c r="L5" s="17" t="n">
        <v>53778</v>
      </c>
      <c r="M5" s="17" t="n">
        <v>90226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24449</v>
      </c>
      <c r="C6" s="20" t="n">
        <v>12199</v>
      </c>
      <c r="D6" s="20" t="n">
        <v>12250</v>
      </c>
      <c r="E6" s="20" t="n">
        <v>23176</v>
      </c>
      <c r="F6" s="20" t="n">
        <v>11922</v>
      </c>
      <c r="G6" s="20" t="n">
        <v>11254</v>
      </c>
      <c r="H6" s="20" t="n">
        <v>1256</v>
      </c>
      <c r="I6" s="20" t="n">
        <v>270</v>
      </c>
      <c r="J6" s="20" t="n">
        <v>986</v>
      </c>
      <c r="K6" s="20" t="n">
        <v>17</v>
      </c>
      <c r="L6" s="20" t="n">
        <v>7</v>
      </c>
      <c r="M6" s="20" t="n">
        <v>10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94661</v>
      </c>
      <c r="C7" s="23" t="n">
        <v>46381</v>
      </c>
      <c r="D7" s="23" t="n">
        <v>48280</v>
      </c>
      <c r="E7" s="23" t="n">
        <v>84775</v>
      </c>
      <c r="F7" s="23" t="n">
        <v>42429</v>
      </c>
      <c r="G7" s="23" t="n">
        <v>42346</v>
      </c>
      <c r="H7" s="23" t="n">
        <v>9444</v>
      </c>
      <c r="I7" s="23" t="n">
        <v>3704</v>
      </c>
      <c r="J7" s="23" t="n">
        <v>5740</v>
      </c>
      <c r="K7" s="23" t="n">
        <v>442</v>
      </c>
      <c r="L7" s="23" t="n">
        <v>248</v>
      </c>
      <c r="M7" s="23" t="n">
        <v>194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85887</v>
      </c>
      <c r="C8" s="20" t="n">
        <v>43378</v>
      </c>
      <c r="D8" s="20" t="n">
        <v>42509</v>
      </c>
      <c r="E8" s="20" t="n">
        <v>62152</v>
      </c>
      <c r="F8" s="20" t="n">
        <v>34460</v>
      </c>
      <c r="G8" s="20" t="n">
        <v>27692</v>
      </c>
      <c r="H8" s="20" t="n">
        <v>22879</v>
      </c>
      <c r="I8" s="20" t="n">
        <v>8517</v>
      </c>
      <c r="J8" s="20" t="n">
        <v>14362</v>
      </c>
      <c r="K8" s="20" t="n">
        <v>856</v>
      </c>
      <c r="L8" s="20" t="n">
        <v>401</v>
      </c>
      <c r="M8" s="20" t="n">
        <v>455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77831</v>
      </c>
      <c r="C9" s="23" t="n">
        <v>40909</v>
      </c>
      <c r="D9" s="23" t="n">
        <v>36922</v>
      </c>
      <c r="E9" s="23" t="n">
        <v>43047</v>
      </c>
      <c r="F9" s="23" t="n">
        <v>27733</v>
      </c>
      <c r="G9" s="23" t="n">
        <v>15314</v>
      </c>
      <c r="H9" s="23" t="n">
        <v>33570</v>
      </c>
      <c r="I9" s="23" t="n">
        <v>12676</v>
      </c>
      <c r="J9" s="23" t="n">
        <v>20894</v>
      </c>
      <c r="K9" s="23" t="n">
        <v>1214</v>
      </c>
      <c r="L9" s="23" t="n">
        <v>500</v>
      </c>
      <c r="M9" s="23" t="n">
        <v>714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58731</v>
      </c>
      <c r="C10" s="20" t="n">
        <v>29458</v>
      </c>
      <c r="D10" s="20" t="n">
        <v>29273</v>
      </c>
      <c r="E10" s="20" t="n">
        <v>13293</v>
      </c>
      <c r="F10" s="20" t="n">
        <v>10742</v>
      </c>
      <c r="G10" s="20" t="n">
        <v>2551</v>
      </c>
      <c r="H10" s="20" t="n">
        <v>43650</v>
      </c>
      <c r="I10" s="20" t="n">
        <v>17955</v>
      </c>
      <c r="J10" s="20" t="n">
        <v>25695</v>
      </c>
      <c r="K10" s="20" t="n">
        <v>1788</v>
      </c>
      <c r="L10" s="20" t="n">
        <v>761</v>
      </c>
      <c r="M10" s="20" t="n">
        <v>1027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118651</v>
      </c>
      <c r="C11" s="23" t="n">
        <v>59611</v>
      </c>
      <c r="D11" s="23" t="n">
        <v>59040</v>
      </c>
      <c r="E11" s="23" t="n">
        <v>10735</v>
      </c>
      <c r="F11" s="23" t="n">
        <v>7384</v>
      </c>
      <c r="G11" s="23" t="n">
        <v>3351</v>
      </c>
      <c r="H11" s="23" t="n">
        <v>99929</v>
      </c>
      <c r="I11" s="23" t="n">
        <v>49475</v>
      </c>
      <c r="J11" s="23" t="n">
        <v>50454</v>
      </c>
      <c r="K11" s="23" t="n">
        <v>7987</v>
      </c>
      <c r="L11" s="23" t="n">
        <v>2752</v>
      </c>
      <c r="M11" s="23" t="n">
        <v>5235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93982</v>
      </c>
      <c r="C12" s="20" t="n">
        <v>49487</v>
      </c>
      <c r="D12" s="20" t="n">
        <v>44495</v>
      </c>
      <c r="E12" s="20" t="n">
        <v>4213</v>
      </c>
      <c r="F12" s="20" t="n">
        <v>2066</v>
      </c>
      <c r="G12" s="20" t="n">
        <v>2147</v>
      </c>
      <c r="H12" s="20" t="n">
        <v>76449</v>
      </c>
      <c r="I12" s="20" t="n">
        <v>42863</v>
      </c>
      <c r="J12" s="20" t="n">
        <v>33586</v>
      </c>
      <c r="K12" s="20" t="n">
        <v>13320</v>
      </c>
      <c r="L12" s="20" t="n">
        <v>4558</v>
      </c>
      <c r="M12" s="20" t="n">
        <v>8762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63590</v>
      </c>
      <c r="C13" s="23" t="n">
        <v>34591</v>
      </c>
      <c r="D13" s="23" t="n">
        <v>28999</v>
      </c>
      <c r="E13" s="23" t="n">
        <v>1995</v>
      </c>
      <c r="F13" s="23" t="n">
        <v>977</v>
      </c>
      <c r="G13" s="23" t="n">
        <v>1018</v>
      </c>
      <c r="H13" s="23" t="n">
        <v>45539</v>
      </c>
      <c r="I13" s="23" t="n">
        <v>28107</v>
      </c>
      <c r="J13" s="23" t="n">
        <v>17432</v>
      </c>
      <c r="K13" s="23" t="n">
        <v>16056</v>
      </c>
      <c r="L13" s="23" t="n">
        <v>5507</v>
      </c>
      <c r="M13" s="23" t="n">
        <v>10549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39266</v>
      </c>
      <c r="C14" s="20" t="n">
        <v>22425</v>
      </c>
      <c r="D14" s="20" t="n">
        <v>16841</v>
      </c>
      <c r="E14" s="20" t="n">
        <v>867</v>
      </c>
      <c r="F14" s="20" t="n">
        <v>414</v>
      </c>
      <c r="G14" s="20" t="n">
        <v>453</v>
      </c>
      <c r="H14" s="20" t="n">
        <v>23994</v>
      </c>
      <c r="I14" s="20" t="n">
        <v>16694</v>
      </c>
      <c r="J14" s="20" t="n">
        <v>7300</v>
      </c>
      <c r="K14" s="20" t="n">
        <v>14405</v>
      </c>
      <c r="L14" s="20" t="n">
        <v>5317</v>
      </c>
      <c r="M14" s="20" t="n">
        <v>9088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34020</v>
      </c>
      <c r="C15" s="23" t="n">
        <v>19050</v>
      </c>
      <c r="D15" s="23" t="n">
        <v>14970</v>
      </c>
      <c r="E15" s="23" t="n">
        <v>681</v>
      </c>
      <c r="F15" s="23" t="n">
        <v>397</v>
      </c>
      <c r="G15" s="23" t="n">
        <v>284</v>
      </c>
      <c r="H15" s="23" t="n">
        <v>17422</v>
      </c>
      <c r="I15" s="23" t="n">
        <v>11815</v>
      </c>
      <c r="J15" s="23" t="n">
        <v>5607</v>
      </c>
      <c r="K15" s="23" t="n">
        <v>15917</v>
      </c>
      <c r="L15" s="23" t="n">
        <v>6838</v>
      </c>
      <c r="M15" s="23" t="n">
        <v>9079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691068</v>
      </c>
      <c r="C16" s="20" t="n">
        <v>357489</v>
      </c>
      <c r="D16" s="20" t="n">
        <v>333579</v>
      </c>
      <c r="E16" s="20" t="n">
        <v>244934</v>
      </c>
      <c r="F16" s="20" t="n">
        <v>138524</v>
      </c>
      <c r="G16" s="20" t="n">
        <v>106410</v>
      </c>
      <c r="H16" s="20" t="n">
        <v>374132</v>
      </c>
      <c r="I16" s="20" t="n">
        <v>192076</v>
      </c>
      <c r="J16" s="20" t="n">
        <v>182056</v>
      </c>
      <c r="K16" s="20" t="n">
        <v>72002</v>
      </c>
      <c r="L16" s="20" t="n">
        <v>26889</v>
      </c>
      <c r="M16" s="20" t="n">
        <v>45113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Osmanabad</t>
        </is>
      </c>
    </row>
    <row r="2">
      <c r="A2" s="3" t="inlineStr">
        <is>
          <t>Hindu (Brahmanic)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928910</v>
      </c>
      <c r="C5" s="17" t="n">
        <v>482746</v>
      </c>
      <c r="D5" s="17" t="n">
        <v>446164</v>
      </c>
      <c r="E5" s="17" t="n">
        <v>319714</v>
      </c>
      <c r="F5" s="17" t="n">
        <v>181968</v>
      </c>
      <c r="G5" s="17" t="n">
        <v>137746</v>
      </c>
      <c r="H5" s="17" t="n">
        <v>502436</v>
      </c>
      <c r="I5" s="17" t="n">
        <v>259618</v>
      </c>
      <c r="J5" s="17" t="n">
        <v>242818</v>
      </c>
      <c r="K5" s="17" t="n">
        <v>106760</v>
      </c>
      <c r="L5" s="17" t="n">
        <v>41160</v>
      </c>
      <c r="M5" s="17" t="n">
        <v>65600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15847</v>
      </c>
      <c r="C6" s="20" t="n">
        <v>7933</v>
      </c>
      <c r="D6" s="20" t="n">
        <v>7914</v>
      </c>
      <c r="E6" s="20" t="n">
        <v>14792</v>
      </c>
      <c r="F6" s="20" t="n">
        <v>7827</v>
      </c>
      <c r="G6" s="20" t="n">
        <v>6965</v>
      </c>
      <c r="H6" s="20" t="n">
        <v>1047</v>
      </c>
      <c r="I6" s="20" t="n">
        <v>105</v>
      </c>
      <c r="J6" s="20" t="n">
        <v>942</v>
      </c>
      <c r="K6" s="20" t="n">
        <v>8</v>
      </c>
      <c r="L6" s="20" t="n">
        <v>1</v>
      </c>
      <c r="M6" s="20" t="n">
        <v>7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61390</v>
      </c>
      <c r="C7" s="23" t="n">
        <v>30370</v>
      </c>
      <c r="D7" s="23" t="n">
        <v>31020</v>
      </c>
      <c r="E7" s="23" t="n">
        <v>53835</v>
      </c>
      <c r="F7" s="23" t="n">
        <v>27330</v>
      </c>
      <c r="G7" s="23" t="n">
        <v>26505</v>
      </c>
      <c r="H7" s="23" t="n">
        <v>7236</v>
      </c>
      <c r="I7" s="23" t="n">
        <v>2830</v>
      </c>
      <c r="J7" s="23" t="n">
        <v>4406</v>
      </c>
      <c r="K7" s="23" t="n">
        <v>319</v>
      </c>
      <c r="L7" s="23" t="n">
        <v>210</v>
      </c>
      <c r="M7" s="23" t="n">
        <v>109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57038</v>
      </c>
      <c r="C8" s="20" t="n">
        <v>28702</v>
      </c>
      <c r="D8" s="20" t="n">
        <v>28336</v>
      </c>
      <c r="E8" s="20" t="n">
        <v>40072</v>
      </c>
      <c r="F8" s="20" t="n">
        <v>22273</v>
      </c>
      <c r="G8" s="20" t="n">
        <v>17799</v>
      </c>
      <c r="H8" s="20" t="n">
        <v>16347</v>
      </c>
      <c r="I8" s="20" t="n">
        <v>6117</v>
      </c>
      <c r="J8" s="20" t="n">
        <v>10230</v>
      </c>
      <c r="K8" s="20" t="n">
        <v>619</v>
      </c>
      <c r="L8" s="20" t="n">
        <v>312</v>
      </c>
      <c r="M8" s="20" t="n">
        <v>307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52679</v>
      </c>
      <c r="C9" s="23" t="n">
        <v>27803</v>
      </c>
      <c r="D9" s="23" t="n">
        <v>24876</v>
      </c>
      <c r="E9" s="23" t="n">
        <v>28407</v>
      </c>
      <c r="F9" s="23" t="n">
        <v>18495</v>
      </c>
      <c r="G9" s="23" t="n">
        <v>9912</v>
      </c>
      <c r="H9" s="23" t="n">
        <v>23289</v>
      </c>
      <c r="I9" s="23" t="n">
        <v>8884</v>
      </c>
      <c r="J9" s="23" t="n">
        <v>14405</v>
      </c>
      <c r="K9" s="23" t="n">
        <v>983</v>
      </c>
      <c r="L9" s="23" t="n">
        <v>424</v>
      </c>
      <c r="M9" s="23" t="n">
        <v>559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40066</v>
      </c>
      <c r="C10" s="20" t="n">
        <v>20389</v>
      </c>
      <c r="D10" s="20" t="n">
        <v>19677</v>
      </c>
      <c r="E10" s="20" t="n">
        <v>9247</v>
      </c>
      <c r="F10" s="20" t="n">
        <v>7537</v>
      </c>
      <c r="G10" s="20" t="n">
        <v>1710</v>
      </c>
      <c r="H10" s="20" t="n">
        <v>29402</v>
      </c>
      <c r="I10" s="20" t="n">
        <v>12213</v>
      </c>
      <c r="J10" s="20" t="n">
        <v>17189</v>
      </c>
      <c r="K10" s="20" t="n">
        <v>1417</v>
      </c>
      <c r="L10" s="20" t="n">
        <v>639</v>
      </c>
      <c r="M10" s="20" t="n">
        <v>778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80060</v>
      </c>
      <c r="C11" s="23" t="n">
        <v>40436</v>
      </c>
      <c r="D11" s="23" t="n">
        <v>39624</v>
      </c>
      <c r="E11" s="23" t="n">
        <v>7583</v>
      </c>
      <c r="F11" s="23" t="n">
        <v>4987</v>
      </c>
      <c r="G11" s="23" t="n">
        <v>2596</v>
      </c>
      <c r="H11" s="23" t="n">
        <v>66358</v>
      </c>
      <c r="I11" s="23" t="n">
        <v>33237</v>
      </c>
      <c r="J11" s="23" t="n">
        <v>33121</v>
      </c>
      <c r="K11" s="23" t="n">
        <v>6119</v>
      </c>
      <c r="L11" s="23" t="n">
        <v>2212</v>
      </c>
      <c r="M11" s="23" t="n">
        <v>3907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63875</v>
      </c>
      <c r="C12" s="20" t="n">
        <v>33932</v>
      </c>
      <c r="D12" s="20" t="n">
        <v>29943</v>
      </c>
      <c r="E12" s="20" t="n">
        <v>3301</v>
      </c>
      <c r="F12" s="20" t="n">
        <v>1422</v>
      </c>
      <c r="G12" s="20" t="n">
        <v>1879</v>
      </c>
      <c r="H12" s="20" t="n">
        <v>50747</v>
      </c>
      <c r="I12" s="20" t="n">
        <v>28990</v>
      </c>
      <c r="J12" s="20" t="n">
        <v>21757</v>
      </c>
      <c r="K12" s="20" t="n">
        <v>9827</v>
      </c>
      <c r="L12" s="20" t="n">
        <v>3520</v>
      </c>
      <c r="M12" s="20" t="n">
        <v>6307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43384</v>
      </c>
      <c r="C13" s="23" t="n">
        <v>23596</v>
      </c>
      <c r="D13" s="23" t="n">
        <v>19788</v>
      </c>
      <c r="E13" s="23" t="n">
        <v>1517</v>
      </c>
      <c r="F13" s="23" t="n">
        <v>603</v>
      </c>
      <c r="G13" s="23" t="n">
        <v>914</v>
      </c>
      <c r="H13" s="23" t="n">
        <v>29950</v>
      </c>
      <c r="I13" s="23" t="n">
        <v>18735</v>
      </c>
      <c r="J13" s="23" t="n">
        <v>11215</v>
      </c>
      <c r="K13" s="23" t="n">
        <v>11917</v>
      </c>
      <c r="L13" s="23" t="n">
        <v>4258</v>
      </c>
      <c r="M13" s="23" t="n">
        <v>7659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26912</v>
      </c>
      <c r="C14" s="20" t="n">
        <v>15345</v>
      </c>
      <c r="D14" s="20" t="n">
        <v>11567</v>
      </c>
      <c r="E14" s="20" t="n">
        <v>689</v>
      </c>
      <c r="F14" s="20" t="n">
        <v>308</v>
      </c>
      <c r="G14" s="20" t="n">
        <v>381</v>
      </c>
      <c r="H14" s="20" t="n">
        <v>15666</v>
      </c>
      <c r="I14" s="20" t="n">
        <v>11065</v>
      </c>
      <c r="J14" s="20" t="n">
        <v>4601</v>
      </c>
      <c r="K14" s="20" t="n">
        <v>10557</v>
      </c>
      <c r="L14" s="20" t="n">
        <v>3972</v>
      </c>
      <c r="M14" s="20" t="n">
        <v>6585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23204</v>
      </c>
      <c r="C15" s="23" t="n">
        <v>12867</v>
      </c>
      <c r="D15" s="23" t="n">
        <v>10337</v>
      </c>
      <c r="E15" s="23" t="n">
        <v>414</v>
      </c>
      <c r="F15" s="23" t="n">
        <v>202</v>
      </c>
      <c r="G15" s="23" t="n">
        <v>212</v>
      </c>
      <c r="H15" s="23" t="n">
        <v>11176</v>
      </c>
      <c r="I15" s="23" t="n">
        <v>7633</v>
      </c>
      <c r="J15" s="23" t="n">
        <v>3543</v>
      </c>
      <c r="K15" s="23" t="n">
        <v>11614</v>
      </c>
      <c r="L15" s="23" t="n">
        <v>5032</v>
      </c>
      <c r="M15" s="23" t="n">
        <v>6582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464455</v>
      </c>
      <c r="C16" s="20" t="n">
        <v>241373</v>
      </c>
      <c r="D16" s="20" t="n">
        <v>223082</v>
      </c>
      <c r="E16" s="20" t="n">
        <v>159857</v>
      </c>
      <c r="F16" s="20" t="n">
        <v>90984</v>
      </c>
      <c r="G16" s="20" t="n">
        <v>68873</v>
      </c>
      <c r="H16" s="20" t="n">
        <v>251218</v>
      </c>
      <c r="I16" s="20" t="n">
        <v>129809</v>
      </c>
      <c r="J16" s="20" t="n">
        <v>121409</v>
      </c>
      <c r="K16" s="20" t="n">
        <v>53380</v>
      </c>
      <c r="L16" s="20" t="n">
        <v>20580</v>
      </c>
      <c r="M16" s="20" t="n">
        <v>32800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Osmanabad</t>
        </is>
      </c>
    </row>
    <row r="2">
      <c r="A2" s="3" t="inlineStr">
        <is>
          <t>Adi Hindu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263808</v>
      </c>
      <c r="C5" s="17" t="n">
        <v>133842</v>
      </c>
      <c r="D5" s="17" t="n">
        <v>129966</v>
      </c>
      <c r="E5" s="17" t="n">
        <v>93978</v>
      </c>
      <c r="F5" s="17" t="n">
        <v>52270</v>
      </c>
      <c r="G5" s="17" t="n">
        <v>41708</v>
      </c>
      <c r="H5" s="17" t="n">
        <v>148778</v>
      </c>
      <c r="I5" s="17" t="n">
        <v>74514</v>
      </c>
      <c r="J5" s="17" t="n">
        <v>74264</v>
      </c>
      <c r="K5" s="17" t="n">
        <v>21052</v>
      </c>
      <c r="L5" s="17" t="n">
        <v>7058</v>
      </c>
      <c r="M5" s="17" t="n">
        <v>13994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4852</v>
      </c>
      <c r="C6" s="20" t="n">
        <v>2415</v>
      </c>
      <c r="D6" s="20" t="n">
        <v>2437</v>
      </c>
      <c r="E6" s="20" t="n">
        <v>4680</v>
      </c>
      <c r="F6" s="20" t="n">
        <v>2270</v>
      </c>
      <c r="G6" s="20" t="n">
        <v>2410</v>
      </c>
      <c r="H6" s="20" t="n">
        <v>168</v>
      </c>
      <c r="I6" s="20" t="n">
        <v>142</v>
      </c>
      <c r="J6" s="20" t="n">
        <v>26</v>
      </c>
      <c r="K6" s="20" t="n">
        <v>4</v>
      </c>
      <c r="L6" s="20" t="n">
        <v>3</v>
      </c>
      <c r="M6" s="20" t="n">
        <v>1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19368</v>
      </c>
      <c r="C7" s="23" t="n">
        <v>9069</v>
      </c>
      <c r="D7" s="23" t="n">
        <v>10299</v>
      </c>
      <c r="E7" s="23" t="n">
        <v>18055</v>
      </c>
      <c r="F7" s="23" t="n">
        <v>8617</v>
      </c>
      <c r="G7" s="23" t="n">
        <v>9438</v>
      </c>
      <c r="H7" s="23" t="n">
        <v>1225</v>
      </c>
      <c r="I7" s="23" t="n">
        <v>417</v>
      </c>
      <c r="J7" s="23" t="n">
        <v>808</v>
      </c>
      <c r="K7" s="23" t="n">
        <v>88</v>
      </c>
      <c r="L7" s="23" t="n">
        <v>35</v>
      </c>
      <c r="M7" s="23" t="n">
        <v>53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16892</v>
      </c>
      <c r="C8" s="20" t="n">
        <v>8628</v>
      </c>
      <c r="D8" s="20" t="n">
        <v>8264</v>
      </c>
      <c r="E8" s="20" t="n">
        <v>12577</v>
      </c>
      <c r="F8" s="20" t="n">
        <v>7155</v>
      </c>
      <c r="G8" s="20" t="n">
        <v>5422</v>
      </c>
      <c r="H8" s="20" t="n">
        <v>4141</v>
      </c>
      <c r="I8" s="20" t="n">
        <v>1401</v>
      </c>
      <c r="J8" s="20" t="n">
        <v>2740</v>
      </c>
      <c r="K8" s="20" t="n">
        <v>174</v>
      </c>
      <c r="L8" s="20" t="n">
        <v>72</v>
      </c>
      <c r="M8" s="20" t="n">
        <v>102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14412</v>
      </c>
      <c r="C9" s="23" t="n">
        <v>7602</v>
      </c>
      <c r="D9" s="23" t="n">
        <v>6810</v>
      </c>
      <c r="E9" s="23" t="n">
        <v>7931</v>
      </c>
      <c r="F9" s="23" t="n">
        <v>5284</v>
      </c>
      <c r="G9" s="23" t="n">
        <v>2647</v>
      </c>
      <c r="H9" s="23" t="n">
        <v>6373</v>
      </c>
      <c r="I9" s="23" t="n">
        <v>2280</v>
      </c>
      <c r="J9" s="23" t="n">
        <v>4093</v>
      </c>
      <c r="K9" s="23" t="n">
        <v>108</v>
      </c>
      <c r="L9" s="23" t="n">
        <v>38</v>
      </c>
      <c r="M9" s="23" t="n">
        <v>70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10516</v>
      </c>
      <c r="C10" s="20" t="n">
        <v>4994</v>
      </c>
      <c r="D10" s="20" t="n">
        <v>5522</v>
      </c>
      <c r="E10" s="20" t="n">
        <v>1767</v>
      </c>
      <c r="F10" s="20" t="n">
        <v>1435</v>
      </c>
      <c r="G10" s="20" t="n">
        <v>332</v>
      </c>
      <c r="H10" s="20" t="n">
        <v>8567</v>
      </c>
      <c r="I10" s="20" t="n">
        <v>3503</v>
      </c>
      <c r="J10" s="20" t="n">
        <v>5064</v>
      </c>
      <c r="K10" s="20" t="n">
        <v>182</v>
      </c>
      <c r="L10" s="20" t="n">
        <v>56</v>
      </c>
      <c r="M10" s="20" t="n">
        <v>126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22630</v>
      </c>
      <c r="C11" s="23" t="n">
        <v>10912</v>
      </c>
      <c r="D11" s="23" t="n">
        <v>11718</v>
      </c>
      <c r="E11" s="23" t="n">
        <v>1193</v>
      </c>
      <c r="F11" s="23" t="n">
        <v>861</v>
      </c>
      <c r="G11" s="23" t="n">
        <v>332</v>
      </c>
      <c r="H11" s="23" t="n">
        <v>20472</v>
      </c>
      <c r="I11" s="23" t="n">
        <v>9797</v>
      </c>
      <c r="J11" s="23" t="n">
        <v>10675</v>
      </c>
      <c r="K11" s="23" t="n">
        <v>965</v>
      </c>
      <c r="L11" s="23" t="n">
        <v>254</v>
      </c>
      <c r="M11" s="23" t="n">
        <v>711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17669</v>
      </c>
      <c r="C12" s="20" t="n">
        <v>8934</v>
      </c>
      <c r="D12" s="20" t="n">
        <v>8735</v>
      </c>
      <c r="E12" s="20" t="n">
        <v>357</v>
      </c>
      <c r="F12" s="20" t="n">
        <v>218</v>
      </c>
      <c r="G12" s="20" t="n">
        <v>139</v>
      </c>
      <c r="H12" s="20" t="n">
        <v>15405</v>
      </c>
      <c r="I12" s="20" t="n">
        <v>8225</v>
      </c>
      <c r="J12" s="20" t="n">
        <v>7180</v>
      </c>
      <c r="K12" s="20" t="n">
        <v>1907</v>
      </c>
      <c r="L12" s="20" t="n">
        <v>491</v>
      </c>
      <c r="M12" s="20" t="n">
        <v>1416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11706</v>
      </c>
      <c r="C13" s="23" t="n">
        <v>6287</v>
      </c>
      <c r="D13" s="23" t="n">
        <v>5419</v>
      </c>
      <c r="E13" s="23" t="n">
        <v>199</v>
      </c>
      <c r="F13" s="23" t="n">
        <v>142</v>
      </c>
      <c r="G13" s="23" t="n">
        <v>57</v>
      </c>
      <c r="H13" s="23" t="n">
        <v>9212</v>
      </c>
      <c r="I13" s="23" t="n">
        <v>5451</v>
      </c>
      <c r="J13" s="23" t="n">
        <v>3761</v>
      </c>
      <c r="K13" s="23" t="n">
        <v>2295</v>
      </c>
      <c r="L13" s="23" t="n">
        <v>694</v>
      </c>
      <c r="M13" s="23" t="n">
        <v>1601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7318</v>
      </c>
      <c r="C14" s="20" t="n">
        <v>4243</v>
      </c>
      <c r="D14" s="20" t="n">
        <v>3075</v>
      </c>
      <c r="E14" s="20" t="n">
        <v>79</v>
      </c>
      <c r="F14" s="20" t="n">
        <v>45</v>
      </c>
      <c r="G14" s="20" t="n">
        <v>34</v>
      </c>
      <c r="H14" s="20" t="n">
        <v>4972</v>
      </c>
      <c r="I14" s="20" t="n">
        <v>3419</v>
      </c>
      <c r="J14" s="20" t="n">
        <v>1553</v>
      </c>
      <c r="K14" s="20" t="n">
        <v>2267</v>
      </c>
      <c r="L14" s="20" t="n">
        <v>779</v>
      </c>
      <c r="M14" s="20" t="n">
        <v>1488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6541</v>
      </c>
      <c r="C15" s="23" t="n">
        <v>3837</v>
      </c>
      <c r="D15" s="23" t="n">
        <v>2704</v>
      </c>
      <c r="E15" s="23" t="n">
        <v>151</v>
      </c>
      <c r="F15" s="23" t="n">
        <v>108</v>
      </c>
      <c r="G15" s="23" t="n">
        <v>43</v>
      </c>
      <c r="H15" s="23" t="n">
        <v>3854</v>
      </c>
      <c r="I15" s="23" t="n">
        <v>2622</v>
      </c>
      <c r="J15" s="23" t="n">
        <v>1232</v>
      </c>
      <c r="K15" s="23" t="n">
        <v>2536</v>
      </c>
      <c r="L15" s="23" t="n">
        <v>1107</v>
      </c>
      <c r="M15" s="23" t="n">
        <v>1429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131904</v>
      </c>
      <c r="C16" s="20" t="n">
        <v>66921</v>
      </c>
      <c r="D16" s="20" t="n">
        <v>64983</v>
      </c>
      <c r="E16" s="20" t="n">
        <v>46989</v>
      </c>
      <c r="F16" s="20" t="n">
        <v>26135</v>
      </c>
      <c r="G16" s="20" t="n">
        <v>20854</v>
      </c>
      <c r="H16" s="20" t="n">
        <v>74389</v>
      </c>
      <c r="I16" s="20" t="n">
        <v>37257</v>
      </c>
      <c r="J16" s="20" t="n">
        <v>37132</v>
      </c>
      <c r="K16" s="20" t="n">
        <v>10526</v>
      </c>
      <c r="L16" s="20" t="n">
        <v>3529</v>
      </c>
      <c r="M16" s="20" t="n">
        <v>6997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2026-03-03T04:19:35Z</dcterms:created>
  <dcterms:modified xmlns:dcterms="http://purl.org/dc/terms/" xmlns:xsi="http://www.w3.org/2001/XMLSchema-instance" xsi:type="dcterms:W3CDTF">2026-03-03T04:19:35Z</dcterms:modified>
</cp:coreProperties>
</file>