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SUBSIDIARY TABLE II. Age dist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5" fillId="4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5" borderId="2" pivotButton="0" quotePrefix="0" xfId="0"/>
    <xf numFmtId="3" fontId="6" fillId="5" borderId="2" pivotButton="0" quotePrefix="0" xfId="0"/>
    <xf numFmtId="0" fontId="6" fillId="5" borderId="2" applyAlignment="1" pivotButton="0" quotePrefix="0" xfId="0">
      <alignment horizontal="center"/>
    </xf>
    <xf numFmtId="0" fontId="7" fillId="6" borderId="2" pivotButton="0" quotePrefix="0" xfId="0"/>
    <xf numFmtId="3" fontId="7" fillId="6" borderId="2" pivotButton="0" quotePrefix="0" xfId="0"/>
    <xf numFmtId="0" fontId="7" fillId="6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SUBSIDIARY TABLE II. Age distribution of 10,000 of each sex in 1901 and 1891. — 1901</t>
        </is>
      </c>
    </row>
    <row r="2">
      <c r="A2" s="2" t="inlineStr">
        <is>
          <t>Source: SUBSIDIARY TABLE II. Age distribution of 10,000 of each sex in 1901 and 1891.</t>
        </is>
      </c>
    </row>
    <row r="3">
      <c r="A3" s="3" t="inlineStr">
        <is>
          <t>SUBSIDIARY TABLE II. Age distribution of 10,000 of each sex in 1901 and 1891.</t>
        </is>
      </c>
    </row>
    <row r="4">
      <c r="A4" s="4" t="inlineStr">
        <is>
          <t>Age</t>
        </is>
      </c>
      <c r="B4" s="5" t="inlineStr">
        <is>
          <t>1901</t>
        </is>
      </c>
      <c r="C4" s="6" t="n"/>
      <c r="D4" s="6" t="n"/>
      <c r="E4" s="7" t="inlineStr">
        <is>
          <t>1891</t>
        </is>
      </c>
      <c r="F4" s="8" t="n"/>
      <c r="G4" s="8" t="n"/>
      <c r="H4" s="9" t="inlineStr">
        <is>
          <t>Check</t>
        </is>
      </c>
      <c r="I4" s="9" t="inlineStr">
        <is>
          <t>Check</t>
        </is>
      </c>
    </row>
    <row r="5">
      <c r="A5" s="10" t="inlineStr"/>
      <c r="B5" s="11" t="inlineStr">
        <is>
          <t>Persons</t>
        </is>
      </c>
      <c r="C5" s="11" t="inlineStr">
        <is>
          <t>Males</t>
        </is>
      </c>
      <c r="D5" s="11" t="inlineStr">
        <is>
          <t>Females</t>
        </is>
      </c>
      <c r="E5" s="11" t="inlineStr">
        <is>
          <t>Persons</t>
        </is>
      </c>
      <c r="F5" s="11" t="inlineStr">
        <is>
          <t>Males</t>
        </is>
      </c>
      <c r="G5" s="11" t="inlineStr">
        <is>
          <t>Females</t>
        </is>
      </c>
      <c r="H5" s="11" t="inlineStr">
        <is>
          <t>P=Sum</t>
        </is>
      </c>
      <c r="I5" s="11" t="inlineStr">
        <is>
          <t>M+F=P</t>
        </is>
      </c>
    </row>
    <row r="6">
      <c r="A6" s="12" t="inlineStr">
        <is>
          <t>Total</t>
        </is>
      </c>
      <c r="B6" s="13" t="n">
        <v>29605</v>
      </c>
      <c r="C6" s="13" t="n">
        <v>29647</v>
      </c>
      <c r="D6" s="13" t="n">
        <v>29562</v>
      </c>
      <c r="E6" s="13" t="n">
        <v>29590</v>
      </c>
      <c r="F6" s="13" t="n">
        <v>29628</v>
      </c>
      <c r="G6" s="13" t="n">
        <v>29552</v>
      </c>
      <c r="I6" s="14">
        <f>IF(B6=C6+D6,"✓","✗")</f>
        <v/>
      </c>
    </row>
    <row r="7">
      <c r="A7" s="15" t="inlineStr">
        <is>
          <t>0 - 5</t>
        </is>
      </c>
      <c r="B7" s="16" t="n">
        <v>1385</v>
      </c>
      <c r="C7" s="16" t="n">
        <v>1366</v>
      </c>
      <c r="D7" s="16" t="n">
        <v>1403</v>
      </c>
      <c r="E7" s="16" t="n">
        <v>1427</v>
      </c>
      <c r="F7" s="16" t="n">
        <v>1376</v>
      </c>
      <c r="G7" s="16" t="n">
        <v>1477</v>
      </c>
      <c r="I7" s="17">
        <f>IF(B7=C7+D7,"✓","✗")</f>
        <v/>
      </c>
    </row>
    <row r="8">
      <c r="A8" s="18" t="inlineStr">
        <is>
          <t>5 - 10</t>
        </is>
      </c>
      <c r="B8" s="19" t="n">
        <v>1363</v>
      </c>
      <c r="C8" s="19" t="n">
        <v>1386</v>
      </c>
      <c r="D8" s="19" t="n">
        <v>1340</v>
      </c>
      <c r="E8" s="19" t="n">
        <v>1332</v>
      </c>
      <c r="F8" s="19" t="n">
        <v>1352</v>
      </c>
      <c r="G8" s="19" t="n">
        <v>1311</v>
      </c>
      <c r="I8" s="20">
        <f>IF(B8=C8+D8,"✓","✗")</f>
        <v/>
      </c>
    </row>
    <row r="9">
      <c r="A9" s="15" t="inlineStr">
        <is>
          <t>10 - 15</t>
        </is>
      </c>
      <c r="B9" s="16" t="n">
        <v>1274</v>
      </c>
      <c r="C9" s="16" t="n">
        <v>1322</v>
      </c>
      <c r="D9" s="16" t="n">
        <v>1226</v>
      </c>
      <c r="E9" s="16" t="n">
        <v>1208</v>
      </c>
      <c r="F9" s="16" t="n">
        <v>1268</v>
      </c>
      <c r="G9" s="16" t="n">
        <v>1148</v>
      </c>
      <c r="I9" s="17">
        <f>IF(B9=C9+D9,"✓","✗")</f>
        <v/>
      </c>
    </row>
    <row r="10">
      <c r="A10" s="18" t="inlineStr">
        <is>
          <t>Total 0 - 15</t>
        </is>
      </c>
      <c r="B10" s="19" t="n">
        <v>4021</v>
      </c>
      <c r="C10" s="19" t="n">
        <v>4074</v>
      </c>
      <c r="D10" s="19" t="n">
        <v>3969</v>
      </c>
      <c r="E10" s="19" t="n">
        <v>3966</v>
      </c>
      <c r="F10" s="19" t="n">
        <v>3996</v>
      </c>
      <c r="G10" s="19" t="n">
        <v>3936</v>
      </c>
      <c r="I10" s="20">
        <f>IF(B10=C10+D10,"✓","✗")</f>
        <v/>
      </c>
    </row>
    <row r="11">
      <c r="A11" s="15" t="inlineStr">
        <is>
          <t>15 - 20</t>
        </is>
      </c>
      <c r="B11" s="16" t="n">
        <v>975</v>
      </c>
      <c r="C11" s="16" t="n">
        <v>970</v>
      </c>
      <c r="D11" s="16" t="n">
        <v>979</v>
      </c>
      <c r="E11" s="16" t="n">
        <v>945</v>
      </c>
      <c r="F11" s="16" t="n">
        <v>944</v>
      </c>
      <c r="G11" s="16" t="n">
        <v>946</v>
      </c>
      <c r="I11" s="17">
        <f>IF(B11=C11+D11,"✓","✗")</f>
        <v/>
      </c>
    </row>
    <row r="12">
      <c r="A12" s="18" t="inlineStr">
        <is>
          <t>20 - 25</t>
        </is>
      </c>
      <c r="B12" s="19" t="n">
        <v>930</v>
      </c>
      <c r="C12" s="19" t="n">
        <v>886</v>
      </c>
      <c r="D12" s="19" t="n">
        <v>975</v>
      </c>
      <c r="E12" s="19" t="n">
        <v>881</v>
      </c>
      <c r="F12" s="19" t="n">
        <v>824</v>
      </c>
      <c r="G12" s="19" t="n">
        <v>938</v>
      </c>
      <c r="I12" s="20">
        <f>IF(B12=C12+D12,"✓","✗")</f>
        <v/>
      </c>
    </row>
    <row r="13">
      <c r="A13" s="15" t="inlineStr">
        <is>
          <t>25 - 30</t>
        </is>
      </c>
      <c r="B13" s="16" t="n">
        <v>888</v>
      </c>
      <c r="C13" s="16" t="n">
        <v>865</v>
      </c>
      <c r="D13" s="16" t="n">
        <v>910</v>
      </c>
      <c r="E13" s="16" t="n">
        <v>909</v>
      </c>
      <c r="F13" s="16" t="n">
        <v>875</v>
      </c>
      <c r="G13" s="16" t="n">
        <v>944</v>
      </c>
      <c r="I13" s="17">
        <f>IF(B13=C13+D13,"✓","✗")</f>
        <v/>
      </c>
    </row>
    <row r="14">
      <c r="A14" s="18" t="inlineStr">
        <is>
          <t>30 - 35</t>
        </is>
      </c>
      <c r="B14" s="19" t="n">
        <v>733</v>
      </c>
      <c r="C14" s="19" t="n">
        <v>747</v>
      </c>
      <c r="D14" s="19" t="n">
        <v>719</v>
      </c>
      <c r="E14" s="19" t="n">
        <v>778</v>
      </c>
      <c r="F14" s="19" t="n">
        <v>781</v>
      </c>
      <c r="G14" s="19" t="n">
        <v>775</v>
      </c>
      <c r="I14" s="20">
        <f>IF(B14=C14+D14,"✓","✗")</f>
        <v/>
      </c>
    </row>
    <row r="15">
      <c r="A15" s="15" t="inlineStr">
        <is>
          <t>35 - 40</t>
        </is>
      </c>
      <c r="B15" s="16" t="n">
        <v>597</v>
      </c>
      <c r="C15" s="16" t="n">
        <v>639</v>
      </c>
      <c r="D15" s="16" t="n">
        <v>555</v>
      </c>
      <c r="E15" s="16" t="n">
        <v>634</v>
      </c>
      <c r="F15" s="16" t="n">
        <v>688</v>
      </c>
      <c r="G15" s="16" t="n">
        <v>581</v>
      </c>
      <c r="I15" s="17">
        <f>IF(B15=C15+D15,"✓","✗")</f>
        <v/>
      </c>
    </row>
    <row r="16">
      <c r="A16" s="18" t="inlineStr">
        <is>
          <t>Total 15 - 40</t>
        </is>
      </c>
      <c r="B16" s="19" t="n">
        <v>4123</v>
      </c>
      <c r="C16" s="19" t="n">
        <v>4107</v>
      </c>
      <c r="D16" s="19" t="n">
        <v>4138</v>
      </c>
      <c r="E16" s="19" t="n">
        <v>4148</v>
      </c>
      <c r="F16" s="19" t="n">
        <v>4111</v>
      </c>
      <c r="G16" s="19" t="n">
        <v>4184</v>
      </c>
      <c r="I16" s="20">
        <f>IF(B16=C16+D16,"✓","✗")</f>
        <v/>
      </c>
    </row>
    <row r="17">
      <c r="A17" s="15" t="inlineStr">
        <is>
          <t>40 - 45</t>
        </is>
      </c>
      <c r="B17" s="16" t="n">
        <v>541</v>
      </c>
      <c r="C17" s="16" t="n">
        <v>549</v>
      </c>
      <c r="D17" s="16" t="n">
        <v>533</v>
      </c>
      <c r="E17" s="16" t="n">
        <v>562</v>
      </c>
      <c r="F17" s="16" t="n">
        <v>584</v>
      </c>
      <c r="G17" s="16" t="n">
        <v>541</v>
      </c>
      <c r="I17" s="17">
        <f>IF(B17=C17+D17,"✓","✗")</f>
        <v/>
      </c>
    </row>
    <row r="18">
      <c r="A18" s="18" t="inlineStr">
        <is>
          <t>45 - 50</t>
        </is>
      </c>
      <c r="B18" s="19" t="n">
        <v>354</v>
      </c>
      <c r="C18" s="19" t="n">
        <v>364</v>
      </c>
      <c r="D18" s="19" t="n">
        <v>345</v>
      </c>
      <c r="E18" s="19" t="n">
        <v>355</v>
      </c>
      <c r="F18" s="19" t="n">
        <v>380</v>
      </c>
      <c r="G18" s="19" t="n">
        <v>330</v>
      </c>
      <c r="I18" s="20">
        <f>IF(B18=C18+D18,"✓","✗")</f>
        <v/>
      </c>
    </row>
    <row r="19">
      <c r="A19" s="15" t="inlineStr">
        <is>
          <t>50 - 55</t>
        </is>
      </c>
      <c r="B19" s="16" t="n">
        <v>354</v>
      </c>
      <c r="C19" s="16" t="n">
        <v>338</v>
      </c>
      <c r="D19" s="16" t="n">
        <v>370</v>
      </c>
      <c r="E19" s="16" t="n">
        <v>356</v>
      </c>
      <c r="F19" s="16" t="n">
        <v>348</v>
      </c>
      <c r="G19" s="16" t="n">
        <v>364</v>
      </c>
      <c r="I19" s="17">
        <f>IF(B19=C19+D19,"✓","✗")</f>
        <v/>
      </c>
    </row>
    <row r="20">
      <c r="A20" s="18" t="inlineStr">
        <is>
          <t>55 - 60</t>
        </is>
      </c>
      <c r="B20" s="19" t="n">
        <v>188</v>
      </c>
      <c r="C20" s="19" t="n">
        <v>193</v>
      </c>
      <c r="D20" s="19" t="n">
        <v>184</v>
      </c>
      <c r="E20" s="19" t="n">
        <v>180</v>
      </c>
      <c r="F20" s="19" t="n">
        <v>186</v>
      </c>
      <c r="G20" s="19" t="n">
        <v>174</v>
      </c>
      <c r="I20" s="20">
        <f>IF(B20=C20+D20,"✓","✗")</f>
        <v/>
      </c>
    </row>
    <row r="21">
      <c r="A21" s="15" t="inlineStr">
        <is>
          <t>Total 40 - 60</t>
        </is>
      </c>
      <c r="B21" s="16" t="n">
        <v>1438</v>
      </c>
      <c r="C21" s="16" t="n">
        <v>1444</v>
      </c>
      <c r="D21" s="16" t="n">
        <v>1431</v>
      </c>
      <c r="E21" s="16" t="n">
        <v>1454</v>
      </c>
      <c r="F21" s="16" t="n">
        <v>1498</v>
      </c>
      <c r="G21" s="16" t="n">
        <v>1408</v>
      </c>
      <c r="I21" s="17">
        <f>IF(B21=C21+D21,"✓","✗")</f>
        <v/>
      </c>
    </row>
    <row r="22">
      <c r="A22" s="18" t="inlineStr">
        <is>
          <t>60 and over</t>
        </is>
      </c>
      <c r="B22" s="19" t="n">
        <v>417</v>
      </c>
      <c r="C22" s="19" t="n">
        <v>373</v>
      </c>
      <c r="D22" s="19" t="n">
        <v>461</v>
      </c>
      <c r="E22" s="19" t="n">
        <v>430</v>
      </c>
      <c r="F22" s="19" t="n">
        <v>392</v>
      </c>
      <c r="G22" s="19" t="n">
        <v>470</v>
      </c>
      <c r="I22" s="20">
        <f>IF(B22=C22+D22,"✓","✗")</f>
        <v/>
      </c>
    </row>
    <row r="23">
      <c r="A23" s="15" t="inlineStr">
        <is>
          <t>Not Stated</t>
        </is>
      </c>
      <c r="B23" s="16" t="n">
        <v>1</v>
      </c>
      <c r="C23" s="16" t="n">
        <v>1</v>
      </c>
      <c r="D23" s="16" t="n">
        <v>1</v>
      </c>
      <c r="E23" s="16" t="n">
        <v>2</v>
      </c>
      <c r="F23" s="16" t="n">
        <v>2</v>
      </c>
      <c r="G23" s="16" t="n">
        <v>2</v>
      </c>
      <c r="I23" s="17">
        <f>IF(B23=C23+D23,"✓","✗")</f>
        <v/>
      </c>
    </row>
    <row r="24">
      <c r="A24" s="18" t="inlineStr">
        <is>
          <t>Total</t>
        </is>
      </c>
      <c r="B24" s="19" t="n">
        <v>10000</v>
      </c>
      <c r="C24" s="19" t="n">
        <v>10000</v>
      </c>
      <c r="D24" s="19" t="n">
        <v>10000</v>
      </c>
      <c r="E24" s="19" t="n">
        <v>10000</v>
      </c>
      <c r="F24" s="19" t="n">
        <v>10000</v>
      </c>
      <c r="G24" s="19" t="n">
        <v>10000</v>
      </c>
      <c r="I24" s="20">
        <f>IF(B24=C24+D24,"✓","✗")</f>
        <v/>
      </c>
    </row>
    <row r="25">
      <c r="A25" s="15" t="inlineStr">
        <is>
          <t>Mean age</t>
        </is>
      </c>
      <c r="B25" s="16" t="n">
        <v>23</v>
      </c>
      <c r="C25" s="16" t="n">
        <v>23</v>
      </c>
      <c r="D25" s="16" t="n">
        <v>23</v>
      </c>
      <c r="E25" s="16" t="n">
        <v>23</v>
      </c>
      <c r="F25" s="16" t="n">
        <v>23</v>
      </c>
      <c r="G25" s="16" t="n">
        <v>23</v>
      </c>
      <c r="I25" s="17">
        <f>IF(B25=C25+D25,"✓","✗")</f>
        <v/>
      </c>
    </row>
    <row r="26">
      <c r="A26" s="21" t="inlineStr">
        <is>
          <t>Verify: Sum</t>
        </is>
      </c>
      <c r="B26" s="22">
        <f>IF(SUM(B7:B25)=B6,"✓",SUM(B7:B25)-B6)</f>
        <v/>
      </c>
      <c r="C26" s="22">
        <f>IF(SUM(C7:C25)=C6,"✓",SUM(C7:C25)-C6)</f>
        <v/>
      </c>
      <c r="D26" s="22">
        <f>IF(SUM(D7:D25)=D6,"✓",SUM(D7:D25)-D6)</f>
        <v/>
      </c>
      <c r="E26" s="22">
        <f>IF(SUM(E7:E25)=E6,"✓",SUM(E7:E25)-E6)</f>
        <v/>
      </c>
      <c r="F26" s="22">
        <f>IF(SUM(F7:F25)=F6,"✓",SUM(F7:F25)-F6)</f>
        <v/>
      </c>
      <c r="G26" s="22">
        <f>IF(SUM(G7:G25)=G6,"✓",SUM(G7:G25)-G6)</f>
        <v/>
      </c>
    </row>
  </sheetData>
  <mergeCells count="2">
    <mergeCell ref="E4:G4"/>
    <mergeCell ref="B4:D4"/>
  </mergeCells>
  <conditionalFormatting sqref="H6:H26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I6:I26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7" customWidth="1" min="8" max="8"/>
    <col width="7" customWidth="1" min="9" max="9"/>
  </cols>
  <sheetData>
    <row r="1">
      <c r="A1" s="23" t="inlineStr">
        <is>
          <t>SUBSIDIARY TABLE II. Age distribution of 10,000 of each sex in 1901 and 1891. — 1901</t>
        </is>
      </c>
    </row>
    <row r="2">
      <c r="A2" s="3" t="inlineStr">
        <is>
          <t>SUBSIDIARY TABLE II. Age distribution of 10,000 of each sex in 1901 and 1891.</t>
        </is>
      </c>
    </row>
    <row r="3">
      <c r="A3" s="4" t="inlineStr">
        <is>
          <t>Age</t>
        </is>
      </c>
      <c r="B3" s="5" t="inlineStr">
        <is>
          <t>1901</t>
        </is>
      </c>
      <c r="C3" s="6" t="n"/>
      <c r="D3" s="6" t="n"/>
      <c r="E3" s="7" t="inlineStr">
        <is>
          <t>1891</t>
        </is>
      </c>
      <c r="F3" s="8" t="n"/>
      <c r="G3" s="8" t="n"/>
      <c r="H3" s="9" t="inlineStr">
        <is>
          <t>Check</t>
        </is>
      </c>
      <c r="I3" s="9" t="inlineStr">
        <is>
          <t>Check</t>
        </is>
      </c>
    </row>
    <row r="4">
      <c r="A4" s="10" t="inlineStr"/>
      <c r="B4" s="11" t="inlineStr">
        <is>
          <t>Persons</t>
        </is>
      </c>
      <c r="C4" s="11" t="inlineStr">
        <is>
          <t>Males</t>
        </is>
      </c>
      <c r="D4" s="11" t="inlineStr">
        <is>
          <t>Females</t>
        </is>
      </c>
      <c r="E4" s="11" t="inlineStr">
        <is>
          <t>Persons</t>
        </is>
      </c>
      <c r="F4" s="11" t="inlineStr">
        <is>
          <t>Males</t>
        </is>
      </c>
      <c r="G4" s="11" t="inlineStr">
        <is>
          <t>Females</t>
        </is>
      </c>
      <c r="H4" s="11" t="inlineStr">
        <is>
          <t>P=Sum</t>
        </is>
      </c>
      <c r="I4" s="11" t="inlineStr">
        <is>
          <t>M+F=P</t>
        </is>
      </c>
    </row>
    <row r="5">
      <c r="A5" s="12" t="inlineStr">
        <is>
          <t>Total</t>
        </is>
      </c>
      <c r="B5" s="13" t="n">
        <v>29605</v>
      </c>
      <c r="C5" s="13" t="n">
        <v>29647</v>
      </c>
      <c r="D5" s="13" t="n">
        <v>29562</v>
      </c>
      <c r="E5" s="13" t="n">
        <v>29590</v>
      </c>
      <c r="F5" s="13" t="n">
        <v>29628</v>
      </c>
      <c r="G5" s="13" t="n">
        <v>29552</v>
      </c>
      <c r="I5" s="14">
        <f>IF(B5=C5+D5,"✓","✗")</f>
        <v/>
      </c>
    </row>
    <row r="6">
      <c r="A6" s="15" t="inlineStr">
        <is>
          <t>0 - 5</t>
        </is>
      </c>
      <c r="B6" s="16" t="n">
        <v>1385</v>
      </c>
      <c r="C6" s="16" t="n">
        <v>1366</v>
      </c>
      <c r="D6" s="16" t="n">
        <v>1403</v>
      </c>
      <c r="E6" s="16" t="n">
        <v>1427</v>
      </c>
      <c r="F6" s="16" t="n">
        <v>1376</v>
      </c>
      <c r="G6" s="16" t="n">
        <v>1477</v>
      </c>
      <c r="I6" s="17">
        <f>IF(B6=C6+D6,"✓","✗")</f>
        <v/>
      </c>
    </row>
    <row r="7">
      <c r="A7" s="18" t="inlineStr">
        <is>
          <t>5 - 10</t>
        </is>
      </c>
      <c r="B7" s="19" t="n">
        <v>1363</v>
      </c>
      <c r="C7" s="19" t="n">
        <v>1386</v>
      </c>
      <c r="D7" s="19" t="n">
        <v>1340</v>
      </c>
      <c r="E7" s="19" t="n">
        <v>1332</v>
      </c>
      <c r="F7" s="19" t="n">
        <v>1352</v>
      </c>
      <c r="G7" s="19" t="n">
        <v>1311</v>
      </c>
      <c r="I7" s="20">
        <f>IF(B7=C7+D7,"✓","✗")</f>
        <v/>
      </c>
    </row>
    <row r="8">
      <c r="A8" s="15" t="inlineStr">
        <is>
          <t>10 - 15</t>
        </is>
      </c>
      <c r="B8" s="16" t="n">
        <v>1274</v>
      </c>
      <c r="C8" s="16" t="n">
        <v>1322</v>
      </c>
      <c r="D8" s="16" t="n">
        <v>1226</v>
      </c>
      <c r="E8" s="16" t="n">
        <v>1208</v>
      </c>
      <c r="F8" s="16" t="n">
        <v>1268</v>
      </c>
      <c r="G8" s="16" t="n">
        <v>1148</v>
      </c>
      <c r="I8" s="17">
        <f>IF(B8=C8+D8,"✓","✗")</f>
        <v/>
      </c>
    </row>
    <row r="9">
      <c r="A9" s="18" t="inlineStr">
        <is>
          <t>Total 0 - 15</t>
        </is>
      </c>
      <c r="B9" s="19" t="n">
        <v>4021</v>
      </c>
      <c r="C9" s="19" t="n">
        <v>4074</v>
      </c>
      <c r="D9" s="19" t="n">
        <v>3969</v>
      </c>
      <c r="E9" s="19" t="n">
        <v>3966</v>
      </c>
      <c r="F9" s="19" t="n">
        <v>3996</v>
      </c>
      <c r="G9" s="19" t="n">
        <v>3936</v>
      </c>
      <c r="I9" s="20">
        <f>IF(B9=C9+D9,"✓","✗")</f>
        <v/>
      </c>
    </row>
    <row r="10">
      <c r="A10" s="15" t="inlineStr">
        <is>
          <t>15 - 20</t>
        </is>
      </c>
      <c r="B10" s="16" t="n">
        <v>975</v>
      </c>
      <c r="C10" s="16" t="n">
        <v>970</v>
      </c>
      <c r="D10" s="16" t="n">
        <v>979</v>
      </c>
      <c r="E10" s="16" t="n">
        <v>945</v>
      </c>
      <c r="F10" s="16" t="n">
        <v>944</v>
      </c>
      <c r="G10" s="16" t="n">
        <v>946</v>
      </c>
      <c r="I10" s="17">
        <f>IF(B10=C10+D10,"✓","✗")</f>
        <v/>
      </c>
    </row>
    <row r="11">
      <c r="A11" s="18" t="inlineStr">
        <is>
          <t>20 - 25</t>
        </is>
      </c>
      <c r="B11" s="19" t="n">
        <v>930</v>
      </c>
      <c r="C11" s="19" t="n">
        <v>886</v>
      </c>
      <c r="D11" s="19" t="n">
        <v>975</v>
      </c>
      <c r="E11" s="19" t="n">
        <v>881</v>
      </c>
      <c r="F11" s="19" t="n">
        <v>824</v>
      </c>
      <c r="G11" s="19" t="n">
        <v>938</v>
      </c>
      <c r="I11" s="20">
        <f>IF(B11=C11+D11,"✓","✗")</f>
        <v/>
      </c>
    </row>
    <row r="12">
      <c r="A12" s="15" t="inlineStr">
        <is>
          <t>25 - 30</t>
        </is>
      </c>
      <c r="B12" s="16" t="n">
        <v>888</v>
      </c>
      <c r="C12" s="16" t="n">
        <v>865</v>
      </c>
      <c r="D12" s="16" t="n">
        <v>910</v>
      </c>
      <c r="E12" s="16" t="n">
        <v>909</v>
      </c>
      <c r="F12" s="16" t="n">
        <v>875</v>
      </c>
      <c r="G12" s="16" t="n">
        <v>944</v>
      </c>
      <c r="I12" s="17">
        <f>IF(B12=C12+D12,"✓","✗")</f>
        <v/>
      </c>
    </row>
    <row r="13">
      <c r="A13" s="18" t="inlineStr">
        <is>
          <t>30 - 35</t>
        </is>
      </c>
      <c r="B13" s="19" t="n">
        <v>733</v>
      </c>
      <c r="C13" s="19" t="n">
        <v>747</v>
      </c>
      <c r="D13" s="19" t="n">
        <v>719</v>
      </c>
      <c r="E13" s="19" t="n">
        <v>778</v>
      </c>
      <c r="F13" s="19" t="n">
        <v>781</v>
      </c>
      <c r="G13" s="19" t="n">
        <v>775</v>
      </c>
      <c r="I13" s="20">
        <f>IF(B13=C13+D13,"✓","✗")</f>
        <v/>
      </c>
    </row>
    <row r="14">
      <c r="A14" s="15" t="inlineStr">
        <is>
          <t>35 - 40</t>
        </is>
      </c>
      <c r="B14" s="16" t="n">
        <v>597</v>
      </c>
      <c r="C14" s="16" t="n">
        <v>639</v>
      </c>
      <c r="D14" s="16" t="n">
        <v>555</v>
      </c>
      <c r="E14" s="16" t="n">
        <v>634</v>
      </c>
      <c r="F14" s="16" t="n">
        <v>688</v>
      </c>
      <c r="G14" s="16" t="n">
        <v>581</v>
      </c>
      <c r="I14" s="17">
        <f>IF(B14=C14+D14,"✓","✗")</f>
        <v/>
      </c>
    </row>
    <row r="15">
      <c r="A15" s="18" t="inlineStr">
        <is>
          <t>Total 15 - 40</t>
        </is>
      </c>
      <c r="B15" s="19" t="n">
        <v>4123</v>
      </c>
      <c r="C15" s="19" t="n">
        <v>4107</v>
      </c>
      <c r="D15" s="19" t="n">
        <v>4138</v>
      </c>
      <c r="E15" s="19" t="n">
        <v>4148</v>
      </c>
      <c r="F15" s="19" t="n">
        <v>4111</v>
      </c>
      <c r="G15" s="19" t="n">
        <v>4184</v>
      </c>
      <c r="I15" s="20">
        <f>IF(B15=C15+D15,"✓","✗")</f>
        <v/>
      </c>
    </row>
    <row r="16">
      <c r="A16" s="15" t="inlineStr">
        <is>
          <t>40 - 45</t>
        </is>
      </c>
      <c r="B16" s="16" t="n">
        <v>541</v>
      </c>
      <c r="C16" s="16" t="n">
        <v>549</v>
      </c>
      <c r="D16" s="16" t="n">
        <v>533</v>
      </c>
      <c r="E16" s="16" t="n">
        <v>562</v>
      </c>
      <c r="F16" s="16" t="n">
        <v>584</v>
      </c>
      <c r="G16" s="16" t="n">
        <v>541</v>
      </c>
      <c r="I16" s="17">
        <f>IF(B16=C16+D16,"✓","✗")</f>
        <v/>
      </c>
    </row>
    <row r="17">
      <c r="A17" s="18" t="inlineStr">
        <is>
          <t>45 - 50</t>
        </is>
      </c>
      <c r="B17" s="19" t="n">
        <v>354</v>
      </c>
      <c r="C17" s="19" t="n">
        <v>364</v>
      </c>
      <c r="D17" s="19" t="n">
        <v>345</v>
      </c>
      <c r="E17" s="19" t="n">
        <v>355</v>
      </c>
      <c r="F17" s="19" t="n">
        <v>380</v>
      </c>
      <c r="G17" s="19" t="n">
        <v>330</v>
      </c>
      <c r="I17" s="20">
        <f>IF(B17=C17+D17,"✓","✗")</f>
        <v/>
      </c>
    </row>
    <row r="18">
      <c r="A18" s="15" t="inlineStr">
        <is>
          <t>50 - 55</t>
        </is>
      </c>
      <c r="B18" s="16" t="n">
        <v>354</v>
      </c>
      <c r="C18" s="16" t="n">
        <v>338</v>
      </c>
      <c r="D18" s="16" t="n">
        <v>370</v>
      </c>
      <c r="E18" s="16" t="n">
        <v>356</v>
      </c>
      <c r="F18" s="16" t="n">
        <v>348</v>
      </c>
      <c r="G18" s="16" t="n">
        <v>364</v>
      </c>
      <c r="I18" s="17">
        <f>IF(B18=C18+D18,"✓","✗")</f>
        <v/>
      </c>
    </row>
    <row r="19">
      <c r="A19" s="18" t="inlineStr">
        <is>
          <t>55 - 60</t>
        </is>
      </c>
      <c r="B19" s="19" t="n">
        <v>188</v>
      </c>
      <c r="C19" s="19" t="n">
        <v>193</v>
      </c>
      <c r="D19" s="19" t="n">
        <v>184</v>
      </c>
      <c r="E19" s="19" t="n">
        <v>180</v>
      </c>
      <c r="F19" s="19" t="n">
        <v>186</v>
      </c>
      <c r="G19" s="19" t="n">
        <v>174</v>
      </c>
      <c r="I19" s="20">
        <f>IF(B19=C19+D19,"✓","✗")</f>
        <v/>
      </c>
    </row>
    <row r="20">
      <c r="A20" s="15" t="inlineStr">
        <is>
          <t>Total 40 - 60</t>
        </is>
      </c>
      <c r="B20" s="16" t="n">
        <v>1438</v>
      </c>
      <c r="C20" s="16" t="n">
        <v>1444</v>
      </c>
      <c r="D20" s="16" t="n">
        <v>1431</v>
      </c>
      <c r="E20" s="16" t="n">
        <v>1454</v>
      </c>
      <c r="F20" s="16" t="n">
        <v>1498</v>
      </c>
      <c r="G20" s="16" t="n">
        <v>1408</v>
      </c>
      <c r="I20" s="17">
        <f>IF(B20=C20+D20,"✓","✗")</f>
        <v/>
      </c>
    </row>
    <row r="21">
      <c r="A21" s="18" t="inlineStr">
        <is>
          <t>60 and over</t>
        </is>
      </c>
      <c r="B21" s="19" t="n">
        <v>417</v>
      </c>
      <c r="C21" s="19" t="n">
        <v>373</v>
      </c>
      <c r="D21" s="19" t="n">
        <v>461</v>
      </c>
      <c r="E21" s="19" t="n">
        <v>430</v>
      </c>
      <c r="F21" s="19" t="n">
        <v>392</v>
      </c>
      <c r="G21" s="19" t="n">
        <v>470</v>
      </c>
      <c r="I21" s="20">
        <f>IF(B21=C21+D21,"✓","✗")</f>
        <v/>
      </c>
    </row>
    <row r="22">
      <c r="A22" s="15" t="inlineStr">
        <is>
          <t>Not Stated</t>
        </is>
      </c>
      <c r="B22" s="16" t="n">
        <v>1</v>
      </c>
      <c r="C22" s="16" t="n">
        <v>1</v>
      </c>
      <c r="D22" s="16" t="n">
        <v>1</v>
      </c>
      <c r="E22" s="16" t="n">
        <v>2</v>
      </c>
      <c r="F22" s="16" t="n">
        <v>2</v>
      </c>
      <c r="G22" s="16" t="n">
        <v>2</v>
      </c>
      <c r="I22" s="17">
        <f>IF(B22=C22+D22,"✓","✗")</f>
        <v/>
      </c>
    </row>
    <row r="23">
      <c r="A23" s="18" t="inlineStr">
        <is>
          <t>Total</t>
        </is>
      </c>
      <c r="B23" s="19" t="n">
        <v>10000</v>
      </c>
      <c r="C23" s="19" t="n">
        <v>10000</v>
      </c>
      <c r="D23" s="19" t="n">
        <v>10000</v>
      </c>
      <c r="E23" s="19" t="n">
        <v>10000</v>
      </c>
      <c r="F23" s="19" t="n">
        <v>10000</v>
      </c>
      <c r="G23" s="19" t="n">
        <v>10000</v>
      </c>
      <c r="I23" s="20">
        <f>IF(B23=C23+D23,"✓","✗")</f>
        <v/>
      </c>
    </row>
    <row r="24">
      <c r="A24" s="15" t="inlineStr">
        <is>
          <t>Mean age</t>
        </is>
      </c>
      <c r="B24" s="16" t="n">
        <v>23</v>
      </c>
      <c r="C24" s="16" t="n">
        <v>23</v>
      </c>
      <c r="D24" s="16" t="n">
        <v>23</v>
      </c>
      <c r="E24" s="16" t="n">
        <v>23</v>
      </c>
      <c r="F24" s="16" t="n">
        <v>23</v>
      </c>
      <c r="G24" s="16" t="n">
        <v>23</v>
      </c>
      <c r="I24" s="17">
        <f>IF(B24=C24+D24,"✓","✗")</f>
        <v/>
      </c>
    </row>
    <row r="25">
      <c r="A25" s="21" t="inlineStr">
        <is>
          <t>Verify: Sum</t>
        </is>
      </c>
      <c r="B25" s="22">
        <f>IF(SUM(B6:B24)=B5,"✓",SUM(B6:B24)-B5)</f>
        <v/>
      </c>
      <c r="C25" s="22">
        <f>IF(SUM(C6:C24)=C5,"✓",SUM(C6:C24)-C5)</f>
        <v/>
      </c>
      <c r="D25" s="22">
        <f>IF(SUM(D6:D24)=D5,"✓",SUM(D6:D24)-D5)</f>
        <v/>
      </c>
      <c r="E25" s="22">
        <f>IF(SUM(E6:E24)=E5,"✓",SUM(E6:E24)-E5)</f>
        <v/>
      </c>
      <c r="F25" s="22">
        <f>IF(SUM(F6:F24)=F5,"✓",SUM(F6:F24)-F5)</f>
        <v/>
      </c>
      <c r="G25" s="22">
        <f>IF(SUM(G6:G24)=G5,"✓",SUM(G6:G24)-G5)</f>
        <v/>
      </c>
    </row>
  </sheetData>
  <mergeCells count="2">
    <mergeCell ref="B3:D3"/>
    <mergeCell ref="E3:G3"/>
  </mergeCells>
  <conditionalFormatting sqref="H5:H25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I5:I25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2026-02-26T02:54:43Z</dcterms:created>
  <dcterms:modified xmlns:dcterms="http://purl.org/dc/terms/" xmlns:xsi="http://www.w3.org/2001/XMLSchema-instance" xsi:type="dcterms:W3CDTF">2026-02-26T02:54:43Z</dcterms:modified>
</cp:coreProperties>
</file>