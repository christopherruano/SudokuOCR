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1. ALL COMMUNITIES." sheetId="2" state="visible" r:id="rId2"/>
    <sheet xmlns:r="http://schemas.openxmlformats.org/officeDocument/2006/relationships" name="2. Brahmanic Hindus." sheetId="3" state="visible" r:id="rId3"/>
    <sheet xmlns:r="http://schemas.openxmlformats.org/officeDocument/2006/relationships" name="3. Other Hind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9" borderId="2" pivotButton="0" quotePrefix="0" xfId="0"/>
    <xf numFmtId="3" fontId="7" fillId="9" borderId="2" pivotButton="0" quotePrefix="0" xfId="0"/>
    <xf numFmtId="0" fontId="7" fillId="9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1" t="inlineStr">
        <is>
          <t>Srl. Communities No. and Age</t>
        </is>
      </c>
    </row>
    <row r="2">
      <c r="A2" s="2" t="inlineStr">
        <is>
          <t>Source: Srl. Communities No. and Age</t>
        </is>
      </c>
    </row>
    <row r="3">
      <c r="A3" s="3" t="inlineStr">
        <is>
          <t>1. ALL COMMUNITIES.</t>
        </is>
      </c>
    </row>
    <row r="4">
      <c r="A4" s="4" t="inlineStr">
        <is>
          <t>Age</t>
        </is>
      </c>
      <c r="B4" s="5" t="inlineStr">
        <is>
          <t>POPULATION</t>
        </is>
      </c>
      <c r="C4" s="6" t="n"/>
      <c r="D4" s="6" t="n"/>
      <c r="E4" s="7" t="inlineStr">
        <is>
          <t>UNMARRIED</t>
        </is>
      </c>
      <c r="F4" s="8" t="n"/>
      <c r="G4" s="8" t="n"/>
      <c r="H4" s="9" t="inlineStr">
        <is>
          <t>MARRIED</t>
        </is>
      </c>
      <c r="I4" s="10" t="n"/>
      <c r="J4" s="10" t="n"/>
      <c r="K4" s="11" t="inlineStr">
        <is>
          <t>WIDOWED</t>
        </is>
      </c>
      <c r="L4" s="12" t="n"/>
      <c r="M4" s="12" t="n"/>
      <c r="N4" s="13" t="inlineStr">
        <is>
          <t>DIVORCED</t>
        </is>
      </c>
      <c r="O4" s="14" t="n"/>
      <c r="P4" s="14" t="n"/>
      <c r="Q4" s="15" t="inlineStr">
        <is>
          <t>Check</t>
        </is>
      </c>
      <c r="R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P=Sum</t>
        </is>
      </c>
      <c r="R5" s="17" t="inlineStr">
        <is>
          <t>M+F=P</t>
        </is>
      </c>
    </row>
    <row r="6">
      <c r="A6" s="18" t="inlineStr">
        <is>
          <t>Total</t>
        </is>
      </c>
      <c r="B6" s="19" t="n">
        <v>1647244</v>
      </c>
      <c r="C6" s="19" t="n">
        <v>833926</v>
      </c>
      <c r="D6" s="19" t="n">
        <v>813318</v>
      </c>
      <c r="E6" s="19" t="n">
        <v>579296</v>
      </c>
      <c r="F6" s="19" t="n">
        <v>330098</v>
      </c>
      <c r="G6" s="19" t="n">
        <v>249198</v>
      </c>
      <c r="H6" s="19" t="n">
        <v>909452</v>
      </c>
      <c r="I6" s="19" t="n">
        <v>463936</v>
      </c>
      <c r="J6" s="19" t="n">
        <v>445516</v>
      </c>
      <c r="K6" s="19" t="n">
        <v>147698</v>
      </c>
      <c r="L6" s="19" t="n">
        <v>35878</v>
      </c>
      <c r="M6" s="19" t="n">
        <v>111820</v>
      </c>
      <c r="N6" s="19" t="n">
        <v>10798</v>
      </c>
      <c r="O6" s="19" t="n">
        <v>4014</v>
      </c>
      <c r="P6" s="19" t="n">
        <v>6784</v>
      </c>
      <c r="Q6" s="20">
        <f>IF(B6=E6+H6+K6+N6,"✓","✗")</f>
        <v/>
      </c>
      <c r="R6" s="20">
        <f>IF(B6=C6+D6,"✓","✗")</f>
        <v/>
      </c>
    </row>
    <row r="7">
      <c r="A7" s="21" t="inlineStr">
        <is>
          <t>0-1</t>
        </is>
      </c>
      <c r="B7" s="22" t="n">
        <v>28785</v>
      </c>
      <c r="C7" s="22" t="n">
        <v>13661</v>
      </c>
      <c r="D7" s="22" t="n">
        <v>15124</v>
      </c>
      <c r="E7" s="22" t="n">
        <v>28480</v>
      </c>
      <c r="F7" s="22" t="n">
        <v>13534</v>
      </c>
      <c r="G7" s="22" t="n">
        <v>14946</v>
      </c>
      <c r="H7" s="22" t="n">
        <v>279</v>
      </c>
      <c r="I7" s="22" t="n">
        <v>122</v>
      </c>
      <c r="J7" s="22" t="n">
        <v>157</v>
      </c>
      <c r="K7" s="22" t="n">
        <v>26</v>
      </c>
      <c r="L7" s="22" t="n">
        <v>5</v>
      </c>
      <c r="M7" s="22" t="n">
        <v>21</v>
      </c>
      <c r="N7" s="22" t="n">
        <v>0</v>
      </c>
      <c r="O7" s="22" t="n">
        <v>0</v>
      </c>
      <c r="P7" s="22" t="n">
        <v>0</v>
      </c>
      <c r="Q7" s="23">
        <f>IF(B7=E7+H7+K7+N7,"✓",B7-(E7+H7+K7+N7))</f>
        <v/>
      </c>
      <c r="R7" s="23">
        <f>IF(B7=C7+D7,"✓","✗")</f>
        <v/>
      </c>
    </row>
    <row r="8">
      <c r="A8" s="24" t="inlineStr">
        <is>
          <t>1-5</t>
        </is>
      </c>
      <c r="B8" s="25" t="n">
        <v>109003</v>
      </c>
      <c r="C8" s="25" t="n">
        <v>49712</v>
      </c>
      <c r="D8" s="25" t="n">
        <v>59291</v>
      </c>
      <c r="E8" s="25" t="n">
        <v>102530</v>
      </c>
      <c r="F8" s="25" t="n">
        <v>47678</v>
      </c>
      <c r="G8" s="25" t="n">
        <v>54852</v>
      </c>
      <c r="H8" s="25" t="n">
        <v>6018</v>
      </c>
      <c r="I8" s="25" t="n">
        <v>1848</v>
      </c>
      <c r="J8" s="25" t="n">
        <v>4170</v>
      </c>
      <c r="K8" s="25" t="n">
        <v>453</v>
      </c>
      <c r="L8" s="25" t="n">
        <v>185</v>
      </c>
      <c r="M8" s="25" t="n">
        <v>268</v>
      </c>
      <c r="N8" s="25" t="n">
        <v>2</v>
      </c>
      <c r="O8" s="25" t="n">
        <v>1</v>
      </c>
      <c r="P8" s="25" t="n">
        <v>1</v>
      </c>
      <c r="Q8" s="26">
        <f>IF(B8=E8+H8+K8+N8,"✓",B8-(E8+H8+K8+N8))</f>
        <v/>
      </c>
      <c r="R8" s="26">
        <f>IF(B8=C8+D8,"✓","✗")</f>
        <v/>
      </c>
    </row>
    <row r="9">
      <c r="A9" s="21" t="inlineStr">
        <is>
          <t>5-10</t>
        </is>
      </c>
      <c r="B9" s="22" t="n">
        <v>94692</v>
      </c>
      <c r="C9" s="22" t="n">
        <v>52525</v>
      </c>
      <c r="D9" s="22" t="n">
        <v>42167</v>
      </c>
      <c r="E9" s="22" t="n">
        <v>74204</v>
      </c>
      <c r="F9" s="22" t="n">
        <v>44027</v>
      </c>
      <c r="G9" s="22" t="n">
        <v>30177</v>
      </c>
      <c r="H9" s="22" t="n">
        <v>19843</v>
      </c>
      <c r="I9" s="22" t="n">
        <v>8307</v>
      </c>
      <c r="J9" s="22" t="n">
        <v>11536</v>
      </c>
      <c r="K9" s="22" t="n">
        <v>627</v>
      </c>
      <c r="L9" s="22" t="n">
        <v>189</v>
      </c>
      <c r="M9" s="22" t="n">
        <v>438</v>
      </c>
      <c r="N9" s="22" t="n">
        <v>18</v>
      </c>
      <c r="O9" s="22" t="n">
        <v>2</v>
      </c>
      <c r="P9" s="22" t="n">
        <v>16</v>
      </c>
      <c r="Q9" s="23">
        <f>IF(B9=E9+H9+K9+N9,"✓",B9-(E9+H9+K9+N9))</f>
        <v/>
      </c>
      <c r="R9" s="23">
        <f>IF(B9=C9+D9,"✓","✗")</f>
        <v/>
      </c>
    </row>
    <row r="10">
      <c r="A10" s="24" t="inlineStr">
        <is>
          <t>10-15</t>
        </is>
      </c>
      <c r="B10" s="25" t="n">
        <v>84217</v>
      </c>
      <c r="C10" s="25" t="n">
        <v>44726</v>
      </c>
      <c r="D10" s="25" t="n">
        <v>39491</v>
      </c>
      <c r="E10" s="25" t="n">
        <v>44364</v>
      </c>
      <c r="F10" s="25" t="n">
        <v>28456</v>
      </c>
      <c r="G10" s="25" t="n">
        <v>15908</v>
      </c>
      <c r="H10" s="25" t="n">
        <v>38502</v>
      </c>
      <c r="I10" s="25" t="n">
        <v>15948</v>
      </c>
      <c r="J10" s="25" t="n">
        <v>22554</v>
      </c>
      <c r="K10" s="25" t="n">
        <v>1236</v>
      </c>
      <c r="L10" s="25" t="n">
        <v>293</v>
      </c>
      <c r="M10" s="25" t="n">
        <v>943</v>
      </c>
      <c r="N10" s="25" t="n">
        <v>115</v>
      </c>
      <c r="O10" s="25" t="n">
        <v>29</v>
      </c>
      <c r="P10" s="25" t="n">
        <v>86</v>
      </c>
      <c r="Q10" s="26">
        <f>IF(B10=E10+H10+K10+N10,"✓",B10-(E10+H10+K10+N10))</f>
        <v/>
      </c>
      <c r="R10" s="26">
        <f>IF(B10=C10+D10,"✓","✗")</f>
        <v/>
      </c>
    </row>
    <row r="11">
      <c r="A11" s="21" t="inlineStr">
        <is>
          <t>15-20</t>
        </is>
      </c>
      <c r="B11" s="22" t="n">
        <v>67686</v>
      </c>
      <c r="C11" s="22" t="n">
        <v>33046</v>
      </c>
      <c r="D11" s="22" t="n">
        <v>34640</v>
      </c>
      <c r="E11" s="22" t="n">
        <v>17657</v>
      </c>
      <c r="F11" s="22" t="n">
        <v>12812</v>
      </c>
      <c r="G11" s="22" t="n">
        <v>4845</v>
      </c>
      <c r="H11" s="22" t="n">
        <v>47744</v>
      </c>
      <c r="I11" s="22" t="n">
        <v>19874</v>
      </c>
      <c r="J11" s="22" t="n">
        <v>27870</v>
      </c>
      <c r="K11" s="22" t="n">
        <v>2018</v>
      </c>
      <c r="L11" s="22" t="n">
        <v>288</v>
      </c>
      <c r="M11" s="22" t="n">
        <v>1730</v>
      </c>
      <c r="N11" s="22" t="n">
        <v>267</v>
      </c>
      <c r="O11" s="22" t="n">
        <v>72</v>
      </c>
      <c r="P11" s="22" t="n">
        <v>195</v>
      </c>
      <c r="Q11" s="23">
        <f>IF(B11=E11+H11+K11+N11,"✓",B11-(E11+H11+K11+N11))</f>
        <v/>
      </c>
      <c r="R11" s="23">
        <f>IF(B11=C11+D11,"✓","✗")</f>
        <v/>
      </c>
    </row>
    <row r="12">
      <c r="A12" s="24" t="inlineStr">
        <is>
          <t>20-30</t>
        </is>
      </c>
      <c r="B12" s="25" t="n">
        <v>154493</v>
      </c>
      <c r="C12" s="25" t="n">
        <v>81404</v>
      </c>
      <c r="D12" s="25" t="n">
        <v>73089</v>
      </c>
      <c r="E12" s="25" t="n">
        <v>12655</v>
      </c>
      <c r="F12" s="25" t="n">
        <v>10587</v>
      </c>
      <c r="G12" s="25" t="n">
        <v>2068</v>
      </c>
      <c r="H12" s="25" t="n">
        <v>133521</v>
      </c>
      <c r="I12" s="25" t="n">
        <v>68106</v>
      </c>
      <c r="J12" s="25" t="n">
        <v>65415</v>
      </c>
      <c r="K12" s="25" t="n">
        <v>7356</v>
      </c>
      <c r="L12" s="25" t="n">
        <v>2296</v>
      </c>
      <c r="M12" s="25" t="n">
        <v>5060</v>
      </c>
      <c r="N12" s="25" t="n">
        <v>961</v>
      </c>
      <c r="O12" s="25" t="n">
        <v>415</v>
      </c>
      <c r="P12" s="25" t="n">
        <v>546</v>
      </c>
      <c r="Q12" s="26">
        <f>IF(B12=E12+H12+K12+N12,"✓",B12-(E12+H12+K12+N12))</f>
        <v/>
      </c>
      <c r="R12" s="26">
        <f>IF(B12=C12+D12,"✓","✗")</f>
        <v/>
      </c>
    </row>
    <row r="13">
      <c r="A13" s="21" t="inlineStr">
        <is>
          <t>30-40</t>
        </is>
      </c>
      <c r="B13" s="22" t="n">
        <v>110303</v>
      </c>
      <c r="C13" s="22" t="n">
        <v>58940</v>
      </c>
      <c r="D13" s="22" t="n">
        <v>51363</v>
      </c>
      <c r="E13" s="22" t="n">
        <v>4649</v>
      </c>
      <c r="F13" s="22" t="n">
        <v>3693</v>
      </c>
      <c r="G13" s="22" t="n">
        <v>956</v>
      </c>
      <c r="H13" s="22" t="n">
        <v>94421</v>
      </c>
      <c r="I13" s="22" t="n">
        <v>51963</v>
      </c>
      <c r="J13" s="22" t="n">
        <v>42458</v>
      </c>
      <c r="K13" s="22" t="n">
        <v>10172</v>
      </c>
      <c r="L13" s="22" t="n">
        <v>2875</v>
      </c>
      <c r="M13" s="22" t="n">
        <v>7297</v>
      </c>
      <c r="N13" s="22" t="n">
        <v>1061</v>
      </c>
      <c r="O13" s="22" t="n">
        <v>409</v>
      </c>
      <c r="P13" s="22" t="n">
        <v>652</v>
      </c>
      <c r="Q13" s="23">
        <f>IF(B13=E13+H13+K13+N13,"✓",B13-(E13+H13+K13+N13))</f>
        <v/>
      </c>
      <c r="R13" s="23">
        <f>IF(B13=C13+D13,"✓","✗")</f>
        <v/>
      </c>
    </row>
    <row r="14">
      <c r="A14" s="24" t="inlineStr">
        <is>
          <t>40-50</t>
        </is>
      </c>
      <c r="B14" s="25" t="n">
        <v>78174</v>
      </c>
      <c r="C14" s="25" t="n">
        <v>43045</v>
      </c>
      <c r="D14" s="25" t="n">
        <v>35129</v>
      </c>
      <c r="E14" s="25" t="n">
        <v>2945</v>
      </c>
      <c r="F14" s="25" t="n">
        <v>2562</v>
      </c>
      <c r="G14" s="25" t="n">
        <v>383</v>
      </c>
      <c r="H14" s="25" t="n">
        <v>61729</v>
      </c>
      <c r="I14" s="25" t="n">
        <v>36328</v>
      </c>
      <c r="J14" s="25" t="n">
        <v>25401</v>
      </c>
      <c r="K14" s="25" t="n">
        <v>12277</v>
      </c>
      <c r="L14" s="25" t="n">
        <v>3666</v>
      </c>
      <c r="M14" s="25" t="n">
        <v>8611</v>
      </c>
      <c r="N14" s="25" t="n">
        <v>1223</v>
      </c>
      <c r="O14" s="25" t="n">
        <v>489</v>
      </c>
      <c r="P14" s="25" t="n">
        <v>734</v>
      </c>
      <c r="Q14" s="26">
        <f>IF(B14=E14+H14+K14+N14,"✓",B14-(E14+H14+K14+N14))</f>
        <v/>
      </c>
      <c r="R14" s="26">
        <f>IF(B14=C14+D14,"✓","✗")</f>
        <v/>
      </c>
    </row>
    <row r="15">
      <c r="A15" s="21" t="inlineStr">
        <is>
          <t>50-60</t>
        </is>
      </c>
      <c r="B15" s="22" t="n">
        <v>57438</v>
      </c>
      <c r="C15" s="22" t="n">
        <v>24718</v>
      </c>
      <c r="D15" s="22" t="n">
        <v>32720</v>
      </c>
      <c r="E15" s="22" t="n">
        <v>1346</v>
      </c>
      <c r="F15" s="22" t="n">
        <v>1083</v>
      </c>
      <c r="G15" s="22" t="n">
        <v>263</v>
      </c>
      <c r="H15" s="22" t="n">
        <v>35830</v>
      </c>
      <c r="I15" s="22" t="n">
        <v>19248</v>
      </c>
      <c r="J15" s="22" t="n">
        <v>16582</v>
      </c>
      <c r="K15" s="22" t="n">
        <v>19278</v>
      </c>
      <c r="L15" s="22" t="n">
        <v>4016</v>
      </c>
      <c r="M15" s="22" t="n">
        <v>15262</v>
      </c>
      <c r="N15" s="22" t="n">
        <v>984</v>
      </c>
      <c r="O15" s="22" t="n">
        <v>371</v>
      </c>
      <c r="P15" s="22" t="n">
        <v>613</v>
      </c>
      <c r="Q15" s="23">
        <f>IF(B15=E15+H15+K15+N15,"✓",B15-(E15+H15+K15+N15))</f>
        <v/>
      </c>
      <c r="R15" s="23">
        <f>IF(B15=C15+D15,"✓","✗")</f>
        <v/>
      </c>
    </row>
    <row r="16">
      <c r="A16" s="24" t="inlineStr">
        <is>
          <t>60 &amp; over</t>
        </is>
      </c>
      <c r="B16" s="25" t="n">
        <v>38831</v>
      </c>
      <c r="C16" s="25" t="n">
        <v>15186</v>
      </c>
      <c r="D16" s="25" t="n">
        <v>23645</v>
      </c>
      <c r="E16" s="25" t="n">
        <v>818</v>
      </c>
      <c r="F16" s="25" t="n">
        <v>617</v>
      </c>
      <c r="G16" s="25" t="n">
        <v>201</v>
      </c>
      <c r="H16" s="25" t="n">
        <v>16839</v>
      </c>
      <c r="I16" s="25" t="n">
        <v>10224</v>
      </c>
      <c r="J16" s="25" t="n">
        <v>6615</v>
      </c>
      <c r="K16" s="25" t="n">
        <v>20406</v>
      </c>
      <c r="L16" s="25" t="n">
        <v>4126</v>
      </c>
      <c r="M16" s="25" t="n">
        <v>16280</v>
      </c>
      <c r="N16" s="25" t="n">
        <v>768</v>
      </c>
      <c r="O16" s="25" t="n">
        <v>219</v>
      </c>
      <c r="P16" s="25" t="n">
        <v>549</v>
      </c>
      <c r="Q16" s="26">
        <f>IF(B16=E16+H16+K16+N16,"✓",B16-(E16+H16+K16+N16))</f>
        <v/>
      </c>
      <c r="R16" s="26">
        <f>IF(B16=C16+D16,"✓","✗")</f>
        <v/>
      </c>
    </row>
    <row r="17">
      <c r="A17" s="21" t="inlineStr">
        <is>
          <t>Total</t>
        </is>
      </c>
      <c r="B17" s="22" t="n">
        <v>823622</v>
      </c>
      <c r="C17" s="22" t="n">
        <v>416963</v>
      </c>
      <c r="D17" s="22" t="n">
        <v>406659</v>
      </c>
      <c r="E17" s="22" t="n">
        <v>289648</v>
      </c>
      <c r="F17" s="22" t="n">
        <v>165049</v>
      </c>
      <c r="G17" s="22" t="n">
        <v>124599</v>
      </c>
      <c r="H17" s="22" t="n">
        <v>454726</v>
      </c>
      <c r="I17" s="22" t="n">
        <v>231968</v>
      </c>
      <c r="J17" s="22" t="n">
        <v>222758</v>
      </c>
      <c r="K17" s="22" t="n">
        <v>73849</v>
      </c>
      <c r="L17" s="22" t="n">
        <v>17939</v>
      </c>
      <c r="M17" s="22" t="n">
        <v>55910</v>
      </c>
      <c r="N17" s="22" t="n">
        <v>5399</v>
      </c>
      <c r="O17" s="22" t="n">
        <v>2007</v>
      </c>
      <c r="P17" s="22" t="n">
        <v>3392</v>
      </c>
      <c r="Q17" s="23">
        <f>IF(B17=E17+H17+K17+N17,"✓",B17-(E17+H17+K17+N17))</f>
        <v/>
      </c>
      <c r="R17" s="23">
        <f>IF(B17=C17+D17,"✓","✗")</f>
        <v/>
      </c>
    </row>
    <row r="18">
      <c r="A18" s="27" t="inlineStr">
        <is>
          <t>Verify: Sum</t>
        </is>
      </c>
      <c r="B18" s="28">
        <f>IF(SUM(B7:B17)=B6,"✓",SUM(B7:B17)-B6)</f>
        <v/>
      </c>
      <c r="C18" s="28">
        <f>IF(SUM(C7:C17)=C6,"✓",SUM(C7:C17)-C6)</f>
        <v/>
      </c>
      <c r="D18" s="28">
        <f>IF(SUM(D7:D17)=D6,"✓",SUM(D7:D17)-D6)</f>
        <v/>
      </c>
      <c r="E18" s="28">
        <f>IF(SUM(E7:E17)=E6,"✓",SUM(E7:E17)-E6)</f>
        <v/>
      </c>
      <c r="F18" s="28">
        <f>IF(SUM(F7:F17)=F6,"✓",SUM(F7:F17)-F6)</f>
        <v/>
      </c>
      <c r="G18" s="28">
        <f>IF(SUM(G7:G17)=G6,"✓",SUM(G7:G17)-G6)</f>
        <v/>
      </c>
      <c r="H18" s="28">
        <f>IF(SUM(H7:H17)=H6,"✓",SUM(H7:H17)-H6)</f>
        <v/>
      </c>
      <c r="I18" s="28">
        <f>IF(SUM(I7:I17)=I6,"✓",SUM(I7:I17)-I6)</f>
        <v/>
      </c>
      <c r="J18" s="28">
        <f>IF(SUM(J7:J17)=J6,"✓",SUM(J7:J17)-J6)</f>
        <v/>
      </c>
      <c r="K18" s="28">
        <f>IF(SUM(K7:K17)=K6,"✓",SUM(K7:K17)-K6)</f>
        <v/>
      </c>
      <c r="L18" s="28">
        <f>IF(SUM(L7:L17)=L6,"✓",SUM(L7:L17)-L6)</f>
        <v/>
      </c>
      <c r="M18" s="28">
        <f>IF(SUM(M7:M17)=M6,"✓",SUM(M7:M17)-M6)</f>
        <v/>
      </c>
      <c r="N18" s="28">
        <f>IF(SUM(N7:N17)=N6,"✓",SUM(N7:N17)-N6)</f>
        <v/>
      </c>
      <c r="O18" s="28">
        <f>IF(SUM(O7:O17)=O6,"✓",SUM(O7:O17)-O6)</f>
        <v/>
      </c>
      <c r="P18" s="28">
        <f>IF(SUM(P7:P17)=P6,"✓",SUM(P7:P17)-P6)</f>
        <v/>
      </c>
    </row>
    <row r="20">
      <c r="A20" s="3" t="inlineStr">
        <is>
          <t>2. Brahmanic Hindus.</t>
        </is>
      </c>
    </row>
    <row r="21">
      <c r="A21" s="4" t="inlineStr">
        <is>
          <t>Age</t>
        </is>
      </c>
      <c r="B21" s="5" t="inlineStr">
        <is>
          <t>POPULATION</t>
        </is>
      </c>
      <c r="C21" s="6" t="n"/>
      <c r="D21" s="6" t="n"/>
      <c r="E21" s="7" t="inlineStr">
        <is>
          <t>UNMARRIED</t>
        </is>
      </c>
      <c r="F21" s="8" t="n"/>
      <c r="G21" s="8" t="n"/>
      <c r="H21" s="9" t="inlineStr">
        <is>
          <t>MARRIED</t>
        </is>
      </c>
      <c r="I21" s="10" t="n"/>
      <c r="J21" s="10" t="n"/>
      <c r="K21" s="11" t="inlineStr">
        <is>
          <t>WIDOWED</t>
        </is>
      </c>
      <c r="L21" s="12" t="n"/>
      <c r="M21" s="12" t="n"/>
      <c r="N21" s="13" t="inlineStr">
        <is>
          <t>DIVORCED</t>
        </is>
      </c>
      <c r="O21" s="14" t="n"/>
      <c r="P21" s="14" t="n"/>
      <c r="Q21" s="15" t="inlineStr">
        <is>
          <t>Check</t>
        </is>
      </c>
      <c r="R21" s="15" t="inlineStr">
        <is>
          <t>Check</t>
        </is>
      </c>
    </row>
    <row r="22">
      <c r="A22" s="16" t="inlineStr"/>
      <c r="B22" s="17" t="inlineStr">
        <is>
          <t>Persons</t>
        </is>
      </c>
      <c r="C22" s="17" t="inlineStr">
        <is>
          <t>Males</t>
        </is>
      </c>
      <c r="D22" s="17" t="inlineStr">
        <is>
          <t>Females</t>
        </is>
      </c>
      <c r="E22" s="17" t="inlineStr">
        <is>
          <t>Persons</t>
        </is>
      </c>
      <c r="F22" s="17" t="inlineStr">
        <is>
          <t>Males</t>
        </is>
      </c>
      <c r="G22" s="17" t="inlineStr">
        <is>
          <t>Females</t>
        </is>
      </c>
      <c r="H22" s="17" t="inlineStr">
        <is>
          <t>Persons</t>
        </is>
      </c>
      <c r="I22" s="17" t="inlineStr">
        <is>
          <t>Males</t>
        </is>
      </c>
      <c r="J22" s="17" t="inlineStr">
        <is>
          <t>Females</t>
        </is>
      </c>
      <c r="K22" s="17" t="inlineStr">
        <is>
          <t>Persons</t>
        </is>
      </c>
      <c r="L22" s="17" t="inlineStr">
        <is>
          <t>Males</t>
        </is>
      </c>
      <c r="M22" s="17" t="inlineStr">
        <is>
          <t>Females</t>
        </is>
      </c>
      <c r="N22" s="17" t="inlineStr">
        <is>
          <t>Persons</t>
        </is>
      </c>
      <c r="O22" s="17" t="inlineStr">
        <is>
          <t>Males</t>
        </is>
      </c>
      <c r="P22" s="17" t="inlineStr">
        <is>
          <t>Females</t>
        </is>
      </c>
      <c r="Q22" s="17" t="inlineStr">
        <is>
          <t>P=Sum</t>
        </is>
      </c>
      <c r="R22" s="17" t="inlineStr">
        <is>
          <t>M+F=P</t>
        </is>
      </c>
    </row>
    <row r="23">
      <c r="A23" s="18" t="inlineStr">
        <is>
          <t>Total</t>
        </is>
      </c>
      <c r="B23" s="19" t="n">
        <v>25616</v>
      </c>
      <c r="C23" s="19" t="n">
        <v>11834</v>
      </c>
      <c r="D23" s="19" t="n">
        <v>13782</v>
      </c>
      <c r="E23" s="19" t="n">
        <v>12052</v>
      </c>
      <c r="F23" s="19" t="n">
        <v>5754</v>
      </c>
      <c r="G23" s="19" t="n">
        <v>6298</v>
      </c>
      <c r="H23" s="19" t="n">
        <v>11972</v>
      </c>
      <c r="I23" s="19" t="n">
        <v>5826</v>
      </c>
      <c r="J23" s="19" t="n">
        <v>6146</v>
      </c>
      <c r="K23" s="19" t="n">
        <v>1546</v>
      </c>
      <c r="L23" s="19" t="n">
        <v>230</v>
      </c>
      <c r="M23" s="19" t="n">
        <v>1316</v>
      </c>
      <c r="N23" s="19" t="n">
        <v>46</v>
      </c>
      <c r="O23" s="19" t="n">
        <v>24</v>
      </c>
      <c r="P23" s="19" t="n">
        <v>22</v>
      </c>
      <c r="Q23" s="20">
        <f>IF(B23=E23+H23+K23+N23,"✓","✗")</f>
        <v/>
      </c>
      <c r="R23" s="20">
        <f>IF(B23=C23+D23,"✓","✗")</f>
        <v/>
      </c>
    </row>
    <row r="24">
      <c r="A24" s="21" t="inlineStr">
        <is>
          <t>0-1</t>
        </is>
      </c>
      <c r="B24" s="22" t="n">
        <v>519</v>
      </c>
      <c r="C24" s="22" t="n">
        <v>244</v>
      </c>
      <c r="D24" s="22" t="n">
        <v>275</v>
      </c>
      <c r="E24" s="22" t="n">
        <v>517</v>
      </c>
      <c r="F24" s="22" t="n">
        <v>243</v>
      </c>
      <c r="G24" s="22" t="n">
        <v>274</v>
      </c>
      <c r="H24" s="22" t="n">
        <v>2</v>
      </c>
      <c r="I24" s="22" t="n">
        <v>1</v>
      </c>
      <c r="J24" s="22" t="n">
        <v>1</v>
      </c>
      <c r="K24" s="22" t="n">
        <v>0</v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3">
        <f>IF(B24=E24+H24+K24+N24,"✓",B24-(E24+H24+K24+N24))</f>
        <v/>
      </c>
      <c r="R24" s="23">
        <f>IF(B24=C24+D24,"✓","✗")</f>
        <v/>
      </c>
    </row>
    <row r="25">
      <c r="A25" s="24" t="inlineStr">
        <is>
          <t>1-5</t>
        </is>
      </c>
      <c r="B25" s="25" t="n">
        <v>1886</v>
      </c>
      <c r="C25" s="25" t="n">
        <v>866</v>
      </c>
      <c r="D25" s="25" t="n">
        <v>1020</v>
      </c>
      <c r="E25" s="25" t="n">
        <v>1857</v>
      </c>
      <c r="F25" s="25" t="n">
        <v>860</v>
      </c>
      <c r="G25" s="25" t="n">
        <v>997</v>
      </c>
      <c r="H25" s="25" t="n">
        <v>27</v>
      </c>
      <c r="I25" s="25" t="n">
        <v>6</v>
      </c>
      <c r="J25" s="25" t="n">
        <v>21</v>
      </c>
      <c r="K25" s="25" t="n">
        <v>2</v>
      </c>
      <c r="L25" s="25" t="n">
        <v>0</v>
      </c>
      <c r="M25" s="25" t="n">
        <v>2</v>
      </c>
      <c r="N25" s="25" t="n">
        <v>0</v>
      </c>
      <c r="O25" s="25" t="n">
        <v>0</v>
      </c>
      <c r="P25" s="25" t="n">
        <v>0</v>
      </c>
      <c r="Q25" s="26">
        <f>IF(B25=E25+H25+K25+N25,"✓",B25-(E25+H25+K25+N25))</f>
        <v/>
      </c>
      <c r="R25" s="26">
        <f>IF(B25=C25+D25,"✓","✗")</f>
        <v/>
      </c>
    </row>
    <row r="26">
      <c r="A26" s="21" t="inlineStr">
        <is>
          <t>5-10</t>
        </is>
      </c>
      <c r="B26" s="22" t="n">
        <v>1726</v>
      </c>
      <c r="C26" s="22" t="n">
        <v>660</v>
      </c>
      <c r="D26" s="22" t="n">
        <v>1066</v>
      </c>
      <c r="E26" s="22" t="n">
        <v>1551</v>
      </c>
      <c r="F26" s="22" t="n">
        <v>640</v>
      </c>
      <c r="G26" s="22" t="n">
        <v>911</v>
      </c>
      <c r="H26" s="22" t="n">
        <v>172</v>
      </c>
      <c r="I26" s="22" t="n">
        <v>20</v>
      </c>
      <c r="J26" s="22" t="n">
        <v>152</v>
      </c>
      <c r="K26" s="22" t="n">
        <v>2</v>
      </c>
      <c r="L26" s="22" t="n">
        <v>0</v>
      </c>
      <c r="M26" s="22" t="n">
        <v>2</v>
      </c>
      <c r="N26" s="22" t="n">
        <v>1</v>
      </c>
      <c r="O26" s="22" t="n">
        <v>0</v>
      </c>
      <c r="P26" s="22" t="n">
        <v>1</v>
      </c>
      <c r="Q26" s="23">
        <f>IF(B26=E26+H26+K26+N26,"✓",B26-(E26+H26+K26+N26))</f>
        <v/>
      </c>
      <c r="R26" s="23">
        <f>IF(B26=C26+D26,"✓","✗")</f>
        <v/>
      </c>
    </row>
    <row r="27">
      <c r="A27" s="24" t="inlineStr">
        <is>
          <t>10-15</t>
        </is>
      </c>
      <c r="B27" s="25" t="n">
        <v>1711</v>
      </c>
      <c r="C27" s="25" t="n">
        <v>599</v>
      </c>
      <c r="D27" s="25" t="n">
        <v>1112</v>
      </c>
      <c r="E27" s="25" t="n">
        <v>1188</v>
      </c>
      <c r="F27" s="25" t="n">
        <v>516</v>
      </c>
      <c r="G27" s="25" t="n">
        <v>672</v>
      </c>
      <c r="H27" s="25" t="n">
        <v>515</v>
      </c>
      <c r="I27" s="25" t="n">
        <v>82</v>
      </c>
      <c r="J27" s="25" t="n">
        <v>433</v>
      </c>
      <c r="K27" s="25" t="n">
        <v>7</v>
      </c>
      <c r="L27" s="25" t="n">
        <v>1</v>
      </c>
      <c r="M27" s="25" t="n">
        <v>6</v>
      </c>
      <c r="N27" s="25" t="n">
        <v>1</v>
      </c>
      <c r="O27" s="25" t="n">
        <v>0</v>
      </c>
      <c r="P27" s="25" t="n">
        <v>1</v>
      </c>
      <c r="Q27" s="26">
        <f>IF(B27=E27+H27+K27+N27,"✓",B27-(E27+H27+K27+N27))</f>
        <v/>
      </c>
      <c r="R27" s="26">
        <f>IF(B27=C27+D27,"✓","✗")</f>
        <v/>
      </c>
    </row>
    <row r="28">
      <c r="A28" s="21" t="inlineStr">
        <is>
          <t>15-20</t>
        </is>
      </c>
      <c r="B28" s="22" t="n">
        <v>1265</v>
      </c>
      <c r="C28" s="22" t="n">
        <v>489</v>
      </c>
      <c r="D28" s="22" t="n">
        <v>776</v>
      </c>
      <c r="E28" s="22" t="n">
        <v>610</v>
      </c>
      <c r="F28" s="22" t="n">
        <v>349</v>
      </c>
      <c r="G28" s="22" t="n">
        <v>261</v>
      </c>
      <c r="H28" s="22" t="n">
        <v>639</v>
      </c>
      <c r="I28" s="22" t="n">
        <v>140</v>
      </c>
      <c r="J28" s="22" t="n">
        <v>499</v>
      </c>
      <c r="K28" s="22" t="n">
        <v>16</v>
      </c>
      <c r="L28" s="22" t="n">
        <v>0</v>
      </c>
      <c r="M28" s="22" t="n">
        <v>16</v>
      </c>
      <c r="N28" s="22" t="n">
        <v>0</v>
      </c>
      <c r="O28" s="22" t="n">
        <v>0</v>
      </c>
      <c r="P28" s="22" t="n">
        <v>0</v>
      </c>
      <c r="Q28" s="23">
        <f>IF(B28=E28+H28+K28+N28,"✓",B28-(E28+H28+K28+N28))</f>
        <v/>
      </c>
      <c r="R28" s="23">
        <f>IF(B28=C28+D28,"✓","✗")</f>
        <v/>
      </c>
    </row>
    <row r="29">
      <c r="A29" s="24" t="inlineStr">
        <is>
          <t>20-30</t>
        </is>
      </c>
      <c r="B29" s="25" t="n">
        <v>2497</v>
      </c>
      <c r="C29" s="25" t="n">
        <v>1373</v>
      </c>
      <c r="D29" s="25" t="n">
        <v>1124</v>
      </c>
      <c r="E29" s="25" t="n">
        <v>238</v>
      </c>
      <c r="F29" s="25" t="n">
        <v>207</v>
      </c>
      <c r="G29" s="25" t="n">
        <v>31</v>
      </c>
      <c r="H29" s="25" t="n">
        <v>2155</v>
      </c>
      <c r="I29" s="25" t="n">
        <v>1155</v>
      </c>
      <c r="J29" s="25" t="n">
        <v>1000</v>
      </c>
      <c r="K29" s="25" t="n">
        <v>101</v>
      </c>
      <c r="L29" s="25" t="n">
        <v>9</v>
      </c>
      <c r="M29" s="25" t="n">
        <v>92</v>
      </c>
      <c r="N29" s="25" t="n">
        <v>3</v>
      </c>
      <c r="O29" s="25" t="n">
        <v>2</v>
      </c>
      <c r="P29" s="25" t="n">
        <v>1</v>
      </c>
      <c r="Q29" s="26">
        <f>IF(B29=E29+H29+K29+N29,"✓",B29-(E29+H29+K29+N29))</f>
        <v/>
      </c>
      <c r="R29" s="26">
        <f>IF(B29=C29+D29,"✓","✗")</f>
        <v/>
      </c>
    </row>
    <row r="30">
      <c r="A30" s="21" t="inlineStr">
        <is>
          <t>30-40</t>
        </is>
      </c>
      <c r="B30" s="22" t="n">
        <v>1602</v>
      </c>
      <c r="C30" s="22" t="n">
        <v>832</v>
      </c>
      <c r="D30" s="22" t="n">
        <v>770</v>
      </c>
      <c r="E30" s="22" t="n">
        <v>31</v>
      </c>
      <c r="F30" s="22" t="n">
        <v>29</v>
      </c>
      <c r="G30" s="22" t="n">
        <v>2</v>
      </c>
      <c r="H30" s="22" t="n">
        <v>1408</v>
      </c>
      <c r="I30" s="22" t="n">
        <v>780</v>
      </c>
      <c r="J30" s="22" t="n">
        <v>628</v>
      </c>
      <c r="K30" s="22" t="n">
        <v>158</v>
      </c>
      <c r="L30" s="22" t="n">
        <v>20</v>
      </c>
      <c r="M30" s="22" t="n">
        <v>138</v>
      </c>
      <c r="N30" s="22" t="n">
        <v>5</v>
      </c>
      <c r="O30" s="22" t="n">
        <v>3</v>
      </c>
      <c r="P30" s="22" t="n">
        <v>2</v>
      </c>
      <c r="Q30" s="23">
        <f>IF(B30=E30+H30+K30+N30,"✓",B30-(E30+H30+K30+N30))</f>
        <v/>
      </c>
      <c r="R30" s="23">
        <f>IF(B30=C30+D30,"✓","✗")</f>
        <v/>
      </c>
    </row>
    <row r="31">
      <c r="A31" s="24" t="inlineStr">
        <is>
          <t>40-50</t>
        </is>
      </c>
      <c r="B31" s="25" t="n">
        <v>834</v>
      </c>
      <c r="C31" s="25" t="n">
        <v>481</v>
      </c>
      <c r="D31" s="25" t="n">
        <v>353</v>
      </c>
      <c r="E31" s="25" t="n">
        <v>18</v>
      </c>
      <c r="F31" s="25" t="n">
        <v>17</v>
      </c>
      <c r="G31" s="25" t="n">
        <v>1</v>
      </c>
      <c r="H31" s="25" t="n">
        <v>633</v>
      </c>
      <c r="I31" s="25" t="n">
        <v>431</v>
      </c>
      <c r="J31" s="25" t="n">
        <v>202</v>
      </c>
      <c r="K31" s="25" t="n">
        <v>182</v>
      </c>
      <c r="L31" s="25" t="n">
        <v>32</v>
      </c>
      <c r="M31" s="25" t="n">
        <v>150</v>
      </c>
      <c r="N31" s="25" t="n">
        <v>1</v>
      </c>
      <c r="O31" s="25" t="n">
        <v>1</v>
      </c>
      <c r="P31" s="25" t="n">
        <v>0</v>
      </c>
      <c r="Q31" s="26">
        <f>IF(B31=E31+H31+K31+N31,"✓",B31-(E31+H31+K31+N31))</f>
        <v/>
      </c>
      <c r="R31" s="26">
        <f>IF(B31=C31+D31,"✓","✗")</f>
        <v/>
      </c>
    </row>
    <row r="32">
      <c r="A32" s="21" t="inlineStr">
        <is>
          <t>50-60</t>
        </is>
      </c>
      <c r="B32" s="22" t="n">
        <v>443</v>
      </c>
      <c r="C32" s="22" t="n">
        <v>221</v>
      </c>
      <c r="D32" s="22" t="n">
        <v>222</v>
      </c>
      <c r="E32" s="22" t="n">
        <v>11</v>
      </c>
      <c r="F32" s="22" t="n">
        <v>11</v>
      </c>
      <c r="G32" s="22" t="n">
        <v>0</v>
      </c>
      <c r="H32" s="22" t="n">
        <v>272</v>
      </c>
      <c r="I32" s="22" t="n">
        <v>179</v>
      </c>
      <c r="J32" s="22" t="n">
        <v>93</v>
      </c>
      <c r="K32" s="22" t="n">
        <v>155</v>
      </c>
      <c r="L32" s="22" t="n">
        <v>30</v>
      </c>
      <c r="M32" s="22" t="n">
        <v>125</v>
      </c>
      <c r="N32" s="22" t="n">
        <v>5</v>
      </c>
      <c r="O32" s="22" t="n">
        <v>1</v>
      </c>
      <c r="P32" s="22" t="n">
        <v>4</v>
      </c>
      <c r="Q32" s="23">
        <f>IF(B32=E32+H32+K32+N32,"✓",B32-(E32+H32+K32+N32))</f>
        <v/>
      </c>
      <c r="R32" s="23">
        <f>IF(B32=C32+D32,"✓","✗")</f>
        <v/>
      </c>
    </row>
    <row r="33">
      <c r="A33" s="24" t="inlineStr">
        <is>
          <t>60 &amp; over</t>
        </is>
      </c>
      <c r="B33" s="25" t="n">
        <v>325</v>
      </c>
      <c r="C33" s="25" t="n">
        <v>152</v>
      </c>
      <c r="D33" s="25" t="n">
        <v>173</v>
      </c>
      <c r="E33" s="25" t="n">
        <v>5</v>
      </c>
      <c r="F33" s="25" t="n">
        <v>5</v>
      </c>
      <c r="G33" s="25" t="n">
        <v>0</v>
      </c>
      <c r="H33" s="25" t="n">
        <v>163</v>
      </c>
      <c r="I33" s="25" t="n">
        <v>119</v>
      </c>
      <c r="J33" s="25" t="n">
        <v>44</v>
      </c>
      <c r="K33" s="25" t="n">
        <v>150</v>
      </c>
      <c r="L33" s="25" t="n">
        <v>23</v>
      </c>
      <c r="M33" s="25" t="n">
        <v>127</v>
      </c>
      <c r="N33" s="25" t="n">
        <v>7</v>
      </c>
      <c r="O33" s="25" t="n">
        <v>5</v>
      </c>
      <c r="P33" s="25" t="n">
        <v>2</v>
      </c>
      <c r="Q33" s="26">
        <f>IF(B33=E33+H33+K33+N33,"✓",B33-(E33+H33+K33+N33))</f>
        <v/>
      </c>
      <c r="R33" s="26">
        <f>IF(B33=C33+D33,"✓","✗")</f>
        <v/>
      </c>
    </row>
    <row r="34">
      <c r="A34" s="21" t="inlineStr">
        <is>
          <t>Total</t>
        </is>
      </c>
      <c r="B34" s="22" t="n">
        <v>12808</v>
      </c>
      <c r="C34" s="22" t="n">
        <v>5917</v>
      </c>
      <c r="D34" s="22" t="n">
        <v>6891</v>
      </c>
      <c r="E34" s="22" t="n">
        <v>6026</v>
      </c>
      <c r="F34" s="22" t="n">
        <v>2877</v>
      </c>
      <c r="G34" s="22" t="n">
        <v>3149</v>
      </c>
      <c r="H34" s="22" t="n">
        <v>5986</v>
      </c>
      <c r="I34" s="22" t="n">
        <v>2913</v>
      </c>
      <c r="J34" s="22" t="n">
        <v>3073</v>
      </c>
      <c r="K34" s="22" t="n">
        <v>773</v>
      </c>
      <c r="L34" s="22" t="n">
        <v>115</v>
      </c>
      <c r="M34" s="22" t="n">
        <v>658</v>
      </c>
      <c r="N34" s="22" t="n">
        <v>23</v>
      </c>
      <c r="O34" s="22" t="n">
        <v>12</v>
      </c>
      <c r="P34" s="22" t="n">
        <v>11</v>
      </c>
      <c r="Q34" s="23">
        <f>IF(B34=E34+H34+K34+N34,"✓",B34-(E34+H34+K34+N34))</f>
        <v/>
      </c>
      <c r="R34" s="23">
        <f>IF(B34=C34+D34,"✓","✗")</f>
        <v/>
      </c>
    </row>
    <row r="35">
      <c r="A35" s="27" t="inlineStr">
        <is>
          <t>Verify: Sum</t>
        </is>
      </c>
      <c r="B35" s="28">
        <f>IF(SUM(B24:B34)=B23,"✓",SUM(B24:B34)-B23)</f>
        <v/>
      </c>
      <c r="C35" s="28">
        <f>IF(SUM(C24:C34)=C23,"✓",SUM(C24:C34)-C23)</f>
        <v/>
      </c>
      <c r="D35" s="28">
        <f>IF(SUM(D24:D34)=D23,"✓",SUM(D24:D34)-D23)</f>
        <v/>
      </c>
      <c r="E35" s="28">
        <f>IF(SUM(E24:E34)=E23,"✓",SUM(E24:E34)-E23)</f>
        <v/>
      </c>
      <c r="F35" s="28">
        <f>IF(SUM(F24:F34)=F23,"✓",SUM(F24:F34)-F23)</f>
        <v/>
      </c>
      <c r="G35" s="28">
        <f>IF(SUM(G24:G34)=G23,"✓",SUM(G24:G34)-G23)</f>
        <v/>
      </c>
      <c r="H35" s="28">
        <f>IF(SUM(H24:H34)=H23,"✓",SUM(H24:H34)-H23)</f>
        <v/>
      </c>
      <c r="I35" s="28">
        <f>IF(SUM(I24:I34)=I23,"✓",SUM(I24:I34)-I23)</f>
        <v/>
      </c>
      <c r="J35" s="28">
        <f>IF(SUM(J24:J34)=J23,"✓",SUM(J24:J34)-J23)</f>
        <v/>
      </c>
      <c r="K35" s="28">
        <f>IF(SUM(K24:K34)=K23,"✓",SUM(K24:K34)-K23)</f>
        <v/>
      </c>
      <c r="L35" s="28">
        <f>IF(SUM(L24:L34)=L23,"✓",SUM(L24:L34)-L23)</f>
        <v/>
      </c>
      <c r="M35" s="28">
        <f>IF(SUM(M24:M34)=M23,"✓",SUM(M24:M34)-M23)</f>
        <v/>
      </c>
      <c r="N35" s="28">
        <f>IF(SUM(N24:N34)=N23,"✓",SUM(N24:N34)-N23)</f>
        <v/>
      </c>
      <c r="O35" s="28">
        <f>IF(SUM(O24:O34)=O23,"✓",SUM(O24:O34)-O23)</f>
        <v/>
      </c>
      <c r="P35" s="28">
        <f>IF(SUM(P24:P34)=P23,"✓",SUM(P24:P34)-P23)</f>
        <v/>
      </c>
    </row>
    <row r="37">
      <c r="A37" s="3" t="inlineStr">
        <is>
          <t>3. Other Hindus</t>
        </is>
      </c>
    </row>
    <row r="38">
      <c r="A38" s="4" t="inlineStr">
        <is>
          <t>Age</t>
        </is>
      </c>
      <c r="B38" s="5" t="inlineStr">
        <is>
          <t>POPULATION</t>
        </is>
      </c>
      <c r="C38" s="6" t="n"/>
      <c r="D38" s="6" t="n"/>
      <c r="E38" s="7" t="inlineStr">
        <is>
          <t>UNMARRIED</t>
        </is>
      </c>
      <c r="F38" s="8" t="n"/>
      <c r="G38" s="8" t="n"/>
      <c r="H38" s="9" t="inlineStr">
        <is>
          <t>MARRIED</t>
        </is>
      </c>
      <c r="I38" s="10" t="n"/>
      <c r="J38" s="10" t="n"/>
      <c r="K38" s="11" t="inlineStr">
        <is>
          <t>WIDOWED</t>
        </is>
      </c>
      <c r="L38" s="12" t="n"/>
      <c r="M38" s="12" t="n"/>
      <c r="N38" s="13" t="inlineStr">
        <is>
          <t>DIVORCED</t>
        </is>
      </c>
      <c r="O38" s="14" t="n"/>
      <c r="P38" s="14" t="n"/>
      <c r="Q38" s="15" t="inlineStr">
        <is>
          <t>Check</t>
        </is>
      </c>
      <c r="R38" s="15" t="inlineStr">
        <is>
          <t>Check</t>
        </is>
      </c>
    </row>
    <row r="39">
      <c r="A39" s="16" t="inlineStr"/>
      <c r="B39" s="17" t="inlineStr">
        <is>
          <t>Persons</t>
        </is>
      </c>
      <c r="C39" s="17" t="inlineStr">
        <is>
          <t>Males</t>
        </is>
      </c>
      <c r="D39" s="17" t="inlineStr">
        <is>
          <t>Females</t>
        </is>
      </c>
      <c r="E39" s="17" t="inlineStr">
        <is>
          <t>Persons</t>
        </is>
      </c>
      <c r="F39" s="17" t="inlineStr">
        <is>
          <t>Males</t>
        </is>
      </c>
      <c r="G39" s="17" t="inlineStr">
        <is>
          <t>Females</t>
        </is>
      </c>
      <c r="H39" s="17" t="inlineStr">
        <is>
          <t>Persons</t>
        </is>
      </c>
      <c r="I39" s="17" t="inlineStr">
        <is>
          <t>Males</t>
        </is>
      </c>
      <c r="J39" s="17" t="inlineStr">
        <is>
          <t>Females</t>
        </is>
      </c>
      <c r="K39" s="17" t="inlineStr">
        <is>
          <t>Persons</t>
        </is>
      </c>
      <c r="L39" s="17" t="inlineStr">
        <is>
          <t>Males</t>
        </is>
      </c>
      <c r="M39" s="17" t="inlineStr">
        <is>
          <t>Females</t>
        </is>
      </c>
      <c r="N39" s="17" t="inlineStr">
        <is>
          <t>Persons</t>
        </is>
      </c>
      <c r="O39" s="17" t="inlineStr">
        <is>
          <t>Males</t>
        </is>
      </c>
      <c r="P39" s="17" t="inlineStr">
        <is>
          <t>Females</t>
        </is>
      </c>
      <c r="Q39" s="17" t="inlineStr">
        <is>
          <t>P=Sum</t>
        </is>
      </c>
      <c r="R39" s="17" t="inlineStr">
        <is>
          <t>M+F=P</t>
        </is>
      </c>
    </row>
    <row r="40">
      <c r="A40" s="18" t="inlineStr">
        <is>
          <t>Total</t>
        </is>
      </c>
      <c r="B40" s="19" t="n">
        <v>837398</v>
      </c>
      <c r="C40" s="19" t="n">
        <v>424992</v>
      </c>
      <c r="D40" s="19" t="n">
        <v>412406</v>
      </c>
      <c r="E40" s="19" t="n">
        <v>275472</v>
      </c>
      <c r="F40" s="19" t="n">
        <v>164068</v>
      </c>
      <c r="G40" s="19" t="n">
        <v>111404</v>
      </c>
      <c r="H40" s="19" t="n">
        <v>487268</v>
      </c>
      <c r="I40" s="19" t="n">
        <v>247634</v>
      </c>
      <c r="J40" s="19" t="n">
        <v>239634</v>
      </c>
      <c r="K40" s="19" t="n">
        <v>71466</v>
      </c>
      <c r="L40" s="19" t="n">
        <v>12114</v>
      </c>
      <c r="M40" s="19" t="n">
        <v>59352</v>
      </c>
      <c r="N40" s="19" t="n">
        <v>3192</v>
      </c>
      <c r="O40" s="19" t="n">
        <v>1176</v>
      </c>
      <c r="P40" s="19" t="n">
        <v>2016</v>
      </c>
      <c r="Q40" s="20">
        <f>IF(B40=E40+H40+K40+N40,"✓","✗")</f>
        <v/>
      </c>
      <c r="R40" s="20">
        <f>IF(B40=C40+D40,"✓","✗")</f>
        <v/>
      </c>
    </row>
    <row r="41">
      <c r="A41" s="21" t="inlineStr">
        <is>
          <t>0-1</t>
        </is>
      </c>
      <c r="B41" s="22" t="n">
        <v>14192</v>
      </c>
      <c r="C41" s="22" t="n">
        <v>7370</v>
      </c>
      <c r="D41" s="22" t="n">
        <v>6822</v>
      </c>
      <c r="E41" s="22" t="n">
        <v>14084</v>
      </c>
      <c r="F41" s="22" t="n">
        <v>7322</v>
      </c>
      <c r="G41" s="22" t="n">
        <v>6762</v>
      </c>
      <c r="H41" s="22" t="n">
        <v>108</v>
      </c>
      <c r="I41" s="22" t="n">
        <v>48</v>
      </c>
      <c r="J41" s="22" t="n">
        <v>60</v>
      </c>
      <c r="K41" s="22" t="n">
        <v>0</v>
      </c>
      <c r="L41" s="22" t="n">
        <v>0</v>
      </c>
      <c r="M41" s="22" t="n">
        <v>0</v>
      </c>
      <c r="N41" s="22" t="n">
        <v>0</v>
      </c>
      <c r="O41" s="22" t="n">
        <v>0</v>
      </c>
      <c r="P41" s="22" t="n">
        <v>0</v>
      </c>
      <c r="Q41" s="23">
        <f>IF(B41=E41+H41+K41+N41,"✓",B41-(E41+H41+K41+N41))</f>
        <v/>
      </c>
      <c r="R41" s="23">
        <f>IF(B41=C41+D41,"✓","✗")</f>
        <v/>
      </c>
    </row>
    <row r="42">
      <c r="A42" s="24" t="inlineStr">
        <is>
          <t>1-5</t>
        </is>
      </c>
      <c r="B42" s="25" t="n">
        <v>52674</v>
      </c>
      <c r="C42" s="25" t="n">
        <v>23525</v>
      </c>
      <c r="D42" s="25" t="n">
        <v>29149</v>
      </c>
      <c r="E42" s="25" t="n">
        <v>49305</v>
      </c>
      <c r="F42" s="25" t="n">
        <v>22701</v>
      </c>
      <c r="G42" s="25" t="n">
        <v>26604</v>
      </c>
      <c r="H42" s="25" t="n">
        <v>3082</v>
      </c>
      <c r="I42" s="25" t="n">
        <v>700</v>
      </c>
      <c r="J42" s="25" t="n">
        <v>2382</v>
      </c>
      <c r="K42" s="25" t="n">
        <v>286</v>
      </c>
      <c r="L42" s="25" t="n">
        <v>123</v>
      </c>
      <c r="M42" s="25" t="n">
        <v>163</v>
      </c>
      <c r="N42" s="25" t="n">
        <v>1</v>
      </c>
      <c r="O42" s="25" t="n">
        <v>1</v>
      </c>
      <c r="P42" s="25" t="n">
        <v>0</v>
      </c>
      <c r="Q42" s="26">
        <f>IF(B42=E42+H42+K42+N42,"✓",B42-(E42+H42+K42+N42))</f>
        <v/>
      </c>
      <c r="R42" s="26">
        <f>IF(B42=C42+D42,"✓","✗")</f>
        <v/>
      </c>
    </row>
    <row r="43">
      <c r="A43" s="21" t="inlineStr">
        <is>
          <t>5-10</t>
        </is>
      </c>
      <c r="B43" s="22" t="n">
        <v>49312</v>
      </c>
      <c r="C43" s="22" t="n">
        <v>30223</v>
      </c>
      <c r="D43" s="22" t="n">
        <v>19089</v>
      </c>
      <c r="E43" s="22" t="n">
        <v>37054</v>
      </c>
      <c r="F43" s="22" t="n">
        <v>24822</v>
      </c>
      <c r="G43" s="22" t="n">
        <v>12232</v>
      </c>
      <c r="H43" s="22" t="n">
        <v>11856</v>
      </c>
      <c r="I43" s="22" t="n">
        <v>5271</v>
      </c>
      <c r="J43" s="22" t="n">
        <v>6585</v>
      </c>
      <c r="K43" s="22" t="n">
        <v>389</v>
      </c>
      <c r="L43" s="22" t="n">
        <v>128</v>
      </c>
      <c r="M43" s="22" t="n">
        <v>261</v>
      </c>
      <c r="N43" s="22" t="n">
        <v>13</v>
      </c>
      <c r="O43" s="22" t="n">
        <v>2</v>
      </c>
      <c r="P43" s="22" t="n">
        <v>11</v>
      </c>
      <c r="Q43" s="23">
        <f>IF(B43=E43+H43+K43+N43,"✓",B43-(E43+H43+K43+N43))</f>
        <v/>
      </c>
      <c r="R43" s="23">
        <f>IF(B43=C43+D43,"✓","✗")</f>
        <v/>
      </c>
    </row>
    <row r="44">
      <c r="A44" s="24" t="inlineStr">
        <is>
          <t>10-15</t>
        </is>
      </c>
      <c r="B44" s="25" t="n">
        <v>44426</v>
      </c>
      <c r="C44" s="25" t="n">
        <v>24079</v>
      </c>
      <c r="D44" s="25" t="n">
        <v>20347</v>
      </c>
      <c r="E44" s="25" t="n">
        <v>19398</v>
      </c>
      <c r="F44" s="25" t="n">
        <v>13463</v>
      </c>
      <c r="G44" s="25" t="n">
        <v>5935</v>
      </c>
      <c r="H44" s="25" t="n">
        <v>24159</v>
      </c>
      <c r="I44" s="25" t="n">
        <v>10418</v>
      </c>
      <c r="J44" s="25" t="n">
        <v>13741</v>
      </c>
      <c r="K44" s="25" t="n">
        <v>814</v>
      </c>
      <c r="L44" s="25" t="n">
        <v>186</v>
      </c>
      <c r="M44" s="25" t="n">
        <v>628</v>
      </c>
      <c r="N44" s="25" t="n">
        <v>55</v>
      </c>
      <c r="O44" s="25" t="n">
        <v>12</v>
      </c>
      <c r="P44" s="25" t="n">
        <v>43</v>
      </c>
      <c r="Q44" s="26">
        <f>IF(B44=E44+H44+K44+N44,"✓",B44-(E44+H44+K44+N44))</f>
        <v/>
      </c>
      <c r="R44" s="26">
        <f>IF(B44=C44+D44,"✓","✗")</f>
        <v/>
      </c>
    </row>
    <row r="45">
      <c r="A45" s="21" t="inlineStr">
        <is>
          <t>15-20</t>
        </is>
      </c>
      <c r="B45" s="22" t="n">
        <v>32835</v>
      </c>
      <c r="C45" s="22" t="n">
        <v>15021</v>
      </c>
      <c r="D45" s="22" t="n">
        <v>17814</v>
      </c>
      <c r="E45" s="22" t="n">
        <v>6910</v>
      </c>
      <c r="F45" s="22" t="n">
        <v>4224</v>
      </c>
      <c r="G45" s="22" t="n">
        <v>2686</v>
      </c>
      <c r="H45" s="22" t="n">
        <v>24633</v>
      </c>
      <c r="I45" s="22" t="n">
        <v>10629</v>
      </c>
      <c r="J45" s="22" t="n">
        <v>14004</v>
      </c>
      <c r="K45" s="22" t="n">
        <v>1149</v>
      </c>
      <c r="L45" s="22" t="n">
        <v>131</v>
      </c>
      <c r="M45" s="22" t="n">
        <v>1018</v>
      </c>
      <c r="N45" s="22" t="n">
        <v>143</v>
      </c>
      <c r="O45" s="22" t="n">
        <v>37</v>
      </c>
      <c r="P45" s="22" t="n">
        <v>106</v>
      </c>
      <c r="Q45" s="23">
        <f>IF(B45=E45+H45+K45+N45,"✓",B45-(E45+H45+K45+N45))</f>
        <v/>
      </c>
      <c r="R45" s="23">
        <f>IF(B45=C45+D45,"✓","✗")</f>
        <v/>
      </c>
    </row>
    <row r="46">
      <c r="A46" s="24" t="inlineStr">
        <is>
          <t>20-30</t>
        </is>
      </c>
      <c r="B46" s="25" t="n">
        <v>83500</v>
      </c>
      <c r="C46" s="25" t="n">
        <v>43467</v>
      </c>
      <c r="D46" s="25" t="n">
        <v>40033</v>
      </c>
      <c r="E46" s="25" t="n">
        <v>5433</v>
      </c>
      <c r="F46" s="25" t="n">
        <v>4623</v>
      </c>
      <c r="G46" s="25" t="n">
        <v>810</v>
      </c>
      <c r="H46" s="25" t="n">
        <v>74340</v>
      </c>
      <c r="I46" s="25" t="n">
        <v>37937</v>
      </c>
      <c r="J46" s="25" t="n">
        <v>36403</v>
      </c>
      <c r="K46" s="25" t="n">
        <v>3341</v>
      </c>
      <c r="L46" s="25" t="n">
        <v>783</v>
      </c>
      <c r="M46" s="25" t="n">
        <v>2558</v>
      </c>
      <c r="N46" s="25" t="n">
        <v>386</v>
      </c>
      <c r="O46" s="25" t="n">
        <v>124</v>
      </c>
      <c r="P46" s="25" t="n">
        <v>262</v>
      </c>
      <c r="Q46" s="26">
        <f>IF(B46=E46+H46+K46+N46,"✓",B46-(E46+H46+K46+N46))</f>
        <v/>
      </c>
      <c r="R46" s="26">
        <f>IF(B46=C46+D46,"✓","✗")</f>
        <v/>
      </c>
    </row>
    <row r="47">
      <c r="A47" s="21" t="inlineStr">
        <is>
          <t>30-40</t>
        </is>
      </c>
      <c r="B47" s="22" t="n">
        <v>55109</v>
      </c>
      <c r="C47" s="22" t="n">
        <v>29079</v>
      </c>
      <c r="D47" s="22" t="n">
        <v>26030</v>
      </c>
      <c r="E47" s="22" t="n">
        <v>2761</v>
      </c>
      <c r="F47" s="22" t="n">
        <v>2346</v>
      </c>
      <c r="G47" s="22" t="n">
        <v>415</v>
      </c>
      <c r="H47" s="22" t="n">
        <v>46885</v>
      </c>
      <c r="I47" s="22" t="n">
        <v>25593</v>
      </c>
      <c r="J47" s="22" t="n">
        <v>21292</v>
      </c>
      <c r="K47" s="22" t="n">
        <v>5114</v>
      </c>
      <c r="L47" s="22" t="n">
        <v>1021</v>
      </c>
      <c r="M47" s="22" t="n">
        <v>4093</v>
      </c>
      <c r="N47" s="22" t="n">
        <v>349</v>
      </c>
      <c r="O47" s="22" t="n">
        <v>119</v>
      </c>
      <c r="P47" s="22" t="n">
        <v>230</v>
      </c>
      <c r="Q47" s="23">
        <f>IF(B47=E47+H47+K47+N47,"✓",B47-(E47+H47+K47+N47))</f>
        <v/>
      </c>
      <c r="R47" s="23">
        <f>IF(B47=C47+D47,"✓","✗")</f>
        <v/>
      </c>
    </row>
    <row r="48">
      <c r="A48" s="24" t="inlineStr">
        <is>
          <t>40-50</t>
        </is>
      </c>
      <c r="B48" s="25" t="n">
        <v>37457</v>
      </c>
      <c r="C48" s="25" t="n">
        <v>20901</v>
      </c>
      <c r="D48" s="25" t="n">
        <v>16556</v>
      </c>
      <c r="E48" s="25" t="n">
        <v>1804</v>
      </c>
      <c r="F48" s="25" t="n">
        <v>1660</v>
      </c>
      <c r="G48" s="25" t="n">
        <v>144</v>
      </c>
      <c r="H48" s="25" t="n">
        <v>30191</v>
      </c>
      <c r="I48" s="25" t="n">
        <v>17898</v>
      </c>
      <c r="J48" s="25" t="n">
        <v>12293</v>
      </c>
      <c r="K48" s="25" t="n">
        <v>5194</v>
      </c>
      <c r="L48" s="25" t="n">
        <v>1233</v>
      </c>
      <c r="M48" s="25" t="n">
        <v>3961</v>
      </c>
      <c r="N48" s="25" t="n">
        <v>268</v>
      </c>
      <c r="O48" s="25" t="n">
        <v>110</v>
      </c>
      <c r="P48" s="25" t="n">
        <v>158</v>
      </c>
      <c r="Q48" s="26">
        <f>IF(B48=E48+H48+K48+N48,"✓",B48-(E48+H48+K48+N48))</f>
        <v/>
      </c>
      <c r="R48" s="26">
        <f>IF(B48=C48+D48,"✓","✗")</f>
        <v/>
      </c>
    </row>
    <row r="49">
      <c r="A49" s="21" t="inlineStr">
        <is>
          <t>50-60</t>
        </is>
      </c>
      <c r="B49" s="22" t="n">
        <v>29104</v>
      </c>
      <c r="C49" s="22" t="n">
        <v>11681</v>
      </c>
      <c r="D49" s="22" t="n">
        <v>17423</v>
      </c>
      <c r="E49" s="22" t="n">
        <v>627</v>
      </c>
      <c r="F49" s="22" t="n">
        <v>547</v>
      </c>
      <c r="G49" s="22" t="n">
        <v>80</v>
      </c>
      <c r="H49" s="22" t="n">
        <v>19559</v>
      </c>
      <c r="I49" s="22" t="n">
        <v>9879</v>
      </c>
      <c r="J49" s="22" t="n">
        <v>9680</v>
      </c>
      <c r="K49" s="22" t="n">
        <v>8711</v>
      </c>
      <c r="L49" s="22" t="n">
        <v>1144</v>
      </c>
      <c r="M49" s="22" t="n">
        <v>7567</v>
      </c>
      <c r="N49" s="22" t="n">
        <v>207</v>
      </c>
      <c r="O49" s="22" t="n">
        <v>111</v>
      </c>
      <c r="P49" s="22" t="n">
        <v>96</v>
      </c>
      <c r="Q49" s="23">
        <f>IF(B49=E49+H49+K49+N49,"✓",B49-(E49+H49+K49+N49))</f>
        <v/>
      </c>
      <c r="R49" s="23">
        <f>IF(B49=C49+D49,"✓","✗")</f>
        <v/>
      </c>
    </row>
    <row r="50">
      <c r="A50" s="24" t="inlineStr">
        <is>
          <t>60 &amp; over</t>
        </is>
      </c>
      <c r="B50" s="25" t="n">
        <v>20090</v>
      </c>
      <c r="C50" s="25" t="n">
        <v>7150</v>
      </c>
      <c r="D50" s="25" t="n">
        <v>12940</v>
      </c>
      <c r="E50" s="25" t="n">
        <v>360</v>
      </c>
      <c r="F50" s="25" t="n">
        <v>326</v>
      </c>
      <c r="G50" s="25" t="n">
        <v>34</v>
      </c>
      <c r="H50" s="25" t="n">
        <v>8821</v>
      </c>
      <c r="I50" s="25" t="n">
        <v>5444</v>
      </c>
      <c r="J50" s="25" t="n">
        <v>3377</v>
      </c>
      <c r="K50" s="25" t="n">
        <v>10735</v>
      </c>
      <c r="L50" s="25" t="n">
        <v>1308</v>
      </c>
      <c r="M50" s="25" t="n">
        <v>9427</v>
      </c>
      <c r="N50" s="25" t="n">
        <v>174</v>
      </c>
      <c r="O50" s="25" t="n">
        <v>72</v>
      </c>
      <c r="P50" s="25" t="n">
        <v>102</v>
      </c>
      <c r="Q50" s="26">
        <f>IF(B50=E50+H50+K50+N50,"✓",B50-(E50+H50+K50+N50))</f>
        <v/>
      </c>
      <c r="R50" s="26">
        <f>IF(B50=C50+D50,"✓","✗")</f>
        <v/>
      </c>
    </row>
    <row r="51">
      <c r="A51" s="21" t="inlineStr">
        <is>
          <t>Total</t>
        </is>
      </c>
      <c r="B51" s="22" t="n">
        <v>418699</v>
      </c>
      <c r="C51" s="22" t="n">
        <v>212496</v>
      </c>
      <c r="D51" s="22" t="n">
        <v>206203</v>
      </c>
      <c r="E51" s="22" t="n">
        <v>137736</v>
      </c>
      <c r="F51" s="22" t="n">
        <v>82034</v>
      </c>
      <c r="G51" s="22" t="n">
        <v>55702</v>
      </c>
      <c r="H51" s="22" t="n">
        <v>243634</v>
      </c>
      <c r="I51" s="22" t="n">
        <v>123817</v>
      </c>
      <c r="J51" s="22" t="n">
        <v>119817</v>
      </c>
      <c r="K51" s="22" t="n">
        <v>35733</v>
      </c>
      <c r="L51" s="22" t="n">
        <v>6057</v>
      </c>
      <c r="M51" s="22" t="n">
        <v>29676</v>
      </c>
      <c r="N51" s="22" t="n">
        <v>1596</v>
      </c>
      <c r="O51" s="22" t="n">
        <v>588</v>
      </c>
      <c r="P51" s="22" t="n">
        <v>1008</v>
      </c>
      <c r="Q51" s="23">
        <f>IF(B51=E51+H51+K51+N51,"✓",B51-(E51+H51+K51+N51))</f>
        <v/>
      </c>
      <c r="R51" s="23">
        <f>IF(B51=C51+D51,"✓","✗")</f>
        <v/>
      </c>
    </row>
    <row r="52">
      <c r="A52" s="27" t="inlineStr">
        <is>
          <t>Verify: Sum</t>
        </is>
      </c>
      <c r="B52" s="28">
        <f>IF(SUM(B41:B51)=B40,"✓",SUM(B41:B51)-B40)</f>
        <v/>
      </c>
      <c r="C52" s="28">
        <f>IF(SUM(C41:C51)=C40,"✓",SUM(C41:C51)-C40)</f>
        <v/>
      </c>
      <c r="D52" s="28">
        <f>IF(SUM(D41:D51)=D40,"✓",SUM(D41:D51)-D40)</f>
        <v/>
      </c>
      <c r="E52" s="28">
        <f>IF(SUM(E41:E51)=E40,"✓",SUM(E41:E51)-E40)</f>
        <v/>
      </c>
      <c r="F52" s="28">
        <f>IF(SUM(F41:F51)=F40,"✓",SUM(F41:F51)-F40)</f>
        <v/>
      </c>
      <c r="G52" s="28">
        <f>IF(SUM(G41:G51)=G40,"✓",SUM(G41:G51)-G40)</f>
        <v/>
      </c>
      <c r="H52" s="28">
        <f>IF(SUM(H41:H51)=H40,"✓",SUM(H41:H51)-H40)</f>
        <v/>
      </c>
      <c r="I52" s="28">
        <f>IF(SUM(I41:I51)=I40,"✓",SUM(I41:I51)-I40)</f>
        <v/>
      </c>
      <c r="J52" s="28">
        <f>IF(SUM(J41:J51)=J40,"✓",SUM(J41:J51)-J40)</f>
        <v/>
      </c>
      <c r="K52" s="28">
        <f>IF(SUM(K41:K51)=K40,"✓",SUM(K41:K51)-K40)</f>
        <v/>
      </c>
      <c r="L52" s="28">
        <f>IF(SUM(L41:L51)=L40,"✓",SUM(L41:L51)-L40)</f>
        <v/>
      </c>
      <c r="M52" s="28">
        <f>IF(SUM(M41:M51)=M40,"✓",SUM(M41:M51)-M40)</f>
        <v/>
      </c>
      <c r="N52" s="28">
        <f>IF(SUM(N41:N51)=N40,"✓",SUM(N41:N51)-N40)</f>
        <v/>
      </c>
      <c r="O52" s="28">
        <f>IF(SUM(O41:O51)=O40,"✓",SUM(O41:O51)-O40)</f>
        <v/>
      </c>
      <c r="P52" s="28">
        <f>IF(SUM(P41:P51)=P40,"✓",SUM(P41:P51)-P40)</f>
        <v/>
      </c>
    </row>
  </sheetData>
  <mergeCells count="15">
    <mergeCell ref="H38:J38"/>
    <mergeCell ref="K38:M38"/>
    <mergeCell ref="N38:P38"/>
    <mergeCell ref="E38:G38"/>
    <mergeCell ref="K4:M4"/>
    <mergeCell ref="B4:D4"/>
    <mergeCell ref="H4:J4"/>
    <mergeCell ref="N21:P21"/>
    <mergeCell ref="K21:M21"/>
    <mergeCell ref="E4:G4"/>
    <mergeCell ref="B21:D21"/>
    <mergeCell ref="N4:P4"/>
    <mergeCell ref="B38:D38"/>
    <mergeCell ref="H21:J21"/>
    <mergeCell ref="E21:G21"/>
  </mergeCells>
  <conditionalFormatting sqref="Q6:Q18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6:R18">
    <cfRule type="cellIs" priority="3" operator="equal" dxfId="0">
      <formula>"✓"</formula>
    </cfRule>
    <cfRule type="cellIs" priority="4" operator="notEqual" dxfId="1">
      <formula>"✓"</formula>
    </cfRule>
  </conditionalFormatting>
  <conditionalFormatting sqref="Q23:Q35">
    <cfRule type="cellIs" priority="5" operator="equal" dxfId="0">
      <formula>"✓"</formula>
    </cfRule>
    <cfRule type="cellIs" priority="6" operator="notEqual" dxfId="1">
      <formula>"✓"</formula>
    </cfRule>
  </conditionalFormatting>
  <conditionalFormatting sqref="R23:R35">
    <cfRule type="cellIs" priority="7" operator="equal" dxfId="0">
      <formula>"✓"</formula>
    </cfRule>
    <cfRule type="cellIs" priority="8" operator="notEqual" dxfId="1">
      <formula>"✓"</formula>
    </cfRule>
  </conditionalFormatting>
  <conditionalFormatting sqref="Q40:Q52">
    <cfRule type="cellIs" priority="9" operator="equal" dxfId="0">
      <formula>"✓"</formula>
    </cfRule>
    <cfRule type="cellIs" priority="10" operator="notEqual" dxfId="1">
      <formula>"✓"</formula>
    </cfRule>
  </conditionalFormatting>
  <conditionalFormatting sqref="R40:R52">
    <cfRule type="cellIs" priority="11" operator="equal" dxfId="0">
      <formula>"✓"</formula>
    </cfRule>
    <cfRule type="cellIs" priority="1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Srl. Communities No. and Age</t>
        </is>
      </c>
    </row>
    <row r="2">
      <c r="A2" s="3" t="inlineStr">
        <is>
          <t>1. ALL COMMUNITIES.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1647244</v>
      </c>
      <c r="C5" s="19" t="n">
        <v>833926</v>
      </c>
      <c r="D5" s="19" t="n">
        <v>813318</v>
      </c>
      <c r="E5" s="19" t="n">
        <v>579296</v>
      </c>
      <c r="F5" s="19" t="n">
        <v>330098</v>
      </c>
      <c r="G5" s="19" t="n">
        <v>249198</v>
      </c>
      <c r="H5" s="19" t="n">
        <v>909452</v>
      </c>
      <c r="I5" s="19" t="n">
        <v>463936</v>
      </c>
      <c r="J5" s="19" t="n">
        <v>445516</v>
      </c>
      <c r="K5" s="19" t="n">
        <v>147698</v>
      </c>
      <c r="L5" s="19" t="n">
        <v>35878</v>
      </c>
      <c r="M5" s="19" t="n">
        <v>111820</v>
      </c>
      <c r="N5" s="19" t="n">
        <v>10798</v>
      </c>
      <c r="O5" s="19" t="n">
        <v>4014</v>
      </c>
      <c r="P5" s="19" t="n">
        <v>6784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0-1</t>
        </is>
      </c>
      <c r="B6" s="22" t="n">
        <v>28785</v>
      </c>
      <c r="C6" s="22" t="n">
        <v>13661</v>
      </c>
      <c r="D6" s="22" t="n">
        <v>15124</v>
      </c>
      <c r="E6" s="22" t="n">
        <v>28480</v>
      </c>
      <c r="F6" s="22" t="n">
        <v>13534</v>
      </c>
      <c r="G6" s="22" t="n">
        <v>14946</v>
      </c>
      <c r="H6" s="22" t="n">
        <v>279</v>
      </c>
      <c r="I6" s="22" t="n">
        <v>122</v>
      </c>
      <c r="J6" s="22" t="n">
        <v>157</v>
      </c>
      <c r="K6" s="22" t="n">
        <v>26</v>
      </c>
      <c r="L6" s="22" t="n">
        <v>5</v>
      </c>
      <c r="M6" s="22" t="n">
        <v>21</v>
      </c>
      <c r="N6" s="22" t="n">
        <v>0</v>
      </c>
      <c r="O6" s="22" t="n">
        <v>0</v>
      </c>
      <c r="P6" s="22" t="n">
        <v>0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1-5</t>
        </is>
      </c>
      <c r="B7" s="25" t="n">
        <v>109003</v>
      </c>
      <c r="C7" s="25" t="n">
        <v>49712</v>
      </c>
      <c r="D7" s="25" t="n">
        <v>59291</v>
      </c>
      <c r="E7" s="25" t="n">
        <v>102530</v>
      </c>
      <c r="F7" s="25" t="n">
        <v>47678</v>
      </c>
      <c r="G7" s="25" t="n">
        <v>54852</v>
      </c>
      <c r="H7" s="25" t="n">
        <v>6018</v>
      </c>
      <c r="I7" s="25" t="n">
        <v>1848</v>
      </c>
      <c r="J7" s="25" t="n">
        <v>4170</v>
      </c>
      <c r="K7" s="25" t="n">
        <v>453</v>
      </c>
      <c r="L7" s="25" t="n">
        <v>185</v>
      </c>
      <c r="M7" s="25" t="n">
        <v>268</v>
      </c>
      <c r="N7" s="25" t="n">
        <v>2</v>
      </c>
      <c r="O7" s="25" t="n">
        <v>1</v>
      </c>
      <c r="P7" s="25" t="n">
        <v>1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5-10</t>
        </is>
      </c>
      <c r="B8" s="22" t="n">
        <v>94692</v>
      </c>
      <c r="C8" s="22" t="n">
        <v>52525</v>
      </c>
      <c r="D8" s="22" t="n">
        <v>42167</v>
      </c>
      <c r="E8" s="22" t="n">
        <v>74204</v>
      </c>
      <c r="F8" s="22" t="n">
        <v>44027</v>
      </c>
      <c r="G8" s="22" t="n">
        <v>30177</v>
      </c>
      <c r="H8" s="22" t="n">
        <v>19843</v>
      </c>
      <c r="I8" s="22" t="n">
        <v>8307</v>
      </c>
      <c r="J8" s="22" t="n">
        <v>11536</v>
      </c>
      <c r="K8" s="22" t="n">
        <v>627</v>
      </c>
      <c r="L8" s="22" t="n">
        <v>189</v>
      </c>
      <c r="M8" s="22" t="n">
        <v>438</v>
      </c>
      <c r="N8" s="22" t="n">
        <v>18</v>
      </c>
      <c r="O8" s="22" t="n">
        <v>2</v>
      </c>
      <c r="P8" s="22" t="n">
        <v>16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10-15</t>
        </is>
      </c>
      <c r="B9" s="25" t="n">
        <v>84217</v>
      </c>
      <c r="C9" s="25" t="n">
        <v>44726</v>
      </c>
      <c r="D9" s="25" t="n">
        <v>39491</v>
      </c>
      <c r="E9" s="25" t="n">
        <v>44364</v>
      </c>
      <c r="F9" s="25" t="n">
        <v>28456</v>
      </c>
      <c r="G9" s="25" t="n">
        <v>15908</v>
      </c>
      <c r="H9" s="25" t="n">
        <v>38502</v>
      </c>
      <c r="I9" s="25" t="n">
        <v>15948</v>
      </c>
      <c r="J9" s="25" t="n">
        <v>22554</v>
      </c>
      <c r="K9" s="25" t="n">
        <v>1236</v>
      </c>
      <c r="L9" s="25" t="n">
        <v>293</v>
      </c>
      <c r="M9" s="25" t="n">
        <v>943</v>
      </c>
      <c r="N9" s="25" t="n">
        <v>115</v>
      </c>
      <c r="O9" s="25" t="n">
        <v>29</v>
      </c>
      <c r="P9" s="25" t="n">
        <v>86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15-20</t>
        </is>
      </c>
      <c r="B10" s="22" t="n">
        <v>67686</v>
      </c>
      <c r="C10" s="22" t="n">
        <v>33046</v>
      </c>
      <c r="D10" s="22" t="n">
        <v>34640</v>
      </c>
      <c r="E10" s="22" t="n">
        <v>17657</v>
      </c>
      <c r="F10" s="22" t="n">
        <v>12812</v>
      </c>
      <c r="G10" s="22" t="n">
        <v>4845</v>
      </c>
      <c r="H10" s="22" t="n">
        <v>47744</v>
      </c>
      <c r="I10" s="22" t="n">
        <v>19874</v>
      </c>
      <c r="J10" s="22" t="n">
        <v>27870</v>
      </c>
      <c r="K10" s="22" t="n">
        <v>2018</v>
      </c>
      <c r="L10" s="22" t="n">
        <v>288</v>
      </c>
      <c r="M10" s="22" t="n">
        <v>1730</v>
      </c>
      <c r="N10" s="22" t="n">
        <v>267</v>
      </c>
      <c r="O10" s="22" t="n">
        <v>72</v>
      </c>
      <c r="P10" s="22" t="n">
        <v>195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20-30</t>
        </is>
      </c>
      <c r="B11" s="25" t="n">
        <v>154493</v>
      </c>
      <c r="C11" s="25" t="n">
        <v>81404</v>
      </c>
      <c r="D11" s="25" t="n">
        <v>73089</v>
      </c>
      <c r="E11" s="25" t="n">
        <v>12655</v>
      </c>
      <c r="F11" s="25" t="n">
        <v>10587</v>
      </c>
      <c r="G11" s="25" t="n">
        <v>2068</v>
      </c>
      <c r="H11" s="25" t="n">
        <v>133521</v>
      </c>
      <c r="I11" s="25" t="n">
        <v>68106</v>
      </c>
      <c r="J11" s="25" t="n">
        <v>65415</v>
      </c>
      <c r="K11" s="25" t="n">
        <v>7356</v>
      </c>
      <c r="L11" s="25" t="n">
        <v>2296</v>
      </c>
      <c r="M11" s="25" t="n">
        <v>5060</v>
      </c>
      <c r="N11" s="25" t="n">
        <v>961</v>
      </c>
      <c r="O11" s="25" t="n">
        <v>415</v>
      </c>
      <c r="P11" s="25" t="n">
        <v>546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30-40</t>
        </is>
      </c>
      <c r="B12" s="22" t="n">
        <v>110303</v>
      </c>
      <c r="C12" s="22" t="n">
        <v>58940</v>
      </c>
      <c r="D12" s="22" t="n">
        <v>51363</v>
      </c>
      <c r="E12" s="22" t="n">
        <v>4649</v>
      </c>
      <c r="F12" s="22" t="n">
        <v>3693</v>
      </c>
      <c r="G12" s="22" t="n">
        <v>956</v>
      </c>
      <c r="H12" s="22" t="n">
        <v>94421</v>
      </c>
      <c r="I12" s="22" t="n">
        <v>51963</v>
      </c>
      <c r="J12" s="22" t="n">
        <v>42458</v>
      </c>
      <c r="K12" s="22" t="n">
        <v>10172</v>
      </c>
      <c r="L12" s="22" t="n">
        <v>2875</v>
      </c>
      <c r="M12" s="22" t="n">
        <v>7297</v>
      </c>
      <c r="N12" s="22" t="n">
        <v>1061</v>
      </c>
      <c r="O12" s="22" t="n">
        <v>409</v>
      </c>
      <c r="P12" s="22" t="n">
        <v>652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40-50</t>
        </is>
      </c>
      <c r="B13" s="25" t="n">
        <v>78174</v>
      </c>
      <c r="C13" s="25" t="n">
        <v>43045</v>
      </c>
      <c r="D13" s="25" t="n">
        <v>35129</v>
      </c>
      <c r="E13" s="25" t="n">
        <v>2945</v>
      </c>
      <c r="F13" s="25" t="n">
        <v>2562</v>
      </c>
      <c r="G13" s="25" t="n">
        <v>383</v>
      </c>
      <c r="H13" s="25" t="n">
        <v>61729</v>
      </c>
      <c r="I13" s="25" t="n">
        <v>36328</v>
      </c>
      <c r="J13" s="25" t="n">
        <v>25401</v>
      </c>
      <c r="K13" s="25" t="n">
        <v>12277</v>
      </c>
      <c r="L13" s="25" t="n">
        <v>3666</v>
      </c>
      <c r="M13" s="25" t="n">
        <v>8611</v>
      </c>
      <c r="N13" s="25" t="n">
        <v>1223</v>
      </c>
      <c r="O13" s="25" t="n">
        <v>489</v>
      </c>
      <c r="P13" s="25" t="n">
        <v>734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50-60</t>
        </is>
      </c>
      <c r="B14" s="22" t="n">
        <v>57438</v>
      </c>
      <c r="C14" s="22" t="n">
        <v>24718</v>
      </c>
      <c r="D14" s="22" t="n">
        <v>32720</v>
      </c>
      <c r="E14" s="22" t="n">
        <v>1346</v>
      </c>
      <c r="F14" s="22" t="n">
        <v>1083</v>
      </c>
      <c r="G14" s="22" t="n">
        <v>263</v>
      </c>
      <c r="H14" s="22" t="n">
        <v>35830</v>
      </c>
      <c r="I14" s="22" t="n">
        <v>19248</v>
      </c>
      <c r="J14" s="22" t="n">
        <v>16582</v>
      </c>
      <c r="K14" s="22" t="n">
        <v>19278</v>
      </c>
      <c r="L14" s="22" t="n">
        <v>4016</v>
      </c>
      <c r="M14" s="22" t="n">
        <v>15262</v>
      </c>
      <c r="N14" s="22" t="n">
        <v>984</v>
      </c>
      <c r="O14" s="22" t="n">
        <v>371</v>
      </c>
      <c r="P14" s="22" t="n">
        <v>613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60 &amp; over</t>
        </is>
      </c>
      <c r="B15" s="25" t="n">
        <v>38831</v>
      </c>
      <c r="C15" s="25" t="n">
        <v>15186</v>
      </c>
      <c r="D15" s="25" t="n">
        <v>23645</v>
      </c>
      <c r="E15" s="25" t="n">
        <v>818</v>
      </c>
      <c r="F15" s="25" t="n">
        <v>617</v>
      </c>
      <c r="G15" s="25" t="n">
        <v>201</v>
      </c>
      <c r="H15" s="25" t="n">
        <v>16839</v>
      </c>
      <c r="I15" s="25" t="n">
        <v>10224</v>
      </c>
      <c r="J15" s="25" t="n">
        <v>6615</v>
      </c>
      <c r="K15" s="25" t="n">
        <v>20406</v>
      </c>
      <c r="L15" s="25" t="n">
        <v>4126</v>
      </c>
      <c r="M15" s="25" t="n">
        <v>16280</v>
      </c>
      <c r="N15" s="25" t="n">
        <v>768</v>
      </c>
      <c r="O15" s="25" t="n">
        <v>219</v>
      </c>
      <c r="P15" s="25" t="n">
        <v>549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Total</t>
        </is>
      </c>
      <c r="B16" s="22" t="n">
        <v>823622</v>
      </c>
      <c r="C16" s="22" t="n">
        <v>416963</v>
      </c>
      <c r="D16" s="22" t="n">
        <v>406659</v>
      </c>
      <c r="E16" s="22" t="n">
        <v>289648</v>
      </c>
      <c r="F16" s="22" t="n">
        <v>165049</v>
      </c>
      <c r="G16" s="22" t="n">
        <v>124599</v>
      </c>
      <c r="H16" s="22" t="n">
        <v>454726</v>
      </c>
      <c r="I16" s="22" t="n">
        <v>231968</v>
      </c>
      <c r="J16" s="22" t="n">
        <v>222758</v>
      </c>
      <c r="K16" s="22" t="n">
        <v>73849</v>
      </c>
      <c r="L16" s="22" t="n">
        <v>17939</v>
      </c>
      <c r="M16" s="22" t="n">
        <v>55910</v>
      </c>
      <c r="N16" s="22" t="n">
        <v>5399</v>
      </c>
      <c r="O16" s="22" t="n">
        <v>2007</v>
      </c>
      <c r="P16" s="22" t="n">
        <v>3392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Srl. Communities No. and Age</t>
        </is>
      </c>
    </row>
    <row r="2">
      <c r="A2" s="3" t="inlineStr">
        <is>
          <t>2. Brahmanic Hindus.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25616</v>
      </c>
      <c r="C5" s="19" t="n">
        <v>11834</v>
      </c>
      <c r="D5" s="19" t="n">
        <v>13782</v>
      </c>
      <c r="E5" s="19" t="n">
        <v>12052</v>
      </c>
      <c r="F5" s="19" t="n">
        <v>5754</v>
      </c>
      <c r="G5" s="19" t="n">
        <v>6298</v>
      </c>
      <c r="H5" s="19" t="n">
        <v>11972</v>
      </c>
      <c r="I5" s="19" t="n">
        <v>5826</v>
      </c>
      <c r="J5" s="19" t="n">
        <v>6146</v>
      </c>
      <c r="K5" s="19" t="n">
        <v>1546</v>
      </c>
      <c r="L5" s="19" t="n">
        <v>230</v>
      </c>
      <c r="M5" s="19" t="n">
        <v>1316</v>
      </c>
      <c r="N5" s="19" t="n">
        <v>46</v>
      </c>
      <c r="O5" s="19" t="n">
        <v>24</v>
      </c>
      <c r="P5" s="19" t="n">
        <v>22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0-1</t>
        </is>
      </c>
      <c r="B6" s="22" t="n">
        <v>519</v>
      </c>
      <c r="C6" s="22" t="n">
        <v>244</v>
      </c>
      <c r="D6" s="22" t="n">
        <v>275</v>
      </c>
      <c r="E6" s="22" t="n">
        <v>517</v>
      </c>
      <c r="F6" s="22" t="n">
        <v>243</v>
      </c>
      <c r="G6" s="22" t="n">
        <v>274</v>
      </c>
      <c r="H6" s="22" t="n">
        <v>2</v>
      </c>
      <c r="I6" s="22" t="n">
        <v>1</v>
      </c>
      <c r="J6" s="22" t="n">
        <v>1</v>
      </c>
      <c r="K6" s="22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1-5</t>
        </is>
      </c>
      <c r="B7" s="25" t="n">
        <v>1886</v>
      </c>
      <c r="C7" s="25" t="n">
        <v>866</v>
      </c>
      <c r="D7" s="25" t="n">
        <v>1020</v>
      </c>
      <c r="E7" s="25" t="n">
        <v>1857</v>
      </c>
      <c r="F7" s="25" t="n">
        <v>860</v>
      </c>
      <c r="G7" s="25" t="n">
        <v>997</v>
      </c>
      <c r="H7" s="25" t="n">
        <v>27</v>
      </c>
      <c r="I7" s="25" t="n">
        <v>6</v>
      </c>
      <c r="J7" s="25" t="n">
        <v>21</v>
      </c>
      <c r="K7" s="25" t="n">
        <v>2</v>
      </c>
      <c r="L7" s="25" t="n">
        <v>0</v>
      </c>
      <c r="M7" s="25" t="n">
        <v>2</v>
      </c>
      <c r="N7" s="25" t="n">
        <v>0</v>
      </c>
      <c r="O7" s="25" t="n">
        <v>0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5-10</t>
        </is>
      </c>
      <c r="B8" s="22" t="n">
        <v>1726</v>
      </c>
      <c r="C8" s="22" t="n">
        <v>660</v>
      </c>
      <c r="D8" s="22" t="n">
        <v>1066</v>
      </c>
      <c r="E8" s="22" t="n">
        <v>1551</v>
      </c>
      <c r="F8" s="22" t="n">
        <v>640</v>
      </c>
      <c r="G8" s="22" t="n">
        <v>911</v>
      </c>
      <c r="H8" s="22" t="n">
        <v>172</v>
      </c>
      <c r="I8" s="22" t="n">
        <v>20</v>
      </c>
      <c r="J8" s="22" t="n">
        <v>152</v>
      </c>
      <c r="K8" s="22" t="n">
        <v>2</v>
      </c>
      <c r="L8" s="22" t="n">
        <v>0</v>
      </c>
      <c r="M8" s="22" t="n">
        <v>2</v>
      </c>
      <c r="N8" s="22" t="n">
        <v>1</v>
      </c>
      <c r="O8" s="22" t="n">
        <v>0</v>
      </c>
      <c r="P8" s="22" t="n">
        <v>1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10-15</t>
        </is>
      </c>
      <c r="B9" s="25" t="n">
        <v>1711</v>
      </c>
      <c r="C9" s="25" t="n">
        <v>599</v>
      </c>
      <c r="D9" s="25" t="n">
        <v>1112</v>
      </c>
      <c r="E9" s="25" t="n">
        <v>1188</v>
      </c>
      <c r="F9" s="25" t="n">
        <v>516</v>
      </c>
      <c r="G9" s="25" t="n">
        <v>672</v>
      </c>
      <c r="H9" s="25" t="n">
        <v>515</v>
      </c>
      <c r="I9" s="25" t="n">
        <v>82</v>
      </c>
      <c r="J9" s="25" t="n">
        <v>433</v>
      </c>
      <c r="K9" s="25" t="n">
        <v>7</v>
      </c>
      <c r="L9" s="25" t="n">
        <v>1</v>
      </c>
      <c r="M9" s="25" t="n">
        <v>6</v>
      </c>
      <c r="N9" s="25" t="n">
        <v>1</v>
      </c>
      <c r="O9" s="25" t="n">
        <v>0</v>
      </c>
      <c r="P9" s="25" t="n">
        <v>1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15-20</t>
        </is>
      </c>
      <c r="B10" s="22" t="n">
        <v>1265</v>
      </c>
      <c r="C10" s="22" t="n">
        <v>489</v>
      </c>
      <c r="D10" s="22" t="n">
        <v>776</v>
      </c>
      <c r="E10" s="22" t="n">
        <v>610</v>
      </c>
      <c r="F10" s="22" t="n">
        <v>349</v>
      </c>
      <c r="G10" s="22" t="n">
        <v>261</v>
      </c>
      <c r="H10" s="22" t="n">
        <v>639</v>
      </c>
      <c r="I10" s="22" t="n">
        <v>140</v>
      </c>
      <c r="J10" s="22" t="n">
        <v>499</v>
      </c>
      <c r="K10" s="22" t="n">
        <v>16</v>
      </c>
      <c r="L10" s="22" t="n">
        <v>0</v>
      </c>
      <c r="M10" s="22" t="n">
        <v>16</v>
      </c>
      <c r="N10" s="22" t="n">
        <v>0</v>
      </c>
      <c r="O10" s="22" t="n">
        <v>0</v>
      </c>
      <c r="P10" s="22" t="n">
        <v>0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20-30</t>
        </is>
      </c>
      <c r="B11" s="25" t="n">
        <v>2497</v>
      </c>
      <c r="C11" s="25" t="n">
        <v>1373</v>
      </c>
      <c r="D11" s="25" t="n">
        <v>1124</v>
      </c>
      <c r="E11" s="25" t="n">
        <v>238</v>
      </c>
      <c r="F11" s="25" t="n">
        <v>207</v>
      </c>
      <c r="G11" s="25" t="n">
        <v>31</v>
      </c>
      <c r="H11" s="25" t="n">
        <v>2155</v>
      </c>
      <c r="I11" s="25" t="n">
        <v>1155</v>
      </c>
      <c r="J11" s="25" t="n">
        <v>1000</v>
      </c>
      <c r="K11" s="25" t="n">
        <v>101</v>
      </c>
      <c r="L11" s="25" t="n">
        <v>9</v>
      </c>
      <c r="M11" s="25" t="n">
        <v>92</v>
      </c>
      <c r="N11" s="25" t="n">
        <v>3</v>
      </c>
      <c r="O11" s="25" t="n">
        <v>2</v>
      </c>
      <c r="P11" s="25" t="n">
        <v>1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30-40</t>
        </is>
      </c>
      <c r="B12" s="22" t="n">
        <v>1602</v>
      </c>
      <c r="C12" s="22" t="n">
        <v>832</v>
      </c>
      <c r="D12" s="22" t="n">
        <v>770</v>
      </c>
      <c r="E12" s="22" t="n">
        <v>31</v>
      </c>
      <c r="F12" s="22" t="n">
        <v>29</v>
      </c>
      <c r="G12" s="22" t="n">
        <v>2</v>
      </c>
      <c r="H12" s="22" t="n">
        <v>1408</v>
      </c>
      <c r="I12" s="22" t="n">
        <v>780</v>
      </c>
      <c r="J12" s="22" t="n">
        <v>628</v>
      </c>
      <c r="K12" s="22" t="n">
        <v>158</v>
      </c>
      <c r="L12" s="22" t="n">
        <v>20</v>
      </c>
      <c r="M12" s="22" t="n">
        <v>138</v>
      </c>
      <c r="N12" s="22" t="n">
        <v>5</v>
      </c>
      <c r="O12" s="22" t="n">
        <v>3</v>
      </c>
      <c r="P12" s="22" t="n">
        <v>2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40-50</t>
        </is>
      </c>
      <c r="B13" s="25" t="n">
        <v>834</v>
      </c>
      <c r="C13" s="25" t="n">
        <v>481</v>
      </c>
      <c r="D13" s="25" t="n">
        <v>353</v>
      </c>
      <c r="E13" s="25" t="n">
        <v>18</v>
      </c>
      <c r="F13" s="25" t="n">
        <v>17</v>
      </c>
      <c r="G13" s="25" t="n">
        <v>1</v>
      </c>
      <c r="H13" s="25" t="n">
        <v>633</v>
      </c>
      <c r="I13" s="25" t="n">
        <v>431</v>
      </c>
      <c r="J13" s="25" t="n">
        <v>202</v>
      </c>
      <c r="K13" s="25" t="n">
        <v>182</v>
      </c>
      <c r="L13" s="25" t="n">
        <v>32</v>
      </c>
      <c r="M13" s="25" t="n">
        <v>150</v>
      </c>
      <c r="N13" s="25" t="n">
        <v>1</v>
      </c>
      <c r="O13" s="25" t="n">
        <v>1</v>
      </c>
      <c r="P13" s="25" t="n">
        <v>0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50-60</t>
        </is>
      </c>
      <c r="B14" s="22" t="n">
        <v>443</v>
      </c>
      <c r="C14" s="22" t="n">
        <v>221</v>
      </c>
      <c r="D14" s="22" t="n">
        <v>222</v>
      </c>
      <c r="E14" s="22" t="n">
        <v>11</v>
      </c>
      <c r="F14" s="22" t="n">
        <v>11</v>
      </c>
      <c r="G14" s="22" t="n">
        <v>0</v>
      </c>
      <c r="H14" s="22" t="n">
        <v>272</v>
      </c>
      <c r="I14" s="22" t="n">
        <v>179</v>
      </c>
      <c r="J14" s="22" t="n">
        <v>93</v>
      </c>
      <c r="K14" s="22" t="n">
        <v>155</v>
      </c>
      <c r="L14" s="22" t="n">
        <v>30</v>
      </c>
      <c r="M14" s="22" t="n">
        <v>125</v>
      </c>
      <c r="N14" s="22" t="n">
        <v>5</v>
      </c>
      <c r="O14" s="22" t="n">
        <v>1</v>
      </c>
      <c r="P14" s="22" t="n">
        <v>4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60 &amp; over</t>
        </is>
      </c>
      <c r="B15" s="25" t="n">
        <v>325</v>
      </c>
      <c r="C15" s="25" t="n">
        <v>152</v>
      </c>
      <c r="D15" s="25" t="n">
        <v>173</v>
      </c>
      <c r="E15" s="25" t="n">
        <v>5</v>
      </c>
      <c r="F15" s="25" t="n">
        <v>5</v>
      </c>
      <c r="G15" s="25" t="n">
        <v>0</v>
      </c>
      <c r="H15" s="25" t="n">
        <v>163</v>
      </c>
      <c r="I15" s="25" t="n">
        <v>119</v>
      </c>
      <c r="J15" s="25" t="n">
        <v>44</v>
      </c>
      <c r="K15" s="25" t="n">
        <v>150</v>
      </c>
      <c r="L15" s="25" t="n">
        <v>23</v>
      </c>
      <c r="M15" s="25" t="n">
        <v>127</v>
      </c>
      <c r="N15" s="25" t="n">
        <v>7</v>
      </c>
      <c r="O15" s="25" t="n">
        <v>5</v>
      </c>
      <c r="P15" s="25" t="n">
        <v>2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Total</t>
        </is>
      </c>
      <c r="B16" s="22" t="n">
        <v>12808</v>
      </c>
      <c r="C16" s="22" t="n">
        <v>5917</v>
      </c>
      <c r="D16" s="22" t="n">
        <v>6891</v>
      </c>
      <c r="E16" s="22" t="n">
        <v>6026</v>
      </c>
      <c r="F16" s="22" t="n">
        <v>2877</v>
      </c>
      <c r="G16" s="22" t="n">
        <v>3149</v>
      </c>
      <c r="H16" s="22" t="n">
        <v>5986</v>
      </c>
      <c r="I16" s="22" t="n">
        <v>2913</v>
      </c>
      <c r="J16" s="22" t="n">
        <v>3073</v>
      </c>
      <c r="K16" s="22" t="n">
        <v>773</v>
      </c>
      <c r="L16" s="22" t="n">
        <v>115</v>
      </c>
      <c r="M16" s="22" t="n">
        <v>658</v>
      </c>
      <c r="N16" s="22" t="n">
        <v>23</v>
      </c>
      <c r="O16" s="22" t="n">
        <v>12</v>
      </c>
      <c r="P16" s="22" t="n">
        <v>11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Srl. Communities No. and Age</t>
        </is>
      </c>
    </row>
    <row r="2">
      <c r="A2" s="3" t="inlineStr">
        <is>
          <t>3. Other Hindus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837398</v>
      </c>
      <c r="C5" s="19" t="n">
        <v>424992</v>
      </c>
      <c r="D5" s="19" t="n">
        <v>412406</v>
      </c>
      <c r="E5" s="19" t="n">
        <v>275472</v>
      </c>
      <c r="F5" s="19" t="n">
        <v>164068</v>
      </c>
      <c r="G5" s="19" t="n">
        <v>111404</v>
      </c>
      <c r="H5" s="19" t="n">
        <v>487268</v>
      </c>
      <c r="I5" s="19" t="n">
        <v>247634</v>
      </c>
      <c r="J5" s="19" t="n">
        <v>239634</v>
      </c>
      <c r="K5" s="19" t="n">
        <v>71466</v>
      </c>
      <c r="L5" s="19" t="n">
        <v>12114</v>
      </c>
      <c r="M5" s="19" t="n">
        <v>59352</v>
      </c>
      <c r="N5" s="19" t="n">
        <v>3192</v>
      </c>
      <c r="O5" s="19" t="n">
        <v>1176</v>
      </c>
      <c r="P5" s="19" t="n">
        <v>2016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0-1</t>
        </is>
      </c>
      <c r="B6" s="22" t="n">
        <v>14192</v>
      </c>
      <c r="C6" s="22" t="n">
        <v>7370</v>
      </c>
      <c r="D6" s="22" t="n">
        <v>6822</v>
      </c>
      <c r="E6" s="22" t="n">
        <v>14084</v>
      </c>
      <c r="F6" s="22" t="n">
        <v>7322</v>
      </c>
      <c r="G6" s="22" t="n">
        <v>6762</v>
      </c>
      <c r="H6" s="22" t="n">
        <v>108</v>
      </c>
      <c r="I6" s="22" t="n">
        <v>48</v>
      </c>
      <c r="J6" s="22" t="n">
        <v>60</v>
      </c>
      <c r="K6" s="22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1-5</t>
        </is>
      </c>
      <c r="B7" s="25" t="n">
        <v>52674</v>
      </c>
      <c r="C7" s="25" t="n">
        <v>23525</v>
      </c>
      <c r="D7" s="25" t="n">
        <v>29149</v>
      </c>
      <c r="E7" s="25" t="n">
        <v>49305</v>
      </c>
      <c r="F7" s="25" t="n">
        <v>22701</v>
      </c>
      <c r="G7" s="25" t="n">
        <v>26604</v>
      </c>
      <c r="H7" s="25" t="n">
        <v>3082</v>
      </c>
      <c r="I7" s="25" t="n">
        <v>700</v>
      </c>
      <c r="J7" s="25" t="n">
        <v>2382</v>
      </c>
      <c r="K7" s="25" t="n">
        <v>286</v>
      </c>
      <c r="L7" s="25" t="n">
        <v>123</v>
      </c>
      <c r="M7" s="25" t="n">
        <v>163</v>
      </c>
      <c r="N7" s="25" t="n">
        <v>1</v>
      </c>
      <c r="O7" s="25" t="n">
        <v>1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5-10</t>
        </is>
      </c>
      <c r="B8" s="22" t="n">
        <v>49312</v>
      </c>
      <c r="C8" s="22" t="n">
        <v>30223</v>
      </c>
      <c r="D8" s="22" t="n">
        <v>19089</v>
      </c>
      <c r="E8" s="22" t="n">
        <v>37054</v>
      </c>
      <c r="F8" s="22" t="n">
        <v>24822</v>
      </c>
      <c r="G8" s="22" t="n">
        <v>12232</v>
      </c>
      <c r="H8" s="22" t="n">
        <v>11856</v>
      </c>
      <c r="I8" s="22" t="n">
        <v>5271</v>
      </c>
      <c r="J8" s="22" t="n">
        <v>6585</v>
      </c>
      <c r="K8" s="22" t="n">
        <v>389</v>
      </c>
      <c r="L8" s="22" t="n">
        <v>128</v>
      </c>
      <c r="M8" s="22" t="n">
        <v>261</v>
      </c>
      <c r="N8" s="22" t="n">
        <v>13</v>
      </c>
      <c r="O8" s="22" t="n">
        <v>2</v>
      </c>
      <c r="P8" s="22" t="n">
        <v>11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10-15</t>
        </is>
      </c>
      <c r="B9" s="25" t="n">
        <v>44426</v>
      </c>
      <c r="C9" s="25" t="n">
        <v>24079</v>
      </c>
      <c r="D9" s="25" t="n">
        <v>20347</v>
      </c>
      <c r="E9" s="25" t="n">
        <v>19398</v>
      </c>
      <c r="F9" s="25" t="n">
        <v>13463</v>
      </c>
      <c r="G9" s="25" t="n">
        <v>5935</v>
      </c>
      <c r="H9" s="25" t="n">
        <v>24159</v>
      </c>
      <c r="I9" s="25" t="n">
        <v>10418</v>
      </c>
      <c r="J9" s="25" t="n">
        <v>13741</v>
      </c>
      <c r="K9" s="25" t="n">
        <v>814</v>
      </c>
      <c r="L9" s="25" t="n">
        <v>186</v>
      </c>
      <c r="M9" s="25" t="n">
        <v>628</v>
      </c>
      <c r="N9" s="25" t="n">
        <v>55</v>
      </c>
      <c r="O9" s="25" t="n">
        <v>12</v>
      </c>
      <c r="P9" s="25" t="n">
        <v>43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15-20</t>
        </is>
      </c>
      <c r="B10" s="22" t="n">
        <v>32835</v>
      </c>
      <c r="C10" s="22" t="n">
        <v>15021</v>
      </c>
      <c r="D10" s="22" t="n">
        <v>17814</v>
      </c>
      <c r="E10" s="22" t="n">
        <v>6910</v>
      </c>
      <c r="F10" s="22" t="n">
        <v>4224</v>
      </c>
      <c r="G10" s="22" t="n">
        <v>2686</v>
      </c>
      <c r="H10" s="22" t="n">
        <v>24633</v>
      </c>
      <c r="I10" s="22" t="n">
        <v>10629</v>
      </c>
      <c r="J10" s="22" t="n">
        <v>14004</v>
      </c>
      <c r="K10" s="22" t="n">
        <v>1149</v>
      </c>
      <c r="L10" s="22" t="n">
        <v>131</v>
      </c>
      <c r="M10" s="22" t="n">
        <v>1018</v>
      </c>
      <c r="N10" s="22" t="n">
        <v>143</v>
      </c>
      <c r="O10" s="22" t="n">
        <v>37</v>
      </c>
      <c r="P10" s="22" t="n">
        <v>106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20-30</t>
        </is>
      </c>
      <c r="B11" s="25" t="n">
        <v>83500</v>
      </c>
      <c r="C11" s="25" t="n">
        <v>43467</v>
      </c>
      <c r="D11" s="25" t="n">
        <v>40033</v>
      </c>
      <c r="E11" s="25" t="n">
        <v>5433</v>
      </c>
      <c r="F11" s="25" t="n">
        <v>4623</v>
      </c>
      <c r="G11" s="25" t="n">
        <v>810</v>
      </c>
      <c r="H11" s="25" t="n">
        <v>74340</v>
      </c>
      <c r="I11" s="25" t="n">
        <v>37937</v>
      </c>
      <c r="J11" s="25" t="n">
        <v>36403</v>
      </c>
      <c r="K11" s="25" t="n">
        <v>3341</v>
      </c>
      <c r="L11" s="25" t="n">
        <v>783</v>
      </c>
      <c r="M11" s="25" t="n">
        <v>2558</v>
      </c>
      <c r="N11" s="25" t="n">
        <v>386</v>
      </c>
      <c r="O11" s="25" t="n">
        <v>124</v>
      </c>
      <c r="P11" s="25" t="n">
        <v>262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30-40</t>
        </is>
      </c>
      <c r="B12" s="22" t="n">
        <v>55109</v>
      </c>
      <c r="C12" s="22" t="n">
        <v>29079</v>
      </c>
      <c r="D12" s="22" t="n">
        <v>26030</v>
      </c>
      <c r="E12" s="22" t="n">
        <v>2761</v>
      </c>
      <c r="F12" s="22" t="n">
        <v>2346</v>
      </c>
      <c r="G12" s="22" t="n">
        <v>415</v>
      </c>
      <c r="H12" s="22" t="n">
        <v>46885</v>
      </c>
      <c r="I12" s="22" t="n">
        <v>25593</v>
      </c>
      <c r="J12" s="22" t="n">
        <v>21292</v>
      </c>
      <c r="K12" s="22" t="n">
        <v>5114</v>
      </c>
      <c r="L12" s="22" t="n">
        <v>1021</v>
      </c>
      <c r="M12" s="22" t="n">
        <v>4093</v>
      </c>
      <c r="N12" s="22" t="n">
        <v>349</v>
      </c>
      <c r="O12" s="22" t="n">
        <v>119</v>
      </c>
      <c r="P12" s="22" t="n">
        <v>230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40-50</t>
        </is>
      </c>
      <c r="B13" s="25" t="n">
        <v>37457</v>
      </c>
      <c r="C13" s="25" t="n">
        <v>20901</v>
      </c>
      <c r="D13" s="25" t="n">
        <v>16556</v>
      </c>
      <c r="E13" s="25" t="n">
        <v>1804</v>
      </c>
      <c r="F13" s="25" t="n">
        <v>1660</v>
      </c>
      <c r="G13" s="25" t="n">
        <v>144</v>
      </c>
      <c r="H13" s="25" t="n">
        <v>30191</v>
      </c>
      <c r="I13" s="25" t="n">
        <v>17898</v>
      </c>
      <c r="J13" s="25" t="n">
        <v>12293</v>
      </c>
      <c r="K13" s="25" t="n">
        <v>5194</v>
      </c>
      <c r="L13" s="25" t="n">
        <v>1233</v>
      </c>
      <c r="M13" s="25" t="n">
        <v>3961</v>
      </c>
      <c r="N13" s="25" t="n">
        <v>268</v>
      </c>
      <c r="O13" s="25" t="n">
        <v>110</v>
      </c>
      <c r="P13" s="25" t="n">
        <v>158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50-60</t>
        </is>
      </c>
      <c r="B14" s="22" t="n">
        <v>29104</v>
      </c>
      <c r="C14" s="22" t="n">
        <v>11681</v>
      </c>
      <c r="D14" s="22" t="n">
        <v>17423</v>
      </c>
      <c r="E14" s="22" t="n">
        <v>627</v>
      </c>
      <c r="F14" s="22" t="n">
        <v>547</v>
      </c>
      <c r="G14" s="22" t="n">
        <v>80</v>
      </c>
      <c r="H14" s="22" t="n">
        <v>19559</v>
      </c>
      <c r="I14" s="22" t="n">
        <v>9879</v>
      </c>
      <c r="J14" s="22" t="n">
        <v>9680</v>
      </c>
      <c r="K14" s="22" t="n">
        <v>8711</v>
      </c>
      <c r="L14" s="22" t="n">
        <v>1144</v>
      </c>
      <c r="M14" s="22" t="n">
        <v>7567</v>
      </c>
      <c r="N14" s="22" t="n">
        <v>207</v>
      </c>
      <c r="O14" s="22" t="n">
        <v>111</v>
      </c>
      <c r="P14" s="22" t="n">
        <v>96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60 &amp; over</t>
        </is>
      </c>
      <c r="B15" s="25" t="n">
        <v>20090</v>
      </c>
      <c r="C15" s="25" t="n">
        <v>7150</v>
      </c>
      <c r="D15" s="25" t="n">
        <v>12940</v>
      </c>
      <c r="E15" s="25" t="n">
        <v>360</v>
      </c>
      <c r="F15" s="25" t="n">
        <v>326</v>
      </c>
      <c r="G15" s="25" t="n">
        <v>34</v>
      </c>
      <c r="H15" s="25" t="n">
        <v>8821</v>
      </c>
      <c r="I15" s="25" t="n">
        <v>5444</v>
      </c>
      <c r="J15" s="25" t="n">
        <v>3377</v>
      </c>
      <c r="K15" s="25" t="n">
        <v>10735</v>
      </c>
      <c r="L15" s="25" t="n">
        <v>1308</v>
      </c>
      <c r="M15" s="25" t="n">
        <v>9427</v>
      </c>
      <c r="N15" s="25" t="n">
        <v>174</v>
      </c>
      <c r="O15" s="25" t="n">
        <v>72</v>
      </c>
      <c r="P15" s="25" t="n">
        <v>102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Total</t>
        </is>
      </c>
      <c r="B16" s="22" t="n">
        <v>418699</v>
      </c>
      <c r="C16" s="22" t="n">
        <v>212496</v>
      </c>
      <c r="D16" s="22" t="n">
        <v>206203</v>
      </c>
      <c r="E16" s="22" t="n">
        <v>137736</v>
      </c>
      <c r="F16" s="22" t="n">
        <v>82034</v>
      </c>
      <c r="G16" s="22" t="n">
        <v>55702</v>
      </c>
      <c r="H16" s="22" t="n">
        <v>243634</v>
      </c>
      <c r="I16" s="22" t="n">
        <v>123817</v>
      </c>
      <c r="J16" s="22" t="n">
        <v>119817</v>
      </c>
      <c r="K16" s="22" t="n">
        <v>35733</v>
      </c>
      <c r="L16" s="22" t="n">
        <v>6057</v>
      </c>
      <c r="M16" s="22" t="n">
        <v>29676</v>
      </c>
      <c r="N16" s="22" t="n">
        <v>1596</v>
      </c>
      <c r="O16" s="22" t="n">
        <v>588</v>
      </c>
      <c r="P16" s="22" t="n">
        <v>1008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2026-02-26T04:01:39Z</dcterms:created>
  <dcterms:modified xmlns:dcterms="http://purl.org/dc/terms/" xmlns:xsi="http://www.w3.org/2001/XMLSchema-instance" xsi:type="dcterms:W3CDTF">2026-02-26T04:01:39Z</dcterms:modified>
</cp:coreProperties>
</file>