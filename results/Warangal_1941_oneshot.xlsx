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1. ALL COMMUNITIES." sheetId="2" state="visible" r:id="rId2"/>
    <sheet xmlns:r="http://schemas.openxmlformats.org/officeDocument/2006/relationships" name="2. Brahmanic Hindus." sheetId="3" state="visible" r:id="rId3"/>
    <sheet xmlns:r="http://schemas.openxmlformats.org/officeDocument/2006/relationships" name="3. Other Hind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>
        <is>
          <t>WARANGAL DISTRICT</t>
        </is>
      </c>
    </row>
    <row r="2">
      <c r="A2" s="2" t="inlineStr">
        <is>
          <t>Source: VII.—PART II.—AGE AND CIVIL CONDITION BY DISTRICTS.—WARANGAL DISTRICT.</t>
        </is>
      </c>
    </row>
    <row r="3">
      <c r="A3" s="3" t="inlineStr">
        <is>
          <t>1. ALL COMMUNITIES.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2643676</v>
      </c>
      <c r="C6" s="19" t="n">
        <v>1364108</v>
      </c>
      <c r="D6" s="19" t="n">
        <v>1279568</v>
      </c>
      <c r="E6" s="19" t="n">
        <v>1081938</v>
      </c>
      <c r="F6" s="19" t="n">
        <v>631552</v>
      </c>
      <c r="G6" s="19" t="n">
        <v>450386</v>
      </c>
      <c r="H6" s="19" t="n">
        <v>1319568</v>
      </c>
      <c r="I6" s="19" t="n">
        <v>675110</v>
      </c>
      <c r="J6" s="19" t="n">
        <v>644458</v>
      </c>
      <c r="K6" s="19" t="n">
        <v>237162</v>
      </c>
      <c r="L6" s="19" t="n">
        <v>55258</v>
      </c>
      <c r="M6" s="19" t="n">
        <v>181904</v>
      </c>
      <c r="N6" s="19" t="n">
        <v>5008</v>
      </c>
      <c r="O6" s="19" t="n">
        <v>2188</v>
      </c>
      <c r="P6" s="19" t="n">
        <v>2820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Total</t>
        </is>
      </c>
      <c r="B7" s="22" t="n">
        <v>1321838</v>
      </c>
      <c r="C7" s="22" t="n">
        <v>682054</v>
      </c>
      <c r="D7" s="22" t="n">
        <v>639784</v>
      </c>
      <c r="E7" s="22" t="n">
        <v>540969</v>
      </c>
      <c r="F7" s="22" t="n">
        <v>315776</v>
      </c>
      <c r="G7" s="22" t="n">
        <v>225193</v>
      </c>
      <c r="H7" s="22" t="n">
        <v>659784</v>
      </c>
      <c r="I7" s="22" t="n">
        <v>337555</v>
      </c>
      <c r="J7" s="22" t="n">
        <v>322229</v>
      </c>
      <c r="K7" s="22" t="n">
        <v>118581</v>
      </c>
      <c r="L7" s="22" t="n">
        <v>27629</v>
      </c>
      <c r="M7" s="22" t="n">
        <v>90952</v>
      </c>
      <c r="N7" s="22" t="n">
        <v>2504</v>
      </c>
      <c r="O7" s="22" t="n">
        <v>1094</v>
      </c>
      <c r="P7" s="22" t="n">
        <v>1410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0-1</t>
        </is>
      </c>
      <c r="B8" s="25" t="n">
        <v>40330</v>
      </c>
      <c r="C8" s="25" t="n">
        <v>20269</v>
      </c>
      <c r="D8" s="25" t="n">
        <v>20061</v>
      </c>
      <c r="E8" s="25" t="n">
        <v>40326</v>
      </c>
      <c r="F8" s="25" t="n">
        <v>20269</v>
      </c>
      <c r="G8" s="25" t="n">
        <v>20057</v>
      </c>
      <c r="H8" s="25" t="n">
        <v>4</v>
      </c>
      <c r="I8" s="25" t="n">
        <v>0</v>
      </c>
      <c r="J8" s="25" t="n">
        <v>4</v>
      </c>
      <c r="K8" s="25" t="n">
        <v>0</v>
      </c>
      <c r="L8" s="25" t="n">
        <v>0</v>
      </c>
      <c r="M8" s="25" t="n">
        <v>0</v>
      </c>
      <c r="N8" s="25" t="n">
        <v>0</v>
      </c>
      <c r="O8" s="25" t="n">
        <v>0</v>
      </c>
      <c r="P8" s="25" t="n">
        <v>0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1-5</t>
        </is>
      </c>
      <c r="B9" s="22" t="n">
        <v>165253</v>
      </c>
      <c r="C9" s="22" t="n">
        <v>83184</v>
      </c>
      <c r="D9" s="22" t="n">
        <v>82069</v>
      </c>
      <c r="E9" s="22" t="n">
        <v>163073</v>
      </c>
      <c r="F9" s="22" t="n">
        <v>82271</v>
      </c>
      <c r="G9" s="22" t="n">
        <v>80802</v>
      </c>
      <c r="H9" s="22" t="n">
        <v>2085</v>
      </c>
      <c r="I9" s="22" t="n">
        <v>912</v>
      </c>
      <c r="J9" s="22" t="n">
        <v>1173</v>
      </c>
      <c r="K9" s="22" t="n">
        <v>95</v>
      </c>
      <c r="L9" s="22" t="n">
        <v>1</v>
      </c>
      <c r="M9" s="22" t="n">
        <v>94</v>
      </c>
      <c r="N9" s="22" t="n">
        <v>0</v>
      </c>
      <c r="O9" s="22" t="n">
        <v>0</v>
      </c>
      <c r="P9" s="22" t="n">
        <v>0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5-10</t>
        </is>
      </c>
      <c r="B10" s="25" t="n">
        <v>167565</v>
      </c>
      <c r="C10" s="25" t="n">
        <v>83344</v>
      </c>
      <c r="D10" s="25" t="n">
        <v>84221</v>
      </c>
      <c r="E10" s="25" t="n">
        <v>144637</v>
      </c>
      <c r="F10" s="25" t="n">
        <v>77637</v>
      </c>
      <c r="G10" s="25" t="n">
        <v>67000</v>
      </c>
      <c r="H10" s="25" t="n">
        <v>22431</v>
      </c>
      <c r="I10" s="25" t="n">
        <v>5673</v>
      </c>
      <c r="J10" s="25" t="n">
        <v>16758</v>
      </c>
      <c r="K10" s="25" t="n">
        <v>487</v>
      </c>
      <c r="L10" s="25" t="n">
        <v>30</v>
      </c>
      <c r="M10" s="25" t="n">
        <v>457</v>
      </c>
      <c r="N10" s="25" t="n">
        <v>10</v>
      </c>
      <c r="O10" s="25" t="n">
        <v>4</v>
      </c>
      <c r="P10" s="25" t="n">
        <v>6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10-15</t>
        </is>
      </c>
      <c r="B11" s="22" t="n">
        <v>150794</v>
      </c>
      <c r="C11" s="22" t="n">
        <v>76822</v>
      </c>
      <c r="D11" s="22" t="n">
        <v>73972</v>
      </c>
      <c r="E11" s="22" t="n">
        <v>105456</v>
      </c>
      <c r="F11" s="22" t="n">
        <v>65200</v>
      </c>
      <c r="G11" s="22" t="n">
        <v>40256</v>
      </c>
      <c r="H11" s="22" t="n">
        <v>44401</v>
      </c>
      <c r="I11" s="22" t="n">
        <v>11528</v>
      </c>
      <c r="J11" s="22" t="n">
        <v>32873</v>
      </c>
      <c r="K11" s="22" t="n">
        <v>880</v>
      </c>
      <c r="L11" s="22" t="n">
        <v>87</v>
      </c>
      <c r="M11" s="22" t="n">
        <v>793</v>
      </c>
      <c r="N11" s="22" t="n">
        <v>57</v>
      </c>
      <c r="O11" s="22" t="n">
        <v>7</v>
      </c>
      <c r="P11" s="22" t="n">
        <v>50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15-20</t>
        </is>
      </c>
      <c r="B12" s="25" t="n">
        <v>126185</v>
      </c>
      <c r="C12" s="25" t="n">
        <v>65349</v>
      </c>
      <c r="D12" s="25" t="n">
        <v>60836</v>
      </c>
      <c r="E12" s="25" t="n">
        <v>44697</v>
      </c>
      <c r="F12" s="25" t="n">
        <v>34127</v>
      </c>
      <c r="G12" s="25" t="n">
        <v>10570</v>
      </c>
      <c r="H12" s="25" t="n">
        <v>79213</v>
      </c>
      <c r="I12" s="25" t="n">
        <v>30935</v>
      </c>
      <c r="J12" s="25" t="n">
        <v>48278</v>
      </c>
      <c r="K12" s="25" t="n">
        <v>2148</v>
      </c>
      <c r="L12" s="25" t="n">
        <v>265</v>
      </c>
      <c r="M12" s="25" t="n">
        <v>1883</v>
      </c>
      <c r="N12" s="25" t="n">
        <v>127</v>
      </c>
      <c r="O12" s="25" t="n">
        <v>22</v>
      </c>
      <c r="P12" s="25" t="n">
        <v>105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20-30</t>
        </is>
      </c>
      <c r="B13" s="22" t="n">
        <v>245768</v>
      </c>
      <c r="C13" s="22" t="n">
        <v>126211</v>
      </c>
      <c r="D13" s="22" t="n">
        <v>119557</v>
      </c>
      <c r="E13" s="22" t="n">
        <v>32112</v>
      </c>
      <c r="F13" s="22" t="n">
        <v>27871</v>
      </c>
      <c r="G13" s="22" t="n">
        <v>4241</v>
      </c>
      <c r="H13" s="22" t="n">
        <v>200752</v>
      </c>
      <c r="I13" s="22" t="n">
        <v>95428</v>
      </c>
      <c r="J13" s="22" t="n">
        <v>105324</v>
      </c>
      <c r="K13" s="22" t="n">
        <v>12411</v>
      </c>
      <c r="L13" s="22" t="n">
        <v>2701</v>
      </c>
      <c r="M13" s="22" t="n">
        <v>9710</v>
      </c>
      <c r="N13" s="22" t="n">
        <v>493</v>
      </c>
      <c r="O13" s="22" t="n">
        <v>211</v>
      </c>
      <c r="P13" s="22" t="n">
        <v>282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30-40</t>
        </is>
      </c>
      <c r="B14" s="25" t="n">
        <v>163580</v>
      </c>
      <c r="C14" s="25" t="n">
        <v>87186</v>
      </c>
      <c r="D14" s="25" t="n">
        <v>76394</v>
      </c>
      <c r="E14" s="25" t="n">
        <v>5809</v>
      </c>
      <c r="F14" s="25" t="n">
        <v>4726</v>
      </c>
      <c r="G14" s="25" t="n">
        <v>1083</v>
      </c>
      <c r="H14" s="25" t="n">
        <v>136938</v>
      </c>
      <c r="I14" s="25" t="n">
        <v>77910</v>
      </c>
      <c r="J14" s="25" t="n">
        <v>59028</v>
      </c>
      <c r="K14" s="25" t="n">
        <v>20273</v>
      </c>
      <c r="L14" s="25" t="n">
        <v>4282</v>
      </c>
      <c r="M14" s="25" t="n">
        <v>15991</v>
      </c>
      <c r="N14" s="25" t="n">
        <v>560</v>
      </c>
      <c r="O14" s="25" t="n">
        <v>268</v>
      </c>
      <c r="P14" s="25" t="n">
        <v>292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40-50</t>
        </is>
      </c>
      <c r="B15" s="22" t="n">
        <v>117363</v>
      </c>
      <c r="C15" s="22" t="n">
        <v>64603</v>
      </c>
      <c r="D15" s="22" t="n">
        <v>52760</v>
      </c>
      <c r="E15" s="22" t="n">
        <v>2539</v>
      </c>
      <c r="F15" s="22" t="n">
        <v>1903</v>
      </c>
      <c r="G15" s="22" t="n">
        <v>636</v>
      </c>
      <c r="H15" s="22" t="n">
        <v>87897</v>
      </c>
      <c r="I15" s="22" t="n">
        <v>56565</v>
      </c>
      <c r="J15" s="22" t="n">
        <v>31332</v>
      </c>
      <c r="K15" s="22" t="n">
        <v>26427</v>
      </c>
      <c r="L15" s="22" t="n">
        <v>5914</v>
      </c>
      <c r="M15" s="22" t="n">
        <v>20513</v>
      </c>
      <c r="N15" s="22" t="n">
        <v>500</v>
      </c>
      <c r="O15" s="22" t="n">
        <v>221</v>
      </c>
      <c r="P15" s="22" t="n">
        <v>279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50-60</t>
        </is>
      </c>
      <c r="B16" s="25" t="n">
        <v>77499</v>
      </c>
      <c r="C16" s="25" t="n">
        <v>41478</v>
      </c>
      <c r="D16" s="25" t="n">
        <v>36021</v>
      </c>
      <c r="E16" s="25" t="n">
        <v>1437</v>
      </c>
      <c r="F16" s="25" t="n">
        <v>1097</v>
      </c>
      <c r="G16" s="25" t="n">
        <v>340</v>
      </c>
      <c r="H16" s="25" t="n">
        <v>48824</v>
      </c>
      <c r="I16" s="25" t="n">
        <v>33740</v>
      </c>
      <c r="J16" s="25" t="n">
        <v>15084</v>
      </c>
      <c r="K16" s="25" t="n">
        <v>26883</v>
      </c>
      <c r="L16" s="25" t="n">
        <v>6468</v>
      </c>
      <c r="M16" s="25" t="n">
        <v>20415</v>
      </c>
      <c r="N16" s="25" t="n">
        <v>355</v>
      </c>
      <c r="O16" s="25" t="n">
        <v>173</v>
      </c>
      <c r="P16" s="25" t="n">
        <v>182</v>
      </c>
      <c r="Q16" s="26">
        <f>IF(B16=E16+H16+K16+N16,"✓",B16-(E16+H16+K16+N16))</f>
        <v/>
      </c>
      <c r="R16" s="26">
        <f>IF(B16=C16+D16,"✓","✗")</f>
        <v/>
      </c>
    </row>
    <row r="17">
      <c r="A17" s="21" t="inlineStr">
        <is>
          <t>60 &amp; over</t>
        </is>
      </c>
      <c r="B17" s="22" t="n">
        <v>67501</v>
      </c>
      <c r="C17" s="22" t="n">
        <v>33608</v>
      </c>
      <c r="D17" s="22" t="n">
        <v>33893</v>
      </c>
      <c r="E17" s="22" t="n">
        <v>883</v>
      </c>
      <c r="F17" s="22" t="n">
        <v>675</v>
      </c>
      <c r="G17" s="22" t="n">
        <v>208</v>
      </c>
      <c r="H17" s="22" t="n">
        <v>37239</v>
      </c>
      <c r="I17" s="22" t="n">
        <v>24864</v>
      </c>
      <c r="J17" s="22" t="n">
        <v>12375</v>
      </c>
      <c r="K17" s="22" t="n">
        <v>28977</v>
      </c>
      <c r="L17" s="22" t="n">
        <v>7881</v>
      </c>
      <c r="M17" s="22" t="n">
        <v>21096</v>
      </c>
      <c r="N17" s="22" t="n">
        <v>402</v>
      </c>
      <c r="O17" s="22" t="n">
        <v>188</v>
      </c>
      <c r="P17" s="22" t="n">
        <v>214</v>
      </c>
      <c r="Q17" s="23">
        <f>IF(B17=E17+H17+K17+N17,"✓",B17-(E17+H17+K17+N17))</f>
        <v/>
      </c>
      <c r="R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  <row r="20">
      <c r="A20" s="3" t="inlineStr">
        <is>
          <t>2. Brahmanic Hindus.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DIVORCED</t>
        </is>
      </c>
      <c r="O21" s="14" t="n"/>
      <c r="P21" s="14" t="n"/>
      <c r="Q21" s="15" t="inlineStr">
        <is>
          <t>Check</t>
        </is>
      </c>
      <c r="R21" s="15" t="inlineStr">
        <is>
          <t>Check</t>
        </is>
      </c>
    </row>
    <row r="22">
      <c r="A22" s="16" t="inlineStr"/>
      <c r="B22" s="17" t="inlineStr">
        <is>
          <t>Persons</t>
        </is>
      </c>
      <c r="C22" s="17" t="inlineStr">
        <is>
          <t>Males</t>
        </is>
      </c>
      <c r="D22" s="17" t="inlineStr">
        <is>
          <t>Females</t>
        </is>
      </c>
      <c r="E22" s="17" t="inlineStr">
        <is>
          <t>Persons</t>
        </is>
      </c>
      <c r="F22" s="17" t="inlineStr">
        <is>
          <t>Males</t>
        </is>
      </c>
      <c r="G22" s="17" t="inlineStr">
        <is>
          <t>Females</t>
        </is>
      </c>
      <c r="H22" s="17" t="inlineStr">
        <is>
          <t>Persons</t>
        </is>
      </c>
      <c r="I22" s="17" t="inlineStr">
        <is>
          <t>Males</t>
        </is>
      </c>
      <c r="J22" s="17" t="inlineStr">
        <is>
          <t>Females</t>
        </is>
      </c>
      <c r="K22" s="17" t="inlineStr">
        <is>
          <t>Persons</t>
        </is>
      </c>
      <c r="L22" s="17" t="inlineStr">
        <is>
          <t>Males</t>
        </is>
      </c>
      <c r="M22" s="17" t="inlineStr">
        <is>
          <t>Females</t>
        </is>
      </c>
      <c r="N22" s="17" t="inlineStr">
        <is>
          <t>Persons</t>
        </is>
      </c>
      <c r="O22" s="17" t="inlineStr">
        <is>
          <t>Males</t>
        </is>
      </c>
      <c r="P22" s="17" t="inlineStr">
        <is>
          <t>Females</t>
        </is>
      </c>
      <c r="Q22" s="17" t="inlineStr">
        <is>
          <t>P=Sum</t>
        </is>
      </c>
      <c r="R22" s="17" t="inlineStr">
        <is>
          <t>M+F=P</t>
        </is>
      </c>
    </row>
    <row r="23">
      <c r="A23" s="18" t="inlineStr">
        <is>
          <t>Total</t>
        </is>
      </c>
      <c r="B23" s="19" t="n">
        <v>47750</v>
      </c>
      <c r="C23" s="19" t="n">
        <v>23030</v>
      </c>
      <c r="D23" s="19" t="n">
        <v>24720</v>
      </c>
      <c r="E23" s="19" t="n">
        <v>20338</v>
      </c>
      <c r="F23" s="19" t="n">
        <v>9870</v>
      </c>
      <c r="G23" s="19" t="n">
        <v>10468</v>
      </c>
      <c r="H23" s="19" t="n">
        <v>26338</v>
      </c>
      <c r="I23" s="19" t="n">
        <v>12850</v>
      </c>
      <c r="J23" s="19" t="n">
        <v>13488</v>
      </c>
      <c r="K23" s="19" t="n">
        <v>1074</v>
      </c>
      <c r="L23" s="19" t="n">
        <v>310</v>
      </c>
      <c r="M23" s="19" t="n">
        <v>764</v>
      </c>
      <c r="N23" s="19" t="n">
        <v>0</v>
      </c>
      <c r="O23" s="19" t="n">
        <v>0</v>
      </c>
      <c r="P23" s="19" t="n">
        <v>0</v>
      </c>
      <c r="Q23" s="20">
        <f>IF(B23=E23+H23+K23+N23,"✓","✗")</f>
        <v/>
      </c>
      <c r="R23" s="20">
        <f>IF(B23=C23+D23,"✓","✗")</f>
        <v/>
      </c>
    </row>
    <row r="24">
      <c r="A24" s="21" t="inlineStr">
        <is>
          <t>0-1</t>
        </is>
      </c>
      <c r="B24" s="22" t="n">
        <v>555</v>
      </c>
      <c r="C24" s="22" t="n">
        <v>257</v>
      </c>
      <c r="D24" s="22" t="n">
        <v>298</v>
      </c>
      <c r="E24" s="22" t="n">
        <v>555</v>
      </c>
      <c r="F24" s="22" t="n">
        <v>257</v>
      </c>
      <c r="G24" s="22" t="n">
        <v>298</v>
      </c>
      <c r="H24" s="22" t="n">
        <v>0</v>
      </c>
      <c r="I24" s="22" t="n">
        <v>0</v>
      </c>
      <c r="J24" s="22" t="n">
        <v>0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3">
        <f>IF(B24=E24+H24+K24+N24,"✓",B24-(E24+H24+K24+N24))</f>
        <v/>
      </c>
      <c r="R24" s="23">
        <f>IF(B24=C24+D24,"✓","✗")</f>
        <v/>
      </c>
    </row>
    <row r="25">
      <c r="A25" s="24" t="inlineStr">
        <is>
          <t>1-5</t>
        </is>
      </c>
      <c r="B25" s="25" t="n">
        <v>2414</v>
      </c>
      <c r="C25" s="25" t="n">
        <v>1136</v>
      </c>
      <c r="D25" s="25" t="n">
        <v>1278</v>
      </c>
      <c r="E25" s="25" t="n">
        <v>2399</v>
      </c>
      <c r="F25" s="25" t="n">
        <v>1134</v>
      </c>
      <c r="G25" s="25" t="n">
        <v>1265</v>
      </c>
      <c r="H25" s="25" t="n">
        <v>15</v>
      </c>
      <c r="I25" s="25" t="n">
        <v>2</v>
      </c>
      <c r="J25" s="25" t="n">
        <v>13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0</v>
      </c>
      <c r="Q25" s="26">
        <f>IF(B25=E25+H25+K25+N25,"✓",B25-(E25+H25+K25+N25))</f>
        <v/>
      </c>
      <c r="R25" s="26">
        <f>IF(B25=C25+D25,"✓","✗")</f>
        <v/>
      </c>
    </row>
    <row r="26">
      <c r="A26" s="21" t="inlineStr">
        <is>
          <t>5-10</t>
        </is>
      </c>
      <c r="B26" s="22" t="n">
        <v>2876</v>
      </c>
      <c r="C26" s="22" t="n">
        <v>1009</v>
      </c>
      <c r="D26" s="22" t="n">
        <v>1867</v>
      </c>
      <c r="E26" s="22" t="n">
        <v>2747</v>
      </c>
      <c r="F26" s="22" t="n">
        <v>984</v>
      </c>
      <c r="G26" s="22" t="n">
        <v>1763</v>
      </c>
      <c r="H26" s="22" t="n">
        <v>128</v>
      </c>
      <c r="I26" s="22" t="n">
        <v>25</v>
      </c>
      <c r="J26" s="22" t="n">
        <v>103</v>
      </c>
      <c r="K26" s="22" t="n">
        <v>1</v>
      </c>
      <c r="L26" s="22" t="n">
        <v>0</v>
      </c>
      <c r="M26" s="22" t="n">
        <v>1</v>
      </c>
      <c r="N26" s="22" t="n">
        <v>0</v>
      </c>
      <c r="O26" s="22" t="n">
        <v>0</v>
      </c>
      <c r="P26" s="22" t="n">
        <v>0</v>
      </c>
      <c r="Q26" s="23">
        <f>IF(B26=E26+H26+K26+N26,"✓",B26-(E26+H26+K26+N26))</f>
        <v/>
      </c>
      <c r="R26" s="23">
        <f>IF(B26=C26+D26,"✓","✗")</f>
        <v/>
      </c>
    </row>
    <row r="27">
      <c r="A27" s="24" t="inlineStr">
        <is>
          <t>10-15</t>
        </is>
      </c>
      <c r="B27" s="25" t="n">
        <v>2819</v>
      </c>
      <c r="C27" s="25" t="n">
        <v>1095</v>
      </c>
      <c r="D27" s="25" t="n">
        <v>1724</v>
      </c>
      <c r="E27" s="25" t="n">
        <v>2034</v>
      </c>
      <c r="F27" s="25" t="n">
        <v>925</v>
      </c>
      <c r="G27" s="25" t="n">
        <v>1109</v>
      </c>
      <c r="H27" s="25" t="n">
        <v>779</v>
      </c>
      <c r="I27" s="25" t="n">
        <v>170</v>
      </c>
      <c r="J27" s="25" t="n">
        <v>609</v>
      </c>
      <c r="K27" s="25" t="n">
        <v>6</v>
      </c>
      <c r="L27" s="25" t="n">
        <v>0</v>
      </c>
      <c r="M27" s="25" t="n">
        <v>6</v>
      </c>
      <c r="N27" s="25" t="n">
        <v>0</v>
      </c>
      <c r="O27" s="25" t="n">
        <v>0</v>
      </c>
      <c r="P27" s="25" t="n">
        <v>0</v>
      </c>
      <c r="Q27" s="26">
        <f>IF(B27=E27+H27+K27+N27,"✓",B27-(E27+H27+K27+N27))</f>
        <v/>
      </c>
      <c r="R27" s="26">
        <f>IF(B27=C27+D27,"✓","✗")</f>
        <v/>
      </c>
    </row>
    <row r="28">
      <c r="A28" s="21" t="inlineStr">
        <is>
          <t>15-20</t>
        </is>
      </c>
      <c r="B28" s="22" t="n">
        <v>2771</v>
      </c>
      <c r="C28" s="22" t="n">
        <v>1390</v>
      </c>
      <c r="D28" s="22" t="n">
        <v>1381</v>
      </c>
      <c r="E28" s="22" t="n">
        <v>1205</v>
      </c>
      <c r="F28" s="22" t="n">
        <v>698</v>
      </c>
      <c r="G28" s="22" t="n">
        <v>507</v>
      </c>
      <c r="H28" s="22" t="n">
        <v>1544</v>
      </c>
      <c r="I28" s="22" t="n">
        <v>687</v>
      </c>
      <c r="J28" s="22" t="n">
        <v>857</v>
      </c>
      <c r="K28" s="22" t="n">
        <v>22</v>
      </c>
      <c r="L28" s="22" t="n">
        <v>5</v>
      </c>
      <c r="M28" s="22" t="n">
        <v>17</v>
      </c>
      <c r="N28" s="22" t="n">
        <v>0</v>
      </c>
      <c r="O28" s="22" t="n">
        <v>0</v>
      </c>
      <c r="P28" s="22" t="n">
        <v>0</v>
      </c>
      <c r="Q28" s="23">
        <f>IF(B28=E28+H28+K28+N28,"✓",B28-(E28+H28+K28+N28))</f>
        <v/>
      </c>
      <c r="R28" s="23">
        <f>IF(B28=C28+D28,"✓","✗")</f>
        <v/>
      </c>
    </row>
    <row r="29">
      <c r="A29" s="24" t="inlineStr">
        <is>
          <t>20-30</t>
        </is>
      </c>
      <c r="B29" s="25" t="n">
        <v>4263</v>
      </c>
      <c r="C29" s="25" t="n">
        <v>2245</v>
      </c>
      <c r="D29" s="25" t="n">
        <v>2018</v>
      </c>
      <c r="E29" s="25" t="n">
        <v>1132</v>
      </c>
      <c r="F29" s="25" t="n">
        <v>843</v>
      </c>
      <c r="G29" s="25" t="n">
        <v>289</v>
      </c>
      <c r="H29" s="25" t="n">
        <v>3057</v>
      </c>
      <c r="I29" s="25" t="n">
        <v>1388</v>
      </c>
      <c r="J29" s="25" t="n">
        <v>1669</v>
      </c>
      <c r="K29" s="25" t="n">
        <v>74</v>
      </c>
      <c r="L29" s="25" t="n">
        <v>14</v>
      </c>
      <c r="M29" s="25" t="n">
        <v>60</v>
      </c>
      <c r="N29" s="25" t="n">
        <v>0</v>
      </c>
      <c r="O29" s="25" t="n">
        <v>0</v>
      </c>
      <c r="P29" s="25" t="n">
        <v>0</v>
      </c>
      <c r="Q29" s="26">
        <f>IF(B29=E29+H29+K29+N29,"✓",B29-(E29+H29+K29+N29))</f>
        <v/>
      </c>
      <c r="R29" s="26">
        <f>IF(B29=C29+D29,"✓","✗")</f>
        <v/>
      </c>
    </row>
    <row r="30">
      <c r="A30" s="21" t="inlineStr">
        <is>
          <t>30-40</t>
        </is>
      </c>
      <c r="B30" s="22" t="n">
        <v>3669</v>
      </c>
      <c r="C30" s="22" t="n">
        <v>1830</v>
      </c>
      <c r="D30" s="22" t="n">
        <v>1839</v>
      </c>
      <c r="E30" s="22" t="n">
        <v>62</v>
      </c>
      <c r="F30" s="22" t="n">
        <v>62</v>
      </c>
      <c r="G30" s="22" t="n">
        <v>0</v>
      </c>
      <c r="H30" s="22" t="n">
        <v>3497</v>
      </c>
      <c r="I30" s="22" t="n">
        <v>1732</v>
      </c>
      <c r="J30" s="22" t="n">
        <v>1765</v>
      </c>
      <c r="K30" s="22" t="n">
        <v>110</v>
      </c>
      <c r="L30" s="22" t="n">
        <v>36</v>
      </c>
      <c r="M30" s="22" t="n">
        <v>74</v>
      </c>
      <c r="N30" s="22" t="n">
        <v>0</v>
      </c>
      <c r="O30" s="22" t="n">
        <v>0</v>
      </c>
      <c r="P30" s="22" t="n">
        <v>0</v>
      </c>
      <c r="Q30" s="23">
        <f>IF(B30=E30+H30+K30+N30,"✓",B30-(E30+H30+K30+N30))</f>
        <v/>
      </c>
      <c r="R30" s="23">
        <f>IF(B30=C30+D30,"✓","✗")</f>
        <v/>
      </c>
    </row>
    <row r="31">
      <c r="A31" s="24" t="inlineStr">
        <is>
          <t>40-50</t>
        </is>
      </c>
      <c r="B31" s="25" t="n">
        <v>1769</v>
      </c>
      <c r="C31" s="25" t="n">
        <v>930</v>
      </c>
      <c r="D31" s="25" t="n">
        <v>839</v>
      </c>
      <c r="E31" s="25" t="n">
        <v>12</v>
      </c>
      <c r="F31" s="25" t="n">
        <v>11</v>
      </c>
      <c r="G31" s="25" t="n">
        <v>1</v>
      </c>
      <c r="H31" s="25" t="n">
        <v>1625</v>
      </c>
      <c r="I31" s="25" t="n">
        <v>884</v>
      </c>
      <c r="J31" s="25" t="n">
        <v>741</v>
      </c>
      <c r="K31" s="25" t="n">
        <v>132</v>
      </c>
      <c r="L31" s="25" t="n">
        <v>35</v>
      </c>
      <c r="M31" s="25" t="n">
        <v>97</v>
      </c>
      <c r="N31" s="25" t="n">
        <v>0</v>
      </c>
      <c r="O31" s="25" t="n">
        <v>0</v>
      </c>
      <c r="P31" s="25" t="n">
        <v>0</v>
      </c>
      <c r="Q31" s="26">
        <f>IF(B31=E31+H31+K31+N31,"✓",B31-(E31+H31+K31+N31))</f>
        <v/>
      </c>
      <c r="R31" s="26">
        <f>IF(B31=C31+D31,"✓","✗")</f>
        <v/>
      </c>
    </row>
    <row r="32">
      <c r="A32" s="21" t="inlineStr">
        <is>
          <t>50-60</t>
        </is>
      </c>
      <c r="B32" s="22" t="n">
        <v>1362</v>
      </c>
      <c r="C32" s="22" t="n">
        <v>734</v>
      </c>
      <c r="D32" s="22" t="n">
        <v>628</v>
      </c>
      <c r="E32" s="22" t="n">
        <v>15</v>
      </c>
      <c r="F32" s="22" t="n">
        <v>13</v>
      </c>
      <c r="G32" s="22" t="n">
        <v>2</v>
      </c>
      <c r="H32" s="22" t="n">
        <v>1274</v>
      </c>
      <c r="I32" s="22" t="n">
        <v>703</v>
      </c>
      <c r="J32" s="22" t="n">
        <v>571</v>
      </c>
      <c r="K32" s="22" t="n">
        <v>73</v>
      </c>
      <c r="L32" s="22" t="n">
        <v>18</v>
      </c>
      <c r="M32" s="22" t="n">
        <v>55</v>
      </c>
      <c r="N32" s="22" t="n">
        <v>0</v>
      </c>
      <c r="O32" s="22" t="n">
        <v>0</v>
      </c>
      <c r="P32" s="22" t="n">
        <v>0</v>
      </c>
      <c r="Q32" s="23">
        <f>IF(B32=E32+H32+K32+N32,"✓",B32-(E32+H32+K32+N32))</f>
        <v/>
      </c>
      <c r="R32" s="23">
        <f>IF(B32=C32+D32,"✓","✗")</f>
        <v/>
      </c>
    </row>
    <row r="33">
      <c r="A33" s="24" t="inlineStr">
        <is>
          <t>60 &amp; over</t>
        </is>
      </c>
      <c r="B33" s="25" t="n">
        <v>1377</v>
      </c>
      <c r="C33" s="25" t="n">
        <v>889</v>
      </c>
      <c r="D33" s="25" t="n">
        <v>488</v>
      </c>
      <c r="E33" s="25" t="n">
        <v>8</v>
      </c>
      <c r="F33" s="25" t="n">
        <v>8</v>
      </c>
      <c r="G33" s="25" t="n">
        <v>0</v>
      </c>
      <c r="H33" s="25" t="n">
        <v>1250</v>
      </c>
      <c r="I33" s="25" t="n">
        <v>834</v>
      </c>
      <c r="J33" s="25" t="n">
        <v>416</v>
      </c>
      <c r="K33" s="25" t="n">
        <v>119</v>
      </c>
      <c r="L33" s="25" t="n">
        <v>47</v>
      </c>
      <c r="M33" s="25" t="n">
        <v>72</v>
      </c>
      <c r="N33" s="25" t="n">
        <v>0</v>
      </c>
      <c r="O33" s="25" t="n">
        <v>0</v>
      </c>
      <c r="P33" s="25" t="n">
        <v>0</v>
      </c>
      <c r="Q33" s="26">
        <f>IF(B33=E33+H33+K33+N33,"✓",B33-(E33+H33+K33+N33))</f>
        <v/>
      </c>
      <c r="R33" s="26">
        <f>IF(B33=C33+D33,"✓","✗")</f>
        <v/>
      </c>
    </row>
    <row r="34">
      <c r="A34" s="21" t="inlineStr">
        <is>
          <t>Total</t>
        </is>
      </c>
      <c r="B34" s="22" t="n">
        <v>23875</v>
      </c>
      <c r="C34" s="22" t="n">
        <v>11515</v>
      </c>
      <c r="D34" s="22" t="n">
        <v>12360</v>
      </c>
      <c r="E34" s="22" t="n">
        <v>10169</v>
      </c>
      <c r="F34" s="22" t="n">
        <v>4935</v>
      </c>
      <c r="G34" s="22" t="n">
        <v>5234</v>
      </c>
      <c r="H34" s="22" t="n">
        <v>13169</v>
      </c>
      <c r="I34" s="22" t="n">
        <v>6425</v>
      </c>
      <c r="J34" s="22" t="n">
        <v>6744</v>
      </c>
      <c r="K34" s="22" t="n">
        <v>537</v>
      </c>
      <c r="L34" s="22" t="n">
        <v>155</v>
      </c>
      <c r="M34" s="22" t="n">
        <v>382</v>
      </c>
      <c r="N34" s="22" t="n">
        <v>0</v>
      </c>
      <c r="O34" s="22" t="n">
        <v>0</v>
      </c>
      <c r="P34" s="22" t="n">
        <v>0</v>
      </c>
      <c r="Q34" s="23">
        <f>IF(B34=E34+H34+K34+N34,"✓",B34-(E34+H34+K34+N34))</f>
        <v/>
      </c>
      <c r="R34" s="23">
        <f>IF(B34=C34+D34,"✓","✗")</f>
        <v/>
      </c>
    </row>
    <row r="35">
      <c r="A35" s="27" t="inlineStr">
        <is>
          <t>Verify: Sum</t>
        </is>
      </c>
      <c r="B35" s="28">
        <f>IF(SUM(B24:B34)=B23,"✓",SUM(B24:B34)-B23)</f>
        <v/>
      </c>
      <c r="C35" s="28">
        <f>IF(SUM(C24:C34)=C23,"✓",SUM(C24:C34)-C23)</f>
        <v/>
      </c>
      <c r="D35" s="28">
        <f>IF(SUM(D24:D34)=D23,"✓",SUM(D24:D34)-D23)</f>
        <v/>
      </c>
      <c r="E35" s="28">
        <f>IF(SUM(E24:E34)=E23,"✓",SUM(E24:E34)-E23)</f>
        <v/>
      </c>
      <c r="F35" s="28">
        <f>IF(SUM(F24:F34)=F23,"✓",SUM(F24:F34)-F23)</f>
        <v/>
      </c>
      <c r="G35" s="28">
        <f>IF(SUM(G24:G34)=G23,"✓",SUM(G24:G34)-G23)</f>
        <v/>
      </c>
      <c r="H35" s="28">
        <f>IF(SUM(H24:H34)=H23,"✓",SUM(H24:H34)-H23)</f>
        <v/>
      </c>
      <c r="I35" s="28">
        <f>IF(SUM(I24:I34)=I23,"✓",SUM(I24:I34)-I23)</f>
        <v/>
      </c>
      <c r="J35" s="28">
        <f>IF(SUM(J24:J34)=J23,"✓",SUM(J24:J34)-J23)</f>
        <v/>
      </c>
      <c r="K35" s="28">
        <f>IF(SUM(K24:K34)=K23,"✓",SUM(K24:K34)-K23)</f>
        <v/>
      </c>
      <c r="L35" s="28">
        <f>IF(SUM(L24:L34)=L23,"✓",SUM(L24:L34)-L23)</f>
        <v/>
      </c>
      <c r="M35" s="28">
        <f>IF(SUM(M24:M34)=M23,"✓",SUM(M24:M34)-M23)</f>
        <v/>
      </c>
      <c r="N35" s="28">
        <f>IF(SUM(N24:N34)=N23,"✓",SUM(N24:N34)-N23)</f>
        <v/>
      </c>
      <c r="O35" s="28">
        <f>IF(SUM(O24:O34)=O23,"✓",SUM(O24:O34)-O23)</f>
        <v/>
      </c>
      <c r="P35" s="28">
        <f>IF(SUM(P24:P34)=P23,"✓",SUM(P24:P34)-P23)</f>
        <v/>
      </c>
    </row>
    <row r="37">
      <c r="A37" s="3" t="inlineStr">
        <is>
          <t>3. Other Hindus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DIVORCED</t>
        </is>
      </c>
      <c r="O38" s="14" t="n"/>
      <c r="P38" s="14" t="n"/>
      <c r="Q38" s="15" t="inlineStr">
        <is>
          <t>Check</t>
        </is>
      </c>
      <c r="R38" s="15" t="inlineStr">
        <is>
          <t>Check</t>
        </is>
      </c>
    </row>
    <row r="39">
      <c r="A39" s="16" t="inlineStr"/>
      <c r="B39" s="17" t="inlineStr">
        <is>
          <t>Persons</t>
        </is>
      </c>
      <c r="C39" s="17" t="inlineStr">
        <is>
          <t>Males</t>
        </is>
      </c>
      <c r="D39" s="17" t="inlineStr">
        <is>
          <t>Females</t>
        </is>
      </c>
      <c r="E39" s="17" t="inlineStr">
        <is>
          <t>Persons</t>
        </is>
      </c>
      <c r="F39" s="17" t="inlineStr">
        <is>
          <t>Males</t>
        </is>
      </c>
      <c r="G39" s="17" t="inlineStr">
        <is>
          <t>Females</t>
        </is>
      </c>
      <c r="H39" s="17" t="inlineStr">
        <is>
          <t>Persons</t>
        </is>
      </c>
      <c r="I39" s="17" t="inlineStr">
        <is>
          <t>Males</t>
        </is>
      </c>
      <c r="J39" s="17" t="inlineStr">
        <is>
          <t>Females</t>
        </is>
      </c>
      <c r="K39" s="17" t="inlineStr">
        <is>
          <t>Persons</t>
        </is>
      </c>
      <c r="L39" s="17" t="inlineStr">
        <is>
          <t>Males</t>
        </is>
      </c>
      <c r="M39" s="17" t="inlineStr">
        <is>
          <t>Females</t>
        </is>
      </c>
      <c r="N39" s="17" t="inlineStr">
        <is>
          <t>Persons</t>
        </is>
      </c>
      <c r="O39" s="17" t="inlineStr">
        <is>
          <t>Males</t>
        </is>
      </c>
      <c r="P39" s="17" t="inlineStr">
        <is>
          <t>Females</t>
        </is>
      </c>
      <c r="Q39" s="17" t="inlineStr">
        <is>
          <t>P=Sum</t>
        </is>
      </c>
      <c r="R39" s="17" t="inlineStr">
        <is>
          <t>M+F=P</t>
        </is>
      </c>
    </row>
    <row r="40">
      <c r="A40" s="18" t="inlineStr">
        <is>
          <t>Total</t>
        </is>
      </c>
      <c r="B40" s="19" t="n">
        <v>1512098</v>
      </c>
      <c r="C40" s="19" t="n">
        <v>779894</v>
      </c>
      <c r="D40" s="19" t="n">
        <v>732204</v>
      </c>
      <c r="E40" s="19" t="n">
        <v>606042</v>
      </c>
      <c r="F40" s="19" t="n">
        <v>362448</v>
      </c>
      <c r="G40" s="19" t="n">
        <v>243594</v>
      </c>
      <c r="H40" s="19" t="n">
        <v>756962</v>
      </c>
      <c r="I40" s="19" t="n">
        <v>387998</v>
      </c>
      <c r="J40" s="19" t="n">
        <v>368964</v>
      </c>
      <c r="K40" s="19" t="n">
        <v>147156</v>
      </c>
      <c r="L40" s="19" t="n">
        <v>28652</v>
      </c>
      <c r="M40" s="19" t="n">
        <v>118504</v>
      </c>
      <c r="N40" s="19" t="n">
        <v>1938</v>
      </c>
      <c r="O40" s="19" t="n">
        <v>796</v>
      </c>
      <c r="P40" s="19" t="n">
        <v>1142</v>
      </c>
      <c r="Q40" s="20">
        <f>IF(B40=E40+H40+K40+N40,"✓","✗")</f>
        <v/>
      </c>
      <c r="R40" s="20">
        <f>IF(B40=C40+D40,"✓","✗")</f>
        <v/>
      </c>
    </row>
    <row r="41">
      <c r="A41" s="21" t="inlineStr">
        <is>
          <t>0-1</t>
        </is>
      </c>
      <c r="B41" s="22" t="n">
        <v>25072</v>
      </c>
      <c r="C41" s="22" t="n">
        <v>12926</v>
      </c>
      <c r="D41" s="22" t="n">
        <v>12146</v>
      </c>
      <c r="E41" s="22" t="n">
        <v>25068</v>
      </c>
      <c r="F41" s="22" t="n">
        <v>12926</v>
      </c>
      <c r="G41" s="22" t="n">
        <v>12142</v>
      </c>
      <c r="H41" s="22" t="n">
        <v>4</v>
      </c>
      <c r="I41" s="22" t="n">
        <v>0</v>
      </c>
      <c r="J41" s="22" t="n">
        <v>4</v>
      </c>
      <c r="K41" s="22" t="n">
        <v>0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0</v>
      </c>
      <c r="Q41" s="23">
        <f>IF(B41=E41+H41+K41+N41,"✓",B41-(E41+H41+K41+N41))</f>
        <v/>
      </c>
      <c r="R41" s="23">
        <f>IF(B41=C41+D41,"✓","✗")</f>
        <v/>
      </c>
    </row>
    <row r="42">
      <c r="A42" s="24" t="inlineStr">
        <is>
          <t>1-5</t>
        </is>
      </c>
      <c r="B42" s="25" t="n">
        <v>99412</v>
      </c>
      <c r="C42" s="25" t="n">
        <v>51094</v>
      </c>
      <c r="D42" s="25" t="n">
        <v>48318</v>
      </c>
      <c r="E42" s="25" t="n">
        <v>98062</v>
      </c>
      <c r="F42" s="25" t="n">
        <v>50486</v>
      </c>
      <c r="G42" s="25" t="n">
        <v>47576</v>
      </c>
      <c r="H42" s="25" t="n">
        <v>1303</v>
      </c>
      <c r="I42" s="25" t="n">
        <v>608</v>
      </c>
      <c r="J42" s="25" t="n">
        <v>695</v>
      </c>
      <c r="K42" s="25" t="n">
        <v>47</v>
      </c>
      <c r="L42" s="25" t="n">
        <v>0</v>
      </c>
      <c r="M42" s="25" t="n">
        <v>47</v>
      </c>
      <c r="N42" s="25" t="n">
        <v>0</v>
      </c>
      <c r="O42" s="25" t="n">
        <v>0</v>
      </c>
      <c r="P42" s="25" t="n">
        <v>0</v>
      </c>
      <c r="Q42" s="26">
        <f>IF(B42=E42+H42+K42+N42,"✓",B42-(E42+H42+K42+N42))</f>
        <v/>
      </c>
      <c r="R42" s="26">
        <f>IF(B42=C42+D42,"✓","✗")</f>
        <v/>
      </c>
    </row>
    <row r="43">
      <c r="A43" s="21" t="inlineStr">
        <is>
          <t>5-10</t>
        </is>
      </c>
      <c r="B43" s="22" t="n">
        <v>95877</v>
      </c>
      <c r="C43" s="22" t="n">
        <v>46722</v>
      </c>
      <c r="D43" s="22" t="n">
        <v>49155</v>
      </c>
      <c r="E43" s="22" t="n">
        <v>79690</v>
      </c>
      <c r="F43" s="22" t="n">
        <v>43198</v>
      </c>
      <c r="G43" s="22" t="n">
        <v>36492</v>
      </c>
      <c r="H43" s="22" t="n">
        <v>15866</v>
      </c>
      <c r="I43" s="22" t="n">
        <v>3520</v>
      </c>
      <c r="J43" s="22" t="n">
        <v>12346</v>
      </c>
      <c r="K43" s="22" t="n">
        <v>317</v>
      </c>
      <c r="L43" s="22" t="n">
        <v>0</v>
      </c>
      <c r="M43" s="22" t="n">
        <v>317</v>
      </c>
      <c r="N43" s="22" t="n">
        <v>4</v>
      </c>
      <c r="O43" s="22" t="n">
        <v>4</v>
      </c>
      <c r="P43" s="22" t="n">
        <v>0</v>
      </c>
      <c r="Q43" s="23">
        <f>IF(B43=E43+H43+K43+N43,"✓",B43-(E43+H43+K43+N43))</f>
        <v/>
      </c>
      <c r="R43" s="23">
        <f>IF(B43=C43+D43,"✓","✗")</f>
        <v/>
      </c>
    </row>
    <row r="44">
      <c r="A44" s="24" t="inlineStr">
        <is>
          <t>10-15</t>
        </is>
      </c>
      <c r="B44" s="25" t="n">
        <v>82769</v>
      </c>
      <c r="C44" s="25" t="n">
        <v>44066</v>
      </c>
      <c r="D44" s="25" t="n">
        <v>38703</v>
      </c>
      <c r="E44" s="25" t="n">
        <v>55824</v>
      </c>
      <c r="F44" s="25" t="n">
        <v>37163</v>
      </c>
      <c r="G44" s="25" t="n">
        <v>18661</v>
      </c>
      <c r="H44" s="25" t="n">
        <v>26374</v>
      </c>
      <c r="I44" s="25" t="n">
        <v>6884</v>
      </c>
      <c r="J44" s="25" t="n">
        <v>19490</v>
      </c>
      <c r="K44" s="25" t="n">
        <v>542</v>
      </c>
      <c r="L44" s="25" t="n">
        <v>15</v>
      </c>
      <c r="M44" s="25" t="n">
        <v>527</v>
      </c>
      <c r="N44" s="25" t="n">
        <v>29</v>
      </c>
      <c r="O44" s="25" t="n">
        <v>4</v>
      </c>
      <c r="P44" s="25" t="n">
        <v>25</v>
      </c>
      <c r="Q44" s="26">
        <f>IF(B44=E44+H44+K44+N44,"✓",B44-(E44+H44+K44+N44))</f>
        <v/>
      </c>
      <c r="R44" s="26">
        <f>IF(B44=C44+D44,"✓","✗")</f>
        <v/>
      </c>
    </row>
    <row r="45">
      <c r="A45" s="21" t="inlineStr">
        <is>
          <t>15-20</t>
        </is>
      </c>
      <c r="B45" s="22" t="n">
        <v>69161</v>
      </c>
      <c r="C45" s="22" t="n">
        <v>36160</v>
      </c>
      <c r="D45" s="22" t="n">
        <v>33001</v>
      </c>
      <c r="E45" s="22" t="n">
        <v>22080</v>
      </c>
      <c r="F45" s="22" t="n">
        <v>18332</v>
      </c>
      <c r="G45" s="22" t="n">
        <v>3748</v>
      </c>
      <c r="H45" s="22" t="n">
        <v>45731</v>
      </c>
      <c r="I45" s="22" t="n">
        <v>17702</v>
      </c>
      <c r="J45" s="22" t="n">
        <v>28029</v>
      </c>
      <c r="K45" s="22" t="n">
        <v>1294</v>
      </c>
      <c r="L45" s="22" t="n">
        <v>116</v>
      </c>
      <c r="M45" s="22" t="n">
        <v>1178</v>
      </c>
      <c r="N45" s="22" t="n">
        <v>56</v>
      </c>
      <c r="O45" s="22" t="n">
        <v>10</v>
      </c>
      <c r="P45" s="22" t="n">
        <v>46</v>
      </c>
      <c r="Q45" s="23">
        <f>IF(B45=E45+H45+K45+N45,"✓",B45-(E45+H45+K45+N45))</f>
        <v/>
      </c>
      <c r="R45" s="23">
        <f>IF(B45=C45+D45,"✓","✗")</f>
        <v/>
      </c>
    </row>
    <row r="46">
      <c r="A46" s="24" t="inlineStr">
        <is>
          <t>20-30</t>
        </is>
      </c>
      <c r="B46" s="25" t="n">
        <v>143770</v>
      </c>
      <c r="C46" s="25" t="n">
        <v>73255</v>
      </c>
      <c r="D46" s="25" t="n">
        <v>70515</v>
      </c>
      <c r="E46" s="25" t="n">
        <v>17668</v>
      </c>
      <c r="F46" s="25" t="n">
        <v>15530</v>
      </c>
      <c r="G46" s="25" t="n">
        <v>2138</v>
      </c>
      <c r="H46" s="25" t="n">
        <v>117299</v>
      </c>
      <c r="I46" s="25" t="n">
        <v>56082</v>
      </c>
      <c r="J46" s="25" t="n">
        <v>61217</v>
      </c>
      <c r="K46" s="25" t="n">
        <v>8589</v>
      </c>
      <c r="L46" s="25" t="n">
        <v>1554</v>
      </c>
      <c r="M46" s="25" t="n">
        <v>7035</v>
      </c>
      <c r="N46" s="25" t="n">
        <v>214</v>
      </c>
      <c r="O46" s="25" t="n">
        <v>89</v>
      </c>
      <c r="P46" s="25" t="n">
        <v>125</v>
      </c>
      <c r="Q46" s="26">
        <f>IF(B46=E46+H46+K46+N46,"✓",B46-(E46+H46+K46+N46))</f>
        <v/>
      </c>
      <c r="R46" s="26">
        <f>IF(B46=C46+D46,"✓","✗")</f>
        <v/>
      </c>
    </row>
    <row r="47">
      <c r="A47" s="21" t="inlineStr">
        <is>
          <t>30-40</t>
        </is>
      </c>
      <c r="B47" s="22" t="n">
        <v>94001</v>
      </c>
      <c r="C47" s="22" t="n">
        <v>50509</v>
      </c>
      <c r="D47" s="22" t="n">
        <v>43492</v>
      </c>
      <c r="E47" s="22" t="n">
        <v>2716</v>
      </c>
      <c r="F47" s="22" t="n">
        <v>2202</v>
      </c>
      <c r="G47" s="22" t="n">
        <v>514</v>
      </c>
      <c r="H47" s="22" t="n">
        <v>78147</v>
      </c>
      <c r="I47" s="22" t="n">
        <v>45941</v>
      </c>
      <c r="J47" s="22" t="n">
        <v>32206</v>
      </c>
      <c r="K47" s="22" t="n">
        <v>12931</v>
      </c>
      <c r="L47" s="22" t="n">
        <v>2266</v>
      </c>
      <c r="M47" s="22" t="n">
        <v>10665</v>
      </c>
      <c r="N47" s="22" t="n">
        <v>207</v>
      </c>
      <c r="O47" s="22" t="n">
        <v>100</v>
      </c>
      <c r="P47" s="22" t="n">
        <v>107</v>
      </c>
      <c r="Q47" s="23">
        <f>IF(B47=E47+H47+K47+N47,"✓",B47-(E47+H47+K47+N47))</f>
        <v/>
      </c>
      <c r="R47" s="23">
        <f>IF(B47=C47+D47,"✓","✗")</f>
        <v/>
      </c>
    </row>
    <row r="48">
      <c r="A48" s="24" t="inlineStr">
        <is>
          <t>40-50</t>
        </is>
      </c>
      <c r="B48" s="25" t="n">
        <v>66828</v>
      </c>
      <c r="C48" s="25" t="n">
        <v>36233</v>
      </c>
      <c r="D48" s="25" t="n">
        <v>30595</v>
      </c>
      <c r="E48" s="25" t="n">
        <v>1038</v>
      </c>
      <c r="F48" s="25" t="n">
        <v>739</v>
      </c>
      <c r="G48" s="25" t="n">
        <v>299</v>
      </c>
      <c r="H48" s="25" t="n">
        <v>49438</v>
      </c>
      <c r="I48" s="25" t="n">
        <v>32398</v>
      </c>
      <c r="J48" s="25" t="n">
        <v>17040</v>
      </c>
      <c r="K48" s="25" t="n">
        <v>16168</v>
      </c>
      <c r="L48" s="25" t="n">
        <v>3020</v>
      </c>
      <c r="M48" s="25" t="n">
        <v>13148</v>
      </c>
      <c r="N48" s="25" t="n">
        <v>184</v>
      </c>
      <c r="O48" s="25" t="n">
        <v>76</v>
      </c>
      <c r="P48" s="25" t="n">
        <v>108</v>
      </c>
      <c r="Q48" s="26">
        <f>IF(B48=E48+H48+K48+N48,"✓",B48-(E48+H48+K48+N48))</f>
        <v/>
      </c>
      <c r="R48" s="26">
        <f>IF(B48=C48+D48,"✓","✗")</f>
        <v/>
      </c>
    </row>
    <row r="49">
      <c r="A49" s="21" t="inlineStr">
        <is>
          <t>50-60</t>
        </is>
      </c>
      <c r="B49" s="22" t="n">
        <v>40679</v>
      </c>
      <c r="C49" s="22" t="n">
        <v>20732</v>
      </c>
      <c r="D49" s="22" t="n">
        <v>19947</v>
      </c>
      <c r="E49" s="22" t="n">
        <v>622</v>
      </c>
      <c r="F49" s="22" t="n">
        <v>443</v>
      </c>
      <c r="G49" s="22" t="n">
        <v>179</v>
      </c>
      <c r="H49" s="22" t="n">
        <v>24154</v>
      </c>
      <c r="I49" s="22" t="n">
        <v>17189</v>
      </c>
      <c r="J49" s="22" t="n">
        <v>6965</v>
      </c>
      <c r="K49" s="22" t="n">
        <v>15762</v>
      </c>
      <c r="L49" s="22" t="n">
        <v>3031</v>
      </c>
      <c r="M49" s="22" t="n">
        <v>12731</v>
      </c>
      <c r="N49" s="22" t="n">
        <v>141</v>
      </c>
      <c r="O49" s="22" t="n">
        <v>69</v>
      </c>
      <c r="P49" s="22" t="n">
        <v>72</v>
      </c>
      <c r="Q49" s="23">
        <f>IF(B49=E49+H49+K49+N49,"✓",B49-(E49+H49+K49+N49))</f>
        <v/>
      </c>
      <c r="R49" s="23">
        <f>IF(B49=C49+D49,"✓","✗")</f>
        <v/>
      </c>
    </row>
    <row r="50">
      <c r="A50" s="24" t="inlineStr">
        <is>
          <t>60 &amp; over</t>
        </is>
      </c>
      <c r="B50" s="25" t="n">
        <v>38480</v>
      </c>
      <c r="C50" s="25" t="n">
        <v>18250</v>
      </c>
      <c r="D50" s="25" t="n">
        <v>20230</v>
      </c>
      <c r="E50" s="25" t="n">
        <v>253</v>
      </c>
      <c r="F50" s="25" t="n">
        <v>205</v>
      </c>
      <c r="G50" s="25" t="n">
        <v>48</v>
      </c>
      <c r="H50" s="25" t="n">
        <v>20165</v>
      </c>
      <c r="I50" s="25" t="n">
        <v>13675</v>
      </c>
      <c r="J50" s="25" t="n">
        <v>6490</v>
      </c>
      <c r="K50" s="25" t="n">
        <v>17928</v>
      </c>
      <c r="L50" s="25" t="n">
        <v>4324</v>
      </c>
      <c r="M50" s="25" t="n">
        <v>13604</v>
      </c>
      <c r="N50" s="25" t="n">
        <v>134</v>
      </c>
      <c r="O50" s="25" t="n">
        <v>46</v>
      </c>
      <c r="P50" s="25" t="n">
        <v>88</v>
      </c>
      <c r="Q50" s="26">
        <f>IF(B50=E50+H50+K50+N50,"✓",B50-(E50+H50+K50+N50))</f>
        <v/>
      </c>
      <c r="R50" s="26">
        <f>IF(B50=C50+D50,"✓","✗")</f>
        <v/>
      </c>
    </row>
    <row r="51">
      <c r="A51" s="21" t="inlineStr">
        <is>
          <t>Total</t>
        </is>
      </c>
      <c r="B51" s="22" t="n">
        <v>756049</v>
      </c>
      <c r="C51" s="22" t="n">
        <v>389947</v>
      </c>
      <c r="D51" s="22" t="n">
        <v>366102</v>
      </c>
      <c r="E51" s="22" t="n">
        <v>303021</v>
      </c>
      <c r="F51" s="22" t="n">
        <v>181224</v>
      </c>
      <c r="G51" s="22" t="n">
        <v>121797</v>
      </c>
      <c r="H51" s="22" t="n">
        <v>378481</v>
      </c>
      <c r="I51" s="22" t="n">
        <v>193999</v>
      </c>
      <c r="J51" s="22" t="n">
        <v>184482</v>
      </c>
      <c r="K51" s="22" t="n">
        <v>73578</v>
      </c>
      <c r="L51" s="22" t="n">
        <v>14326</v>
      </c>
      <c r="M51" s="22" t="n">
        <v>59252</v>
      </c>
      <c r="N51" s="22" t="n">
        <v>969</v>
      </c>
      <c r="O51" s="22" t="n">
        <v>398</v>
      </c>
      <c r="P51" s="22" t="n">
        <v>571</v>
      </c>
      <c r="Q51" s="23">
        <f>IF(B51=E51+H51+K51+N51,"✓",B51-(E51+H51+K51+N51))</f>
        <v/>
      </c>
      <c r="R51" s="23">
        <f>IF(B51=C51+D51,"✓","✗")</f>
        <v/>
      </c>
    </row>
    <row r="52">
      <c r="A52" s="27" t="inlineStr">
        <is>
          <t>Verify: Sum</t>
        </is>
      </c>
      <c r="B52" s="28">
        <f>IF(SUM(B41:B51)=B40,"✓",SUM(B41:B51)-B40)</f>
        <v/>
      </c>
      <c r="C52" s="28">
        <f>IF(SUM(C41:C51)=C40,"✓",SUM(C41:C51)-C40)</f>
        <v/>
      </c>
      <c r="D52" s="28">
        <f>IF(SUM(D41:D51)=D40,"✓",SUM(D41:D51)-D40)</f>
        <v/>
      </c>
      <c r="E52" s="28">
        <f>IF(SUM(E41:E51)=E40,"✓",SUM(E41:E51)-E40)</f>
        <v/>
      </c>
      <c r="F52" s="28">
        <f>IF(SUM(F41:F51)=F40,"✓",SUM(F41:F51)-F40)</f>
        <v/>
      </c>
      <c r="G52" s="28">
        <f>IF(SUM(G41:G51)=G40,"✓",SUM(G41:G51)-G40)</f>
        <v/>
      </c>
      <c r="H52" s="28">
        <f>IF(SUM(H41:H51)=H40,"✓",SUM(H41:H51)-H40)</f>
        <v/>
      </c>
      <c r="I52" s="28">
        <f>IF(SUM(I41:I51)=I40,"✓",SUM(I41:I51)-I40)</f>
        <v/>
      </c>
      <c r="J52" s="28">
        <f>IF(SUM(J41:J51)=J40,"✓",SUM(J41:J51)-J40)</f>
        <v/>
      </c>
      <c r="K52" s="28">
        <f>IF(SUM(K41:K51)=K40,"✓",SUM(K41:K51)-K40)</f>
        <v/>
      </c>
      <c r="L52" s="28">
        <f>IF(SUM(L41:L51)=L40,"✓",SUM(L41:L51)-L40)</f>
        <v/>
      </c>
      <c r="M52" s="28">
        <f>IF(SUM(M41:M51)=M40,"✓",SUM(M41:M51)-M40)</f>
        <v/>
      </c>
      <c r="N52" s="28">
        <f>IF(SUM(N41:N51)=N40,"✓",SUM(N41:N51)-N40)</f>
        <v/>
      </c>
      <c r="O52" s="28">
        <f>IF(SUM(O41:O51)=O40,"✓",SUM(O41:O51)-O40)</f>
        <v/>
      </c>
      <c r="P52" s="28">
        <f>IF(SUM(P41:P51)=P40,"✓",SUM(P41:P51)-P40)</f>
        <v/>
      </c>
    </row>
  </sheetData>
  <mergeCells count="15">
    <mergeCell ref="H38:J38"/>
    <mergeCell ref="K38:M38"/>
    <mergeCell ref="N38:P38"/>
    <mergeCell ref="E38:G38"/>
    <mergeCell ref="K4:M4"/>
    <mergeCell ref="B4:D4"/>
    <mergeCell ref="H4:J4"/>
    <mergeCell ref="N21:P21"/>
    <mergeCell ref="K21:M21"/>
    <mergeCell ref="E4:G4"/>
    <mergeCell ref="B21:D21"/>
    <mergeCell ref="N4:P4"/>
    <mergeCell ref="B38:D38"/>
    <mergeCell ref="H21:J21"/>
    <mergeCell ref="E21:G21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Q23:Q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R23:R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Q40:Q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R40:R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WARANGAL DISTRICT</t>
        </is>
      </c>
    </row>
    <row r="2">
      <c r="A2" s="3" t="inlineStr">
        <is>
          <t>1. ALL COMMUNITIES.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2643676</v>
      </c>
      <c r="C5" s="19" t="n">
        <v>1364108</v>
      </c>
      <c r="D5" s="19" t="n">
        <v>1279568</v>
      </c>
      <c r="E5" s="19" t="n">
        <v>1081938</v>
      </c>
      <c r="F5" s="19" t="n">
        <v>631552</v>
      </c>
      <c r="G5" s="19" t="n">
        <v>450386</v>
      </c>
      <c r="H5" s="19" t="n">
        <v>1319568</v>
      </c>
      <c r="I5" s="19" t="n">
        <v>675110</v>
      </c>
      <c r="J5" s="19" t="n">
        <v>644458</v>
      </c>
      <c r="K5" s="19" t="n">
        <v>237162</v>
      </c>
      <c r="L5" s="19" t="n">
        <v>55258</v>
      </c>
      <c r="M5" s="19" t="n">
        <v>181904</v>
      </c>
      <c r="N5" s="19" t="n">
        <v>5008</v>
      </c>
      <c r="O5" s="19" t="n">
        <v>2188</v>
      </c>
      <c r="P5" s="19" t="n">
        <v>2820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Total</t>
        </is>
      </c>
      <c r="B6" s="22" t="n">
        <v>1321838</v>
      </c>
      <c r="C6" s="22" t="n">
        <v>682054</v>
      </c>
      <c r="D6" s="22" t="n">
        <v>639784</v>
      </c>
      <c r="E6" s="22" t="n">
        <v>540969</v>
      </c>
      <c r="F6" s="22" t="n">
        <v>315776</v>
      </c>
      <c r="G6" s="22" t="n">
        <v>225193</v>
      </c>
      <c r="H6" s="22" t="n">
        <v>659784</v>
      </c>
      <c r="I6" s="22" t="n">
        <v>337555</v>
      </c>
      <c r="J6" s="22" t="n">
        <v>322229</v>
      </c>
      <c r="K6" s="22" t="n">
        <v>118581</v>
      </c>
      <c r="L6" s="22" t="n">
        <v>27629</v>
      </c>
      <c r="M6" s="22" t="n">
        <v>90952</v>
      </c>
      <c r="N6" s="22" t="n">
        <v>2504</v>
      </c>
      <c r="O6" s="22" t="n">
        <v>1094</v>
      </c>
      <c r="P6" s="22" t="n">
        <v>1410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0-1</t>
        </is>
      </c>
      <c r="B7" s="25" t="n">
        <v>40330</v>
      </c>
      <c r="C7" s="25" t="n">
        <v>20269</v>
      </c>
      <c r="D7" s="25" t="n">
        <v>20061</v>
      </c>
      <c r="E7" s="25" t="n">
        <v>40326</v>
      </c>
      <c r="F7" s="25" t="n">
        <v>20269</v>
      </c>
      <c r="G7" s="25" t="n">
        <v>20057</v>
      </c>
      <c r="H7" s="25" t="n">
        <v>4</v>
      </c>
      <c r="I7" s="25" t="n">
        <v>0</v>
      </c>
      <c r="J7" s="25" t="n">
        <v>4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1-5</t>
        </is>
      </c>
      <c r="B8" s="22" t="n">
        <v>165253</v>
      </c>
      <c r="C8" s="22" t="n">
        <v>83184</v>
      </c>
      <c r="D8" s="22" t="n">
        <v>82069</v>
      </c>
      <c r="E8" s="22" t="n">
        <v>163073</v>
      </c>
      <c r="F8" s="22" t="n">
        <v>82271</v>
      </c>
      <c r="G8" s="22" t="n">
        <v>80802</v>
      </c>
      <c r="H8" s="22" t="n">
        <v>2085</v>
      </c>
      <c r="I8" s="22" t="n">
        <v>912</v>
      </c>
      <c r="J8" s="22" t="n">
        <v>1173</v>
      </c>
      <c r="K8" s="22" t="n">
        <v>95</v>
      </c>
      <c r="L8" s="22" t="n">
        <v>1</v>
      </c>
      <c r="M8" s="22" t="n">
        <v>94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5-10</t>
        </is>
      </c>
      <c r="B9" s="25" t="n">
        <v>167565</v>
      </c>
      <c r="C9" s="25" t="n">
        <v>83344</v>
      </c>
      <c r="D9" s="25" t="n">
        <v>84221</v>
      </c>
      <c r="E9" s="25" t="n">
        <v>144637</v>
      </c>
      <c r="F9" s="25" t="n">
        <v>77637</v>
      </c>
      <c r="G9" s="25" t="n">
        <v>67000</v>
      </c>
      <c r="H9" s="25" t="n">
        <v>22431</v>
      </c>
      <c r="I9" s="25" t="n">
        <v>5673</v>
      </c>
      <c r="J9" s="25" t="n">
        <v>16758</v>
      </c>
      <c r="K9" s="25" t="n">
        <v>487</v>
      </c>
      <c r="L9" s="25" t="n">
        <v>30</v>
      </c>
      <c r="M9" s="25" t="n">
        <v>457</v>
      </c>
      <c r="N9" s="25" t="n">
        <v>10</v>
      </c>
      <c r="O9" s="25" t="n">
        <v>4</v>
      </c>
      <c r="P9" s="25" t="n">
        <v>6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10-15</t>
        </is>
      </c>
      <c r="B10" s="22" t="n">
        <v>150794</v>
      </c>
      <c r="C10" s="22" t="n">
        <v>76822</v>
      </c>
      <c r="D10" s="22" t="n">
        <v>73972</v>
      </c>
      <c r="E10" s="22" t="n">
        <v>105456</v>
      </c>
      <c r="F10" s="22" t="n">
        <v>65200</v>
      </c>
      <c r="G10" s="22" t="n">
        <v>40256</v>
      </c>
      <c r="H10" s="22" t="n">
        <v>44401</v>
      </c>
      <c r="I10" s="22" t="n">
        <v>11528</v>
      </c>
      <c r="J10" s="22" t="n">
        <v>32873</v>
      </c>
      <c r="K10" s="22" t="n">
        <v>880</v>
      </c>
      <c r="L10" s="22" t="n">
        <v>87</v>
      </c>
      <c r="M10" s="22" t="n">
        <v>793</v>
      </c>
      <c r="N10" s="22" t="n">
        <v>57</v>
      </c>
      <c r="O10" s="22" t="n">
        <v>7</v>
      </c>
      <c r="P10" s="22" t="n">
        <v>50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15-20</t>
        </is>
      </c>
      <c r="B11" s="25" t="n">
        <v>126185</v>
      </c>
      <c r="C11" s="25" t="n">
        <v>65349</v>
      </c>
      <c r="D11" s="25" t="n">
        <v>60836</v>
      </c>
      <c r="E11" s="25" t="n">
        <v>44697</v>
      </c>
      <c r="F11" s="25" t="n">
        <v>34127</v>
      </c>
      <c r="G11" s="25" t="n">
        <v>10570</v>
      </c>
      <c r="H11" s="25" t="n">
        <v>79213</v>
      </c>
      <c r="I11" s="25" t="n">
        <v>30935</v>
      </c>
      <c r="J11" s="25" t="n">
        <v>48278</v>
      </c>
      <c r="K11" s="25" t="n">
        <v>2148</v>
      </c>
      <c r="L11" s="25" t="n">
        <v>265</v>
      </c>
      <c r="M11" s="25" t="n">
        <v>1883</v>
      </c>
      <c r="N11" s="25" t="n">
        <v>127</v>
      </c>
      <c r="O11" s="25" t="n">
        <v>22</v>
      </c>
      <c r="P11" s="25" t="n">
        <v>105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20-30</t>
        </is>
      </c>
      <c r="B12" s="22" t="n">
        <v>245768</v>
      </c>
      <c r="C12" s="22" t="n">
        <v>126211</v>
      </c>
      <c r="D12" s="22" t="n">
        <v>119557</v>
      </c>
      <c r="E12" s="22" t="n">
        <v>32112</v>
      </c>
      <c r="F12" s="22" t="n">
        <v>27871</v>
      </c>
      <c r="G12" s="22" t="n">
        <v>4241</v>
      </c>
      <c r="H12" s="22" t="n">
        <v>200752</v>
      </c>
      <c r="I12" s="22" t="n">
        <v>95428</v>
      </c>
      <c r="J12" s="22" t="n">
        <v>105324</v>
      </c>
      <c r="K12" s="22" t="n">
        <v>12411</v>
      </c>
      <c r="L12" s="22" t="n">
        <v>2701</v>
      </c>
      <c r="M12" s="22" t="n">
        <v>9710</v>
      </c>
      <c r="N12" s="22" t="n">
        <v>493</v>
      </c>
      <c r="O12" s="22" t="n">
        <v>211</v>
      </c>
      <c r="P12" s="22" t="n">
        <v>282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30-40</t>
        </is>
      </c>
      <c r="B13" s="25" t="n">
        <v>163580</v>
      </c>
      <c r="C13" s="25" t="n">
        <v>87186</v>
      </c>
      <c r="D13" s="25" t="n">
        <v>76394</v>
      </c>
      <c r="E13" s="25" t="n">
        <v>5809</v>
      </c>
      <c r="F13" s="25" t="n">
        <v>4726</v>
      </c>
      <c r="G13" s="25" t="n">
        <v>1083</v>
      </c>
      <c r="H13" s="25" t="n">
        <v>136938</v>
      </c>
      <c r="I13" s="25" t="n">
        <v>77910</v>
      </c>
      <c r="J13" s="25" t="n">
        <v>59028</v>
      </c>
      <c r="K13" s="25" t="n">
        <v>20273</v>
      </c>
      <c r="L13" s="25" t="n">
        <v>4282</v>
      </c>
      <c r="M13" s="25" t="n">
        <v>15991</v>
      </c>
      <c r="N13" s="25" t="n">
        <v>560</v>
      </c>
      <c r="O13" s="25" t="n">
        <v>268</v>
      </c>
      <c r="P13" s="25" t="n">
        <v>292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40-50</t>
        </is>
      </c>
      <c r="B14" s="22" t="n">
        <v>117363</v>
      </c>
      <c r="C14" s="22" t="n">
        <v>64603</v>
      </c>
      <c r="D14" s="22" t="n">
        <v>52760</v>
      </c>
      <c r="E14" s="22" t="n">
        <v>2539</v>
      </c>
      <c r="F14" s="22" t="n">
        <v>1903</v>
      </c>
      <c r="G14" s="22" t="n">
        <v>636</v>
      </c>
      <c r="H14" s="22" t="n">
        <v>87897</v>
      </c>
      <c r="I14" s="22" t="n">
        <v>56565</v>
      </c>
      <c r="J14" s="22" t="n">
        <v>31332</v>
      </c>
      <c r="K14" s="22" t="n">
        <v>26427</v>
      </c>
      <c r="L14" s="22" t="n">
        <v>5914</v>
      </c>
      <c r="M14" s="22" t="n">
        <v>20513</v>
      </c>
      <c r="N14" s="22" t="n">
        <v>500</v>
      </c>
      <c r="O14" s="22" t="n">
        <v>221</v>
      </c>
      <c r="P14" s="22" t="n">
        <v>279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50-60</t>
        </is>
      </c>
      <c r="B15" s="25" t="n">
        <v>77499</v>
      </c>
      <c r="C15" s="25" t="n">
        <v>41478</v>
      </c>
      <c r="D15" s="25" t="n">
        <v>36021</v>
      </c>
      <c r="E15" s="25" t="n">
        <v>1437</v>
      </c>
      <c r="F15" s="25" t="n">
        <v>1097</v>
      </c>
      <c r="G15" s="25" t="n">
        <v>340</v>
      </c>
      <c r="H15" s="25" t="n">
        <v>48824</v>
      </c>
      <c r="I15" s="25" t="n">
        <v>33740</v>
      </c>
      <c r="J15" s="25" t="n">
        <v>15084</v>
      </c>
      <c r="K15" s="25" t="n">
        <v>26883</v>
      </c>
      <c r="L15" s="25" t="n">
        <v>6468</v>
      </c>
      <c r="M15" s="25" t="n">
        <v>20415</v>
      </c>
      <c r="N15" s="25" t="n">
        <v>355</v>
      </c>
      <c r="O15" s="25" t="n">
        <v>173</v>
      </c>
      <c r="P15" s="25" t="n">
        <v>182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60 &amp; over</t>
        </is>
      </c>
      <c r="B16" s="22" t="n">
        <v>67501</v>
      </c>
      <c r="C16" s="22" t="n">
        <v>33608</v>
      </c>
      <c r="D16" s="22" t="n">
        <v>33893</v>
      </c>
      <c r="E16" s="22" t="n">
        <v>883</v>
      </c>
      <c r="F16" s="22" t="n">
        <v>675</v>
      </c>
      <c r="G16" s="22" t="n">
        <v>208</v>
      </c>
      <c r="H16" s="22" t="n">
        <v>37239</v>
      </c>
      <c r="I16" s="22" t="n">
        <v>24864</v>
      </c>
      <c r="J16" s="22" t="n">
        <v>12375</v>
      </c>
      <c r="K16" s="22" t="n">
        <v>28977</v>
      </c>
      <c r="L16" s="22" t="n">
        <v>7881</v>
      </c>
      <c r="M16" s="22" t="n">
        <v>21096</v>
      </c>
      <c r="N16" s="22" t="n">
        <v>402</v>
      </c>
      <c r="O16" s="22" t="n">
        <v>188</v>
      </c>
      <c r="P16" s="22" t="n">
        <v>214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WARANGAL DISTRICT</t>
        </is>
      </c>
    </row>
    <row r="2">
      <c r="A2" s="3" t="inlineStr">
        <is>
          <t>2. Brahmanic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47750</v>
      </c>
      <c r="C5" s="19" t="n">
        <v>23030</v>
      </c>
      <c r="D5" s="19" t="n">
        <v>24720</v>
      </c>
      <c r="E5" s="19" t="n">
        <v>20338</v>
      </c>
      <c r="F5" s="19" t="n">
        <v>9870</v>
      </c>
      <c r="G5" s="19" t="n">
        <v>10468</v>
      </c>
      <c r="H5" s="19" t="n">
        <v>26338</v>
      </c>
      <c r="I5" s="19" t="n">
        <v>12850</v>
      </c>
      <c r="J5" s="19" t="n">
        <v>13488</v>
      </c>
      <c r="K5" s="19" t="n">
        <v>1074</v>
      </c>
      <c r="L5" s="19" t="n">
        <v>310</v>
      </c>
      <c r="M5" s="19" t="n">
        <v>764</v>
      </c>
      <c r="N5" s="19" t="n">
        <v>0</v>
      </c>
      <c r="O5" s="19" t="n">
        <v>0</v>
      </c>
      <c r="P5" s="19" t="n">
        <v>0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555</v>
      </c>
      <c r="C6" s="22" t="n">
        <v>257</v>
      </c>
      <c r="D6" s="22" t="n">
        <v>298</v>
      </c>
      <c r="E6" s="22" t="n">
        <v>555</v>
      </c>
      <c r="F6" s="22" t="n">
        <v>257</v>
      </c>
      <c r="G6" s="22" t="n">
        <v>298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2414</v>
      </c>
      <c r="C7" s="25" t="n">
        <v>1136</v>
      </c>
      <c r="D7" s="25" t="n">
        <v>1278</v>
      </c>
      <c r="E7" s="25" t="n">
        <v>2399</v>
      </c>
      <c r="F7" s="25" t="n">
        <v>1134</v>
      </c>
      <c r="G7" s="25" t="n">
        <v>1265</v>
      </c>
      <c r="H7" s="25" t="n">
        <v>15</v>
      </c>
      <c r="I7" s="25" t="n">
        <v>2</v>
      </c>
      <c r="J7" s="25" t="n">
        <v>13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2876</v>
      </c>
      <c r="C8" s="22" t="n">
        <v>1009</v>
      </c>
      <c r="D8" s="22" t="n">
        <v>1867</v>
      </c>
      <c r="E8" s="22" t="n">
        <v>2747</v>
      </c>
      <c r="F8" s="22" t="n">
        <v>984</v>
      </c>
      <c r="G8" s="22" t="n">
        <v>1763</v>
      </c>
      <c r="H8" s="22" t="n">
        <v>128</v>
      </c>
      <c r="I8" s="22" t="n">
        <v>25</v>
      </c>
      <c r="J8" s="22" t="n">
        <v>103</v>
      </c>
      <c r="K8" s="22" t="n">
        <v>1</v>
      </c>
      <c r="L8" s="22" t="n">
        <v>0</v>
      </c>
      <c r="M8" s="22" t="n">
        <v>1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2819</v>
      </c>
      <c r="C9" s="25" t="n">
        <v>1095</v>
      </c>
      <c r="D9" s="25" t="n">
        <v>1724</v>
      </c>
      <c r="E9" s="25" t="n">
        <v>2034</v>
      </c>
      <c r="F9" s="25" t="n">
        <v>925</v>
      </c>
      <c r="G9" s="25" t="n">
        <v>1109</v>
      </c>
      <c r="H9" s="25" t="n">
        <v>779</v>
      </c>
      <c r="I9" s="25" t="n">
        <v>170</v>
      </c>
      <c r="J9" s="25" t="n">
        <v>609</v>
      </c>
      <c r="K9" s="25" t="n">
        <v>6</v>
      </c>
      <c r="L9" s="25" t="n">
        <v>0</v>
      </c>
      <c r="M9" s="25" t="n">
        <v>6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2771</v>
      </c>
      <c r="C10" s="22" t="n">
        <v>1390</v>
      </c>
      <c r="D10" s="22" t="n">
        <v>1381</v>
      </c>
      <c r="E10" s="22" t="n">
        <v>1205</v>
      </c>
      <c r="F10" s="22" t="n">
        <v>698</v>
      </c>
      <c r="G10" s="22" t="n">
        <v>507</v>
      </c>
      <c r="H10" s="22" t="n">
        <v>1544</v>
      </c>
      <c r="I10" s="22" t="n">
        <v>687</v>
      </c>
      <c r="J10" s="22" t="n">
        <v>857</v>
      </c>
      <c r="K10" s="22" t="n">
        <v>22</v>
      </c>
      <c r="L10" s="22" t="n">
        <v>5</v>
      </c>
      <c r="M10" s="22" t="n">
        <v>17</v>
      </c>
      <c r="N10" s="22" t="n">
        <v>0</v>
      </c>
      <c r="O10" s="22" t="n">
        <v>0</v>
      </c>
      <c r="P10" s="22" t="n">
        <v>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4263</v>
      </c>
      <c r="C11" s="25" t="n">
        <v>2245</v>
      </c>
      <c r="D11" s="25" t="n">
        <v>2018</v>
      </c>
      <c r="E11" s="25" t="n">
        <v>1132</v>
      </c>
      <c r="F11" s="25" t="n">
        <v>843</v>
      </c>
      <c r="G11" s="25" t="n">
        <v>289</v>
      </c>
      <c r="H11" s="25" t="n">
        <v>3057</v>
      </c>
      <c r="I11" s="25" t="n">
        <v>1388</v>
      </c>
      <c r="J11" s="25" t="n">
        <v>1669</v>
      </c>
      <c r="K11" s="25" t="n">
        <v>74</v>
      </c>
      <c r="L11" s="25" t="n">
        <v>14</v>
      </c>
      <c r="M11" s="25" t="n">
        <v>60</v>
      </c>
      <c r="N11" s="25" t="n">
        <v>0</v>
      </c>
      <c r="O11" s="25" t="n">
        <v>0</v>
      </c>
      <c r="P11" s="25" t="n">
        <v>0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3669</v>
      </c>
      <c r="C12" s="22" t="n">
        <v>1830</v>
      </c>
      <c r="D12" s="22" t="n">
        <v>1839</v>
      </c>
      <c r="E12" s="22" t="n">
        <v>62</v>
      </c>
      <c r="F12" s="22" t="n">
        <v>62</v>
      </c>
      <c r="G12" s="22" t="n">
        <v>0</v>
      </c>
      <c r="H12" s="22" t="n">
        <v>3497</v>
      </c>
      <c r="I12" s="22" t="n">
        <v>1732</v>
      </c>
      <c r="J12" s="22" t="n">
        <v>1765</v>
      </c>
      <c r="K12" s="22" t="n">
        <v>110</v>
      </c>
      <c r="L12" s="22" t="n">
        <v>36</v>
      </c>
      <c r="M12" s="22" t="n">
        <v>74</v>
      </c>
      <c r="N12" s="22" t="n">
        <v>0</v>
      </c>
      <c r="O12" s="22" t="n">
        <v>0</v>
      </c>
      <c r="P12" s="22" t="n">
        <v>0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1769</v>
      </c>
      <c r="C13" s="25" t="n">
        <v>930</v>
      </c>
      <c r="D13" s="25" t="n">
        <v>839</v>
      </c>
      <c r="E13" s="25" t="n">
        <v>12</v>
      </c>
      <c r="F13" s="25" t="n">
        <v>11</v>
      </c>
      <c r="G13" s="25" t="n">
        <v>1</v>
      </c>
      <c r="H13" s="25" t="n">
        <v>1625</v>
      </c>
      <c r="I13" s="25" t="n">
        <v>884</v>
      </c>
      <c r="J13" s="25" t="n">
        <v>741</v>
      </c>
      <c r="K13" s="25" t="n">
        <v>132</v>
      </c>
      <c r="L13" s="25" t="n">
        <v>35</v>
      </c>
      <c r="M13" s="25" t="n">
        <v>97</v>
      </c>
      <c r="N13" s="25" t="n">
        <v>0</v>
      </c>
      <c r="O13" s="25" t="n">
        <v>0</v>
      </c>
      <c r="P13" s="25" t="n">
        <v>0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1362</v>
      </c>
      <c r="C14" s="22" t="n">
        <v>734</v>
      </c>
      <c r="D14" s="22" t="n">
        <v>628</v>
      </c>
      <c r="E14" s="22" t="n">
        <v>15</v>
      </c>
      <c r="F14" s="22" t="n">
        <v>13</v>
      </c>
      <c r="G14" s="22" t="n">
        <v>2</v>
      </c>
      <c r="H14" s="22" t="n">
        <v>1274</v>
      </c>
      <c r="I14" s="22" t="n">
        <v>703</v>
      </c>
      <c r="J14" s="22" t="n">
        <v>571</v>
      </c>
      <c r="K14" s="22" t="n">
        <v>73</v>
      </c>
      <c r="L14" s="22" t="n">
        <v>18</v>
      </c>
      <c r="M14" s="22" t="n">
        <v>55</v>
      </c>
      <c r="N14" s="22" t="n">
        <v>0</v>
      </c>
      <c r="O14" s="22" t="n">
        <v>0</v>
      </c>
      <c r="P14" s="22" t="n">
        <v>0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1377</v>
      </c>
      <c r="C15" s="25" t="n">
        <v>889</v>
      </c>
      <c r="D15" s="25" t="n">
        <v>488</v>
      </c>
      <c r="E15" s="25" t="n">
        <v>8</v>
      </c>
      <c r="F15" s="25" t="n">
        <v>8</v>
      </c>
      <c r="G15" s="25" t="n">
        <v>0</v>
      </c>
      <c r="H15" s="25" t="n">
        <v>1250</v>
      </c>
      <c r="I15" s="25" t="n">
        <v>834</v>
      </c>
      <c r="J15" s="25" t="n">
        <v>416</v>
      </c>
      <c r="K15" s="25" t="n">
        <v>119</v>
      </c>
      <c r="L15" s="25" t="n">
        <v>47</v>
      </c>
      <c r="M15" s="25" t="n">
        <v>72</v>
      </c>
      <c r="N15" s="25" t="n">
        <v>0</v>
      </c>
      <c r="O15" s="25" t="n">
        <v>0</v>
      </c>
      <c r="P15" s="25" t="n">
        <v>0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23875</v>
      </c>
      <c r="C16" s="22" t="n">
        <v>11515</v>
      </c>
      <c r="D16" s="22" t="n">
        <v>12360</v>
      </c>
      <c r="E16" s="22" t="n">
        <v>10169</v>
      </c>
      <c r="F16" s="22" t="n">
        <v>4935</v>
      </c>
      <c r="G16" s="22" t="n">
        <v>5234</v>
      </c>
      <c r="H16" s="22" t="n">
        <v>13169</v>
      </c>
      <c r="I16" s="22" t="n">
        <v>6425</v>
      </c>
      <c r="J16" s="22" t="n">
        <v>6744</v>
      </c>
      <c r="K16" s="22" t="n">
        <v>537</v>
      </c>
      <c r="L16" s="22" t="n">
        <v>155</v>
      </c>
      <c r="M16" s="22" t="n">
        <v>382</v>
      </c>
      <c r="N16" s="22" t="n">
        <v>0</v>
      </c>
      <c r="O16" s="22" t="n">
        <v>0</v>
      </c>
      <c r="P16" s="22" t="n">
        <v>0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WARANGAL DISTRICT</t>
        </is>
      </c>
    </row>
    <row r="2">
      <c r="A2" s="3" t="inlineStr">
        <is>
          <t>3. Other Hindus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1512098</v>
      </c>
      <c r="C5" s="19" t="n">
        <v>779894</v>
      </c>
      <c r="D5" s="19" t="n">
        <v>732204</v>
      </c>
      <c r="E5" s="19" t="n">
        <v>606042</v>
      </c>
      <c r="F5" s="19" t="n">
        <v>362448</v>
      </c>
      <c r="G5" s="19" t="n">
        <v>243594</v>
      </c>
      <c r="H5" s="19" t="n">
        <v>756962</v>
      </c>
      <c r="I5" s="19" t="n">
        <v>387998</v>
      </c>
      <c r="J5" s="19" t="n">
        <v>368964</v>
      </c>
      <c r="K5" s="19" t="n">
        <v>147156</v>
      </c>
      <c r="L5" s="19" t="n">
        <v>28652</v>
      </c>
      <c r="M5" s="19" t="n">
        <v>118504</v>
      </c>
      <c r="N5" s="19" t="n">
        <v>1938</v>
      </c>
      <c r="O5" s="19" t="n">
        <v>796</v>
      </c>
      <c r="P5" s="19" t="n">
        <v>1142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25072</v>
      </c>
      <c r="C6" s="22" t="n">
        <v>12926</v>
      </c>
      <c r="D6" s="22" t="n">
        <v>12146</v>
      </c>
      <c r="E6" s="22" t="n">
        <v>25068</v>
      </c>
      <c r="F6" s="22" t="n">
        <v>12926</v>
      </c>
      <c r="G6" s="22" t="n">
        <v>12142</v>
      </c>
      <c r="H6" s="22" t="n">
        <v>4</v>
      </c>
      <c r="I6" s="22" t="n">
        <v>0</v>
      </c>
      <c r="J6" s="22" t="n">
        <v>4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99412</v>
      </c>
      <c r="C7" s="25" t="n">
        <v>51094</v>
      </c>
      <c r="D7" s="25" t="n">
        <v>48318</v>
      </c>
      <c r="E7" s="25" t="n">
        <v>98062</v>
      </c>
      <c r="F7" s="25" t="n">
        <v>50486</v>
      </c>
      <c r="G7" s="25" t="n">
        <v>47576</v>
      </c>
      <c r="H7" s="25" t="n">
        <v>1303</v>
      </c>
      <c r="I7" s="25" t="n">
        <v>608</v>
      </c>
      <c r="J7" s="25" t="n">
        <v>695</v>
      </c>
      <c r="K7" s="25" t="n">
        <v>47</v>
      </c>
      <c r="L7" s="25" t="n">
        <v>0</v>
      </c>
      <c r="M7" s="25" t="n">
        <v>47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95877</v>
      </c>
      <c r="C8" s="22" t="n">
        <v>46722</v>
      </c>
      <c r="D8" s="22" t="n">
        <v>49155</v>
      </c>
      <c r="E8" s="22" t="n">
        <v>79690</v>
      </c>
      <c r="F8" s="22" t="n">
        <v>43198</v>
      </c>
      <c r="G8" s="22" t="n">
        <v>36492</v>
      </c>
      <c r="H8" s="22" t="n">
        <v>15866</v>
      </c>
      <c r="I8" s="22" t="n">
        <v>3520</v>
      </c>
      <c r="J8" s="22" t="n">
        <v>12346</v>
      </c>
      <c r="K8" s="22" t="n">
        <v>317</v>
      </c>
      <c r="L8" s="22" t="n">
        <v>0</v>
      </c>
      <c r="M8" s="22" t="n">
        <v>317</v>
      </c>
      <c r="N8" s="22" t="n">
        <v>4</v>
      </c>
      <c r="O8" s="22" t="n">
        <v>4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82769</v>
      </c>
      <c r="C9" s="25" t="n">
        <v>44066</v>
      </c>
      <c r="D9" s="25" t="n">
        <v>38703</v>
      </c>
      <c r="E9" s="25" t="n">
        <v>55824</v>
      </c>
      <c r="F9" s="25" t="n">
        <v>37163</v>
      </c>
      <c r="G9" s="25" t="n">
        <v>18661</v>
      </c>
      <c r="H9" s="25" t="n">
        <v>26374</v>
      </c>
      <c r="I9" s="25" t="n">
        <v>6884</v>
      </c>
      <c r="J9" s="25" t="n">
        <v>19490</v>
      </c>
      <c r="K9" s="25" t="n">
        <v>542</v>
      </c>
      <c r="L9" s="25" t="n">
        <v>15</v>
      </c>
      <c r="M9" s="25" t="n">
        <v>527</v>
      </c>
      <c r="N9" s="25" t="n">
        <v>29</v>
      </c>
      <c r="O9" s="25" t="n">
        <v>4</v>
      </c>
      <c r="P9" s="25" t="n">
        <v>25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69161</v>
      </c>
      <c r="C10" s="22" t="n">
        <v>36160</v>
      </c>
      <c r="D10" s="22" t="n">
        <v>33001</v>
      </c>
      <c r="E10" s="22" t="n">
        <v>22080</v>
      </c>
      <c r="F10" s="22" t="n">
        <v>18332</v>
      </c>
      <c r="G10" s="22" t="n">
        <v>3748</v>
      </c>
      <c r="H10" s="22" t="n">
        <v>45731</v>
      </c>
      <c r="I10" s="22" t="n">
        <v>17702</v>
      </c>
      <c r="J10" s="22" t="n">
        <v>28029</v>
      </c>
      <c r="K10" s="22" t="n">
        <v>1294</v>
      </c>
      <c r="L10" s="22" t="n">
        <v>116</v>
      </c>
      <c r="M10" s="22" t="n">
        <v>1178</v>
      </c>
      <c r="N10" s="22" t="n">
        <v>56</v>
      </c>
      <c r="O10" s="22" t="n">
        <v>10</v>
      </c>
      <c r="P10" s="22" t="n">
        <v>46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143770</v>
      </c>
      <c r="C11" s="25" t="n">
        <v>73255</v>
      </c>
      <c r="D11" s="25" t="n">
        <v>70515</v>
      </c>
      <c r="E11" s="25" t="n">
        <v>17668</v>
      </c>
      <c r="F11" s="25" t="n">
        <v>15530</v>
      </c>
      <c r="G11" s="25" t="n">
        <v>2138</v>
      </c>
      <c r="H11" s="25" t="n">
        <v>117299</v>
      </c>
      <c r="I11" s="25" t="n">
        <v>56082</v>
      </c>
      <c r="J11" s="25" t="n">
        <v>61217</v>
      </c>
      <c r="K11" s="25" t="n">
        <v>8589</v>
      </c>
      <c r="L11" s="25" t="n">
        <v>1554</v>
      </c>
      <c r="M11" s="25" t="n">
        <v>7035</v>
      </c>
      <c r="N11" s="25" t="n">
        <v>214</v>
      </c>
      <c r="O11" s="25" t="n">
        <v>89</v>
      </c>
      <c r="P11" s="25" t="n">
        <v>125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94001</v>
      </c>
      <c r="C12" s="22" t="n">
        <v>50509</v>
      </c>
      <c r="D12" s="22" t="n">
        <v>43492</v>
      </c>
      <c r="E12" s="22" t="n">
        <v>2716</v>
      </c>
      <c r="F12" s="22" t="n">
        <v>2202</v>
      </c>
      <c r="G12" s="22" t="n">
        <v>514</v>
      </c>
      <c r="H12" s="22" t="n">
        <v>78147</v>
      </c>
      <c r="I12" s="22" t="n">
        <v>45941</v>
      </c>
      <c r="J12" s="22" t="n">
        <v>32206</v>
      </c>
      <c r="K12" s="22" t="n">
        <v>12931</v>
      </c>
      <c r="L12" s="22" t="n">
        <v>2266</v>
      </c>
      <c r="M12" s="22" t="n">
        <v>10665</v>
      </c>
      <c r="N12" s="22" t="n">
        <v>207</v>
      </c>
      <c r="O12" s="22" t="n">
        <v>100</v>
      </c>
      <c r="P12" s="22" t="n">
        <v>107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66828</v>
      </c>
      <c r="C13" s="25" t="n">
        <v>36233</v>
      </c>
      <c r="D13" s="25" t="n">
        <v>30595</v>
      </c>
      <c r="E13" s="25" t="n">
        <v>1038</v>
      </c>
      <c r="F13" s="25" t="n">
        <v>739</v>
      </c>
      <c r="G13" s="25" t="n">
        <v>299</v>
      </c>
      <c r="H13" s="25" t="n">
        <v>49438</v>
      </c>
      <c r="I13" s="25" t="n">
        <v>32398</v>
      </c>
      <c r="J13" s="25" t="n">
        <v>17040</v>
      </c>
      <c r="K13" s="25" t="n">
        <v>16168</v>
      </c>
      <c r="L13" s="25" t="n">
        <v>3020</v>
      </c>
      <c r="M13" s="25" t="n">
        <v>13148</v>
      </c>
      <c r="N13" s="25" t="n">
        <v>184</v>
      </c>
      <c r="O13" s="25" t="n">
        <v>76</v>
      </c>
      <c r="P13" s="25" t="n">
        <v>108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40679</v>
      </c>
      <c r="C14" s="22" t="n">
        <v>20732</v>
      </c>
      <c r="D14" s="22" t="n">
        <v>19947</v>
      </c>
      <c r="E14" s="22" t="n">
        <v>622</v>
      </c>
      <c r="F14" s="22" t="n">
        <v>443</v>
      </c>
      <c r="G14" s="22" t="n">
        <v>179</v>
      </c>
      <c r="H14" s="22" t="n">
        <v>24154</v>
      </c>
      <c r="I14" s="22" t="n">
        <v>17189</v>
      </c>
      <c r="J14" s="22" t="n">
        <v>6965</v>
      </c>
      <c r="K14" s="22" t="n">
        <v>15762</v>
      </c>
      <c r="L14" s="22" t="n">
        <v>3031</v>
      </c>
      <c r="M14" s="22" t="n">
        <v>12731</v>
      </c>
      <c r="N14" s="22" t="n">
        <v>141</v>
      </c>
      <c r="O14" s="22" t="n">
        <v>69</v>
      </c>
      <c r="P14" s="22" t="n">
        <v>72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38480</v>
      </c>
      <c r="C15" s="25" t="n">
        <v>18250</v>
      </c>
      <c r="D15" s="25" t="n">
        <v>20230</v>
      </c>
      <c r="E15" s="25" t="n">
        <v>253</v>
      </c>
      <c r="F15" s="25" t="n">
        <v>205</v>
      </c>
      <c r="G15" s="25" t="n">
        <v>48</v>
      </c>
      <c r="H15" s="25" t="n">
        <v>20165</v>
      </c>
      <c r="I15" s="25" t="n">
        <v>13675</v>
      </c>
      <c r="J15" s="25" t="n">
        <v>6490</v>
      </c>
      <c r="K15" s="25" t="n">
        <v>17928</v>
      </c>
      <c r="L15" s="25" t="n">
        <v>4324</v>
      </c>
      <c r="M15" s="25" t="n">
        <v>13604</v>
      </c>
      <c r="N15" s="25" t="n">
        <v>134</v>
      </c>
      <c r="O15" s="25" t="n">
        <v>46</v>
      </c>
      <c r="P15" s="25" t="n">
        <v>88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756049</v>
      </c>
      <c r="C16" s="22" t="n">
        <v>389947</v>
      </c>
      <c r="D16" s="22" t="n">
        <v>366102</v>
      </c>
      <c r="E16" s="22" t="n">
        <v>303021</v>
      </c>
      <c r="F16" s="22" t="n">
        <v>181224</v>
      </c>
      <c r="G16" s="22" t="n">
        <v>121797</v>
      </c>
      <c r="H16" s="22" t="n">
        <v>378481</v>
      </c>
      <c r="I16" s="22" t="n">
        <v>193999</v>
      </c>
      <c r="J16" s="22" t="n">
        <v>184482</v>
      </c>
      <c r="K16" s="22" t="n">
        <v>73578</v>
      </c>
      <c r="L16" s="22" t="n">
        <v>14326</v>
      </c>
      <c r="M16" s="22" t="n">
        <v>59252</v>
      </c>
      <c r="N16" s="22" t="n">
        <v>969</v>
      </c>
      <c r="O16" s="22" t="n">
        <v>398</v>
      </c>
      <c r="P16" s="22" t="n">
        <v>571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2026-03-02T21:33:07Z</dcterms:created>
  <dcterms:modified xmlns:dcterms="http://purl.org/dc/terms/" xmlns:xsi="http://www.w3.org/2001/XMLSchema-instance" xsi:type="dcterms:W3CDTF">2026-03-02T21:33:07Z</dcterms:modified>
</cp:coreProperties>
</file>