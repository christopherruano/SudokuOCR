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 - Total Pop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5" fillId="4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2" pivotButton="0" quotePrefix="0" xfId="0"/>
    <xf numFmtId="3" fontId="6" fillId="5" borderId="2" pivotButton="0" quotePrefix="0" xfId="0"/>
    <xf numFmtId="0" fontId="6" fillId="5" borderId="2" applyAlignment="1" pivotButton="0" quotePrefix="0" xfId="0">
      <alignment horizontal="center"/>
    </xf>
    <xf numFmtId="0" fontId="7" fillId="6" borderId="2" pivotButton="0" quotePrefix="0" xfId="0"/>
    <xf numFmtId="3" fontId="7" fillId="6" borderId="2" pivotButton="0" quotePrefix="0" xfId="0"/>
    <xf numFmtId="0" fontId="7" fillId="6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</cols>
  <sheetData>
    <row r="1">
      <c r="A1" s="1" t="inlineStr">
        <is>
          <t>Eastern Division</t>
        </is>
      </c>
    </row>
    <row r="2">
      <c r="A2" s="2" t="inlineStr">
        <is>
          <t>Source: Age, Sex and Civil Condition. - Eastern Division.</t>
        </is>
      </c>
    </row>
    <row r="3">
      <c r="A3" s="3" t="inlineStr">
        <is>
          <t>A - Total Population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Check</t>
        </is>
      </c>
    </row>
    <row r="5">
      <c r="A5" s="10" t="inlineStr"/>
      <c r="B5" s="11" t="inlineStr">
        <is>
          <t>Persons</t>
        </is>
      </c>
      <c r="C5" s="11" t="inlineStr">
        <is>
          <t>Males</t>
        </is>
      </c>
      <c r="D5" s="11" t="inlineStr">
        <is>
          <t>Females</t>
        </is>
      </c>
      <c r="E5" s="11" t="inlineStr">
        <is>
          <t>Persons</t>
        </is>
      </c>
      <c r="F5" s="11" t="inlineStr">
        <is>
          <t>Males</t>
        </is>
      </c>
      <c r="G5" s="11" t="inlineStr">
        <is>
          <t>Females</t>
        </is>
      </c>
      <c r="H5" s="11" t="inlineStr">
        <is>
          <t>M+F=P</t>
        </is>
      </c>
    </row>
    <row r="6">
      <c r="A6" s="12" t="inlineStr">
        <is>
          <t>Total</t>
        </is>
      </c>
      <c r="B6" s="13" t="n">
        <v>1261556</v>
      </c>
      <c r="C6" s="13" t="n">
        <v>641095</v>
      </c>
      <c r="D6" s="13" t="n">
        <v>620461</v>
      </c>
      <c r="E6" s="13" t="n">
        <v>591844</v>
      </c>
      <c r="F6" s="13" t="n">
        <v>325071</v>
      </c>
      <c r="G6" s="13" t="n">
        <v>266773</v>
      </c>
      <c r="H6" s="14">
        <f>IF(B6=C6+D6,"✓","✗")</f>
        <v/>
      </c>
    </row>
    <row r="7">
      <c r="A7" s="15" t="inlineStr">
        <is>
          <t>0-1</t>
        </is>
      </c>
      <c r="B7" s="16" t="n">
        <v>32217</v>
      </c>
      <c r="C7" s="16" t="n">
        <v>14919</v>
      </c>
      <c r="D7" s="16" t="n">
        <v>17298</v>
      </c>
      <c r="E7" s="16" t="n">
        <v>32217</v>
      </c>
      <c r="F7" s="16" t="n">
        <v>14919</v>
      </c>
      <c r="G7" s="16" t="n">
        <v>17298</v>
      </c>
      <c r="H7" s="17">
        <f>IF(B7=C7+D7,"✓","✗")</f>
        <v/>
      </c>
    </row>
    <row r="8">
      <c r="A8" s="18" t="inlineStr">
        <is>
          <t>1-2</t>
        </is>
      </c>
      <c r="B8" s="19" t="n">
        <v>30401</v>
      </c>
      <c r="C8" s="19" t="n">
        <v>14637</v>
      </c>
      <c r="D8" s="19" t="n">
        <v>15764</v>
      </c>
      <c r="E8" s="19" t="n">
        <v>30401</v>
      </c>
      <c r="F8" s="19" t="n">
        <v>14637</v>
      </c>
      <c r="G8" s="19" t="n">
        <v>15764</v>
      </c>
      <c r="H8" s="20">
        <f>IF(B8=C8+D8,"✓","✗")</f>
        <v/>
      </c>
    </row>
    <row r="9">
      <c r="A9" s="15" t="inlineStr">
        <is>
          <t>2-3</t>
        </is>
      </c>
      <c r="B9" s="16" t="n">
        <v>34733</v>
      </c>
      <c r="C9" s="16" t="n">
        <v>16711</v>
      </c>
      <c r="D9" s="16" t="n">
        <v>18022</v>
      </c>
      <c r="E9" s="16" t="n">
        <v>34733</v>
      </c>
      <c r="F9" s="16" t="n">
        <v>16711</v>
      </c>
      <c r="G9" s="16" t="n">
        <v>18022</v>
      </c>
      <c r="H9" s="17">
        <f>IF(B9=C9+D9,"✓","✗")</f>
        <v/>
      </c>
    </row>
    <row r="10">
      <c r="A10" s="18" t="inlineStr">
        <is>
          <t>3-4</t>
        </is>
      </c>
      <c r="B10" s="19" t="n">
        <v>38158</v>
      </c>
      <c r="C10" s="19" t="n">
        <v>18347</v>
      </c>
      <c r="D10" s="19" t="n">
        <v>19811</v>
      </c>
      <c r="E10" s="19" t="n">
        <v>38156</v>
      </c>
      <c r="F10" s="19" t="n">
        <v>18347</v>
      </c>
      <c r="G10" s="19" t="n">
        <v>19809</v>
      </c>
      <c r="H10" s="20">
        <f>IF(B10=C10+D10,"✓","✗")</f>
        <v/>
      </c>
    </row>
    <row r="11">
      <c r="A11" s="15" t="inlineStr">
        <is>
          <t>4-5</t>
        </is>
      </c>
      <c r="B11" s="16" t="n">
        <v>34000</v>
      </c>
      <c r="C11" s="16" t="n">
        <v>16610</v>
      </c>
      <c r="D11" s="16" t="n">
        <v>17390</v>
      </c>
      <c r="E11" s="16" t="n">
        <v>33993</v>
      </c>
      <c r="F11" s="16" t="n">
        <v>16610</v>
      </c>
      <c r="G11" s="16" t="n">
        <v>17383</v>
      </c>
      <c r="H11" s="17">
        <f>IF(B11=C11+D11,"✓","✗")</f>
        <v/>
      </c>
    </row>
    <row r="12">
      <c r="A12" s="18" t="inlineStr">
        <is>
          <t>Total 0-5</t>
        </is>
      </c>
      <c r="B12" s="19" t="n">
        <v>169509</v>
      </c>
      <c r="C12" s="19" t="n">
        <v>81224</v>
      </c>
      <c r="D12" s="19" t="n">
        <v>88285</v>
      </c>
      <c r="E12" s="19" t="n">
        <v>169500</v>
      </c>
      <c r="F12" s="19" t="n">
        <v>81224</v>
      </c>
      <c r="G12" s="19" t="n">
        <v>88276</v>
      </c>
      <c r="H12" s="20">
        <f>IF(B12=C12+D12,"✓","✗")</f>
        <v/>
      </c>
    </row>
    <row r="13">
      <c r="A13" s="15" t="inlineStr">
        <is>
          <t>5-10</t>
        </is>
      </c>
      <c r="B13" s="16" t="n">
        <v>166745</v>
      </c>
      <c r="C13" s="16" t="n">
        <v>83669</v>
      </c>
      <c r="D13" s="16" t="n">
        <v>83076</v>
      </c>
      <c r="E13" s="16" t="n">
        <v>166055</v>
      </c>
      <c r="F13" s="16" t="n">
        <v>83520</v>
      </c>
      <c r="G13" s="16" t="n">
        <v>82535</v>
      </c>
      <c r="H13" s="17">
        <f>IF(B13=C13+D13,"✓","✗")</f>
        <v/>
      </c>
    </row>
    <row r="14">
      <c r="A14" s="18" t="inlineStr">
        <is>
          <t>10-15</t>
        </is>
      </c>
      <c r="B14" s="19" t="n">
        <v>150630</v>
      </c>
      <c r="C14" s="19" t="n">
        <v>79166</v>
      </c>
      <c r="D14" s="19" t="n">
        <v>71464</v>
      </c>
      <c r="E14" s="19" t="n">
        <v>141016</v>
      </c>
      <c r="F14" s="19" t="n">
        <v>77724</v>
      </c>
      <c r="G14" s="19" t="n">
        <v>63292</v>
      </c>
      <c r="H14" s="20">
        <f>IF(B14=C14+D14,"✓","✗")</f>
        <v/>
      </c>
    </row>
    <row r="15">
      <c r="A15" s="15" t="inlineStr">
        <is>
          <t>15-20</t>
        </is>
      </c>
      <c r="B15" s="16" t="n">
        <v>116595</v>
      </c>
      <c r="C15" s="16" t="n">
        <v>57993</v>
      </c>
      <c r="D15" s="16" t="n">
        <v>58602</v>
      </c>
      <c r="E15" s="16" t="n">
        <v>67163</v>
      </c>
      <c r="F15" s="16" t="n">
        <v>45926</v>
      </c>
      <c r="G15" s="16" t="n">
        <v>21237</v>
      </c>
      <c r="H15" s="17">
        <f>IF(B15=C15+D15,"✓","✗")</f>
        <v/>
      </c>
    </row>
    <row r="16">
      <c r="A16" s="18" t="inlineStr">
        <is>
          <t>20-25</t>
        </is>
      </c>
      <c r="B16" s="19" t="n">
        <v>111950</v>
      </c>
      <c r="C16" s="19" t="n">
        <v>53002</v>
      </c>
      <c r="D16" s="19" t="n">
        <v>58948</v>
      </c>
      <c r="E16" s="19" t="n">
        <v>27236</v>
      </c>
      <c r="F16" s="19" t="n">
        <v>21500</v>
      </c>
      <c r="G16" s="19" t="n">
        <v>5736</v>
      </c>
      <c r="H16" s="20">
        <f>IF(B16=C16+D16,"✓","✗")</f>
        <v/>
      </c>
    </row>
    <row r="17">
      <c r="A17" s="15" t="inlineStr">
        <is>
          <t>25-30</t>
        </is>
      </c>
      <c r="B17" s="16" t="n">
        <v>120076</v>
      </c>
      <c r="C17" s="16" t="n">
        <v>59814</v>
      </c>
      <c r="D17" s="16" t="n">
        <v>60262</v>
      </c>
      <c r="E17" s="16" t="n">
        <v>12127</v>
      </c>
      <c r="F17" s="16" t="n">
        <v>9684</v>
      </c>
      <c r="G17" s="16" t="n">
        <v>2443</v>
      </c>
      <c r="H17" s="17">
        <f>IF(B17=C17+D17,"✓","✗")</f>
        <v/>
      </c>
    </row>
    <row r="18">
      <c r="A18" s="18" t="inlineStr">
        <is>
          <t>30-35</t>
        </is>
      </c>
      <c r="B18" s="19" t="n">
        <v>95124</v>
      </c>
      <c r="C18" s="19" t="n">
        <v>49257</v>
      </c>
      <c r="D18" s="19" t="n">
        <v>45867</v>
      </c>
      <c r="E18" s="19" t="n">
        <v>3554</v>
      </c>
      <c r="F18" s="19" t="n">
        <v>2604</v>
      </c>
      <c r="G18" s="19" t="n">
        <v>950</v>
      </c>
      <c r="H18" s="20">
        <f>IF(B18=C18+D18,"✓","✗")</f>
        <v/>
      </c>
    </row>
    <row r="19">
      <c r="A19" s="15" t="inlineStr">
        <is>
          <t>35-40</t>
        </is>
      </c>
      <c r="B19" s="16" t="n">
        <v>85869</v>
      </c>
      <c r="C19" s="16" t="n">
        <v>47873</v>
      </c>
      <c r="D19" s="16" t="n">
        <v>37996</v>
      </c>
      <c r="E19" s="16" t="n">
        <v>1855</v>
      </c>
      <c r="F19" s="16" t="n">
        <v>1219</v>
      </c>
      <c r="G19" s="16" t="n">
        <v>636</v>
      </c>
      <c r="H19" s="17">
        <f>IF(B19=C19+D19,"✓","✗")</f>
        <v/>
      </c>
    </row>
    <row r="20">
      <c r="A20" s="18" t="inlineStr">
        <is>
          <t>40-45</t>
        </is>
      </c>
      <c r="B20" s="19" t="n">
        <v>66459</v>
      </c>
      <c r="C20" s="19" t="n">
        <v>36018</v>
      </c>
      <c r="D20" s="19" t="n">
        <v>30441</v>
      </c>
      <c r="E20" s="19" t="n">
        <v>1111</v>
      </c>
      <c r="F20" s="19" t="n">
        <v>625</v>
      </c>
      <c r="G20" s="19" t="n">
        <v>486</v>
      </c>
      <c r="H20" s="20">
        <f>IF(B20=C20+D20,"✓","✗")</f>
        <v/>
      </c>
    </row>
    <row r="21">
      <c r="A21" s="15" t="inlineStr">
        <is>
          <t>45-50</t>
        </is>
      </c>
      <c r="B21" s="16" t="n">
        <v>53330</v>
      </c>
      <c r="C21" s="16" t="n">
        <v>29353</v>
      </c>
      <c r="D21" s="16" t="n">
        <v>23977</v>
      </c>
      <c r="E21" s="16" t="n">
        <v>672</v>
      </c>
      <c r="F21" s="16" t="n">
        <v>342</v>
      </c>
      <c r="G21" s="16" t="n">
        <v>330</v>
      </c>
      <c r="H21" s="17">
        <f>IF(B21=C21+D21,"✓","✗")</f>
        <v/>
      </c>
    </row>
    <row r="22">
      <c r="A22" s="18" t="inlineStr">
        <is>
          <t>50-55</t>
        </is>
      </c>
      <c r="B22" s="19" t="n">
        <v>45019</v>
      </c>
      <c r="C22" s="19" t="n">
        <v>23755</v>
      </c>
      <c r="D22" s="19" t="n">
        <v>21264</v>
      </c>
      <c r="E22" s="19" t="n">
        <v>585</v>
      </c>
      <c r="F22" s="19" t="n">
        <v>281</v>
      </c>
      <c r="G22" s="19" t="n">
        <v>304</v>
      </c>
      <c r="H22" s="20">
        <f>IF(B22=C22+D22,"✓","✗")</f>
        <v/>
      </c>
    </row>
    <row r="23">
      <c r="A23" s="15" t="inlineStr">
        <is>
          <t>55-60</t>
        </is>
      </c>
      <c r="B23" s="16" t="n">
        <v>26926</v>
      </c>
      <c r="C23" s="16" t="n">
        <v>14278</v>
      </c>
      <c r="D23" s="16" t="n">
        <v>12648</v>
      </c>
      <c r="E23" s="16" t="n">
        <v>295</v>
      </c>
      <c r="F23" s="16" t="n">
        <v>159</v>
      </c>
      <c r="G23" s="16" t="n">
        <v>136</v>
      </c>
      <c r="H23" s="17">
        <f>IF(B23=C23+D23,"✓","✗")</f>
        <v/>
      </c>
    </row>
    <row r="24">
      <c r="A24" s="18" t="inlineStr">
        <is>
          <t>60 and over</t>
        </is>
      </c>
      <c r="B24" s="19" t="n">
        <v>53324</v>
      </c>
      <c r="C24" s="19" t="n">
        <v>25693</v>
      </c>
      <c r="D24" s="19" t="n">
        <v>27631</v>
      </c>
      <c r="E24" s="19" t="n">
        <v>675</v>
      </c>
      <c r="F24" s="19" t="n">
        <v>263</v>
      </c>
      <c r="G24" s="19" t="n">
        <v>412</v>
      </c>
      <c r="H24" s="20">
        <f>IF(B24=C24+D24,"✓","✗")</f>
        <v/>
      </c>
    </row>
    <row r="25">
      <c r="A25" s="15" t="inlineStr">
        <is>
          <t>Total</t>
        </is>
      </c>
      <c r="B25" s="16" t="n">
        <v>1261556</v>
      </c>
      <c r="C25" s="16" t="n">
        <v>641095</v>
      </c>
      <c r="D25" s="16" t="n">
        <v>620461</v>
      </c>
      <c r="E25" s="16" t="n">
        <v>591844</v>
      </c>
      <c r="F25" s="16" t="n">
        <v>325071</v>
      </c>
      <c r="G25" s="16" t="n">
        <v>266773</v>
      </c>
      <c r="H25" s="17">
        <f>IF(B25=C25+D25,"✓","✗")</f>
        <v/>
      </c>
    </row>
    <row r="26">
      <c r="A26" s="21" t="inlineStr">
        <is>
          <t>Verify: Sum</t>
        </is>
      </c>
      <c r="B26" s="22">
        <f>IF(SUM(B7:B25)=B6,"✓",SUM(B7:B25)-B6)</f>
        <v/>
      </c>
      <c r="C26" s="22">
        <f>IF(SUM(C7:C25)=C6,"✓",SUM(C7:C25)-C6)</f>
        <v/>
      </c>
      <c r="D26" s="22">
        <f>IF(SUM(D7:D25)=D6,"✓",SUM(D7:D25)-D6)</f>
        <v/>
      </c>
      <c r="E26" s="22">
        <f>IF(SUM(E7:E25)=E6,"✓",SUM(E7:E25)-E6)</f>
        <v/>
      </c>
      <c r="F26" s="22">
        <f>IF(SUM(F7:F25)=F6,"✓",SUM(F7:F25)-F6)</f>
        <v/>
      </c>
      <c r="G26" s="22">
        <f>IF(SUM(G7:G25)=G6,"✓",SUM(G7:G25)-G6)</f>
        <v/>
      </c>
    </row>
  </sheetData>
  <mergeCells count="2">
    <mergeCell ref="E4:G4"/>
    <mergeCell ref="B4:D4"/>
  </mergeCells>
  <conditionalFormatting sqref="H6:H2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</cols>
  <sheetData>
    <row r="1">
      <c r="A1" s="23" t="inlineStr">
        <is>
          <t>Eastern Division</t>
        </is>
      </c>
    </row>
    <row r="2">
      <c r="A2" s="3" t="inlineStr">
        <is>
          <t>A - Total Population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Check</t>
        </is>
      </c>
    </row>
    <row r="4">
      <c r="A4" s="10" t="inlineStr"/>
      <c r="B4" s="11" t="inlineStr">
        <is>
          <t>Persons</t>
        </is>
      </c>
      <c r="C4" s="11" t="inlineStr">
        <is>
          <t>Males</t>
        </is>
      </c>
      <c r="D4" s="11" t="inlineStr">
        <is>
          <t>Females</t>
        </is>
      </c>
      <c r="E4" s="11" t="inlineStr">
        <is>
          <t>Persons</t>
        </is>
      </c>
      <c r="F4" s="11" t="inlineStr">
        <is>
          <t>Males</t>
        </is>
      </c>
      <c r="G4" s="11" t="inlineStr">
        <is>
          <t>Females</t>
        </is>
      </c>
      <c r="H4" s="11" t="inlineStr">
        <is>
          <t>M+F=P</t>
        </is>
      </c>
    </row>
    <row r="5">
      <c r="A5" s="12" t="inlineStr">
        <is>
          <t>Total</t>
        </is>
      </c>
      <c r="B5" s="13" t="n">
        <v>1261556</v>
      </c>
      <c r="C5" s="13" t="n">
        <v>641095</v>
      </c>
      <c r="D5" s="13" t="n">
        <v>620461</v>
      </c>
      <c r="E5" s="13" t="n">
        <v>591844</v>
      </c>
      <c r="F5" s="13" t="n">
        <v>325071</v>
      </c>
      <c r="G5" s="13" t="n">
        <v>266773</v>
      </c>
      <c r="H5" s="14">
        <f>IF(B5=C5+D5,"✓","✗")</f>
        <v/>
      </c>
    </row>
    <row r="6">
      <c r="A6" s="15" t="inlineStr">
        <is>
          <t>0-1</t>
        </is>
      </c>
      <c r="B6" s="16" t="n">
        <v>32217</v>
      </c>
      <c r="C6" s="16" t="n">
        <v>14919</v>
      </c>
      <c r="D6" s="16" t="n">
        <v>17298</v>
      </c>
      <c r="E6" s="16" t="n">
        <v>32217</v>
      </c>
      <c r="F6" s="16" t="n">
        <v>14919</v>
      </c>
      <c r="G6" s="16" t="n">
        <v>17298</v>
      </c>
      <c r="H6" s="17">
        <f>IF(B6=C6+D6,"✓","✗")</f>
        <v/>
      </c>
    </row>
    <row r="7">
      <c r="A7" s="18" t="inlineStr">
        <is>
          <t>1-2</t>
        </is>
      </c>
      <c r="B7" s="19" t="n">
        <v>30401</v>
      </c>
      <c r="C7" s="19" t="n">
        <v>14637</v>
      </c>
      <c r="D7" s="19" t="n">
        <v>15764</v>
      </c>
      <c r="E7" s="19" t="n">
        <v>30401</v>
      </c>
      <c r="F7" s="19" t="n">
        <v>14637</v>
      </c>
      <c r="G7" s="19" t="n">
        <v>15764</v>
      </c>
      <c r="H7" s="20">
        <f>IF(B7=C7+D7,"✓","✗")</f>
        <v/>
      </c>
    </row>
    <row r="8">
      <c r="A8" s="15" t="inlineStr">
        <is>
          <t>2-3</t>
        </is>
      </c>
      <c r="B8" s="16" t="n">
        <v>34733</v>
      </c>
      <c r="C8" s="16" t="n">
        <v>16711</v>
      </c>
      <c r="D8" s="16" t="n">
        <v>18022</v>
      </c>
      <c r="E8" s="16" t="n">
        <v>34733</v>
      </c>
      <c r="F8" s="16" t="n">
        <v>16711</v>
      </c>
      <c r="G8" s="16" t="n">
        <v>18022</v>
      </c>
      <c r="H8" s="17">
        <f>IF(B8=C8+D8,"✓","✗")</f>
        <v/>
      </c>
    </row>
    <row r="9">
      <c r="A9" s="18" t="inlineStr">
        <is>
          <t>3-4</t>
        </is>
      </c>
      <c r="B9" s="19" t="n">
        <v>38158</v>
      </c>
      <c r="C9" s="19" t="n">
        <v>18347</v>
      </c>
      <c r="D9" s="19" t="n">
        <v>19811</v>
      </c>
      <c r="E9" s="19" t="n">
        <v>38156</v>
      </c>
      <c r="F9" s="19" t="n">
        <v>18347</v>
      </c>
      <c r="G9" s="19" t="n">
        <v>19809</v>
      </c>
      <c r="H9" s="20">
        <f>IF(B9=C9+D9,"✓","✗")</f>
        <v/>
      </c>
    </row>
    <row r="10">
      <c r="A10" s="15" t="inlineStr">
        <is>
          <t>4-5</t>
        </is>
      </c>
      <c r="B10" s="16" t="n">
        <v>34000</v>
      </c>
      <c r="C10" s="16" t="n">
        <v>16610</v>
      </c>
      <c r="D10" s="16" t="n">
        <v>17390</v>
      </c>
      <c r="E10" s="16" t="n">
        <v>33993</v>
      </c>
      <c r="F10" s="16" t="n">
        <v>16610</v>
      </c>
      <c r="G10" s="16" t="n">
        <v>17383</v>
      </c>
      <c r="H10" s="17">
        <f>IF(B10=C10+D10,"✓","✗")</f>
        <v/>
      </c>
    </row>
    <row r="11">
      <c r="A11" s="18" t="inlineStr">
        <is>
          <t>Total 0-5</t>
        </is>
      </c>
      <c r="B11" s="19" t="n">
        <v>169509</v>
      </c>
      <c r="C11" s="19" t="n">
        <v>81224</v>
      </c>
      <c r="D11" s="19" t="n">
        <v>88285</v>
      </c>
      <c r="E11" s="19" t="n">
        <v>169500</v>
      </c>
      <c r="F11" s="19" t="n">
        <v>81224</v>
      </c>
      <c r="G11" s="19" t="n">
        <v>88276</v>
      </c>
      <c r="H11" s="20">
        <f>IF(B11=C11+D11,"✓","✗")</f>
        <v/>
      </c>
    </row>
    <row r="12">
      <c r="A12" s="15" t="inlineStr">
        <is>
          <t>5-10</t>
        </is>
      </c>
      <c r="B12" s="16" t="n">
        <v>166745</v>
      </c>
      <c r="C12" s="16" t="n">
        <v>83669</v>
      </c>
      <c r="D12" s="16" t="n">
        <v>83076</v>
      </c>
      <c r="E12" s="16" t="n">
        <v>166055</v>
      </c>
      <c r="F12" s="16" t="n">
        <v>83520</v>
      </c>
      <c r="G12" s="16" t="n">
        <v>82535</v>
      </c>
      <c r="H12" s="17">
        <f>IF(B12=C12+D12,"✓","✗")</f>
        <v/>
      </c>
    </row>
    <row r="13">
      <c r="A13" s="18" t="inlineStr">
        <is>
          <t>10-15</t>
        </is>
      </c>
      <c r="B13" s="19" t="n">
        <v>150630</v>
      </c>
      <c r="C13" s="19" t="n">
        <v>79166</v>
      </c>
      <c r="D13" s="19" t="n">
        <v>71464</v>
      </c>
      <c r="E13" s="19" t="n">
        <v>141016</v>
      </c>
      <c r="F13" s="19" t="n">
        <v>77724</v>
      </c>
      <c r="G13" s="19" t="n">
        <v>63292</v>
      </c>
      <c r="H13" s="20">
        <f>IF(B13=C13+D13,"✓","✗")</f>
        <v/>
      </c>
    </row>
    <row r="14">
      <c r="A14" s="15" t="inlineStr">
        <is>
          <t>15-20</t>
        </is>
      </c>
      <c r="B14" s="16" t="n">
        <v>116595</v>
      </c>
      <c r="C14" s="16" t="n">
        <v>57993</v>
      </c>
      <c r="D14" s="16" t="n">
        <v>58602</v>
      </c>
      <c r="E14" s="16" t="n">
        <v>67163</v>
      </c>
      <c r="F14" s="16" t="n">
        <v>45926</v>
      </c>
      <c r="G14" s="16" t="n">
        <v>21237</v>
      </c>
      <c r="H14" s="17">
        <f>IF(B14=C14+D14,"✓","✗")</f>
        <v/>
      </c>
    </row>
    <row r="15">
      <c r="A15" s="18" t="inlineStr">
        <is>
          <t>20-25</t>
        </is>
      </c>
      <c r="B15" s="19" t="n">
        <v>111950</v>
      </c>
      <c r="C15" s="19" t="n">
        <v>53002</v>
      </c>
      <c r="D15" s="19" t="n">
        <v>58948</v>
      </c>
      <c r="E15" s="19" t="n">
        <v>27236</v>
      </c>
      <c r="F15" s="19" t="n">
        <v>21500</v>
      </c>
      <c r="G15" s="19" t="n">
        <v>5736</v>
      </c>
      <c r="H15" s="20">
        <f>IF(B15=C15+D15,"✓","✗")</f>
        <v/>
      </c>
    </row>
    <row r="16">
      <c r="A16" s="15" t="inlineStr">
        <is>
          <t>25-30</t>
        </is>
      </c>
      <c r="B16" s="16" t="n">
        <v>120076</v>
      </c>
      <c r="C16" s="16" t="n">
        <v>59814</v>
      </c>
      <c r="D16" s="16" t="n">
        <v>60262</v>
      </c>
      <c r="E16" s="16" t="n">
        <v>12127</v>
      </c>
      <c r="F16" s="16" t="n">
        <v>9684</v>
      </c>
      <c r="G16" s="16" t="n">
        <v>2443</v>
      </c>
      <c r="H16" s="17">
        <f>IF(B16=C16+D16,"✓","✗")</f>
        <v/>
      </c>
    </row>
    <row r="17">
      <c r="A17" s="18" t="inlineStr">
        <is>
          <t>30-35</t>
        </is>
      </c>
      <c r="B17" s="19" t="n">
        <v>95124</v>
      </c>
      <c r="C17" s="19" t="n">
        <v>49257</v>
      </c>
      <c r="D17" s="19" t="n">
        <v>45867</v>
      </c>
      <c r="E17" s="19" t="n">
        <v>3554</v>
      </c>
      <c r="F17" s="19" t="n">
        <v>2604</v>
      </c>
      <c r="G17" s="19" t="n">
        <v>950</v>
      </c>
      <c r="H17" s="20">
        <f>IF(B17=C17+D17,"✓","✗")</f>
        <v/>
      </c>
    </row>
    <row r="18">
      <c r="A18" s="15" t="inlineStr">
        <is>
          <t>35-40</t>
        </is>
      </c>
      <c r="B18" s="16" t="n">
        <v>85869</v>
      </c>
      <c r="C18" s="16" t="n">
        <v>47873</v>
      </c>
      <c r="D18" s="16" t="n">
        <v>37996</v>
      </c>
      <c r="E18" s="16" t="n">
        <v>1855</v>
      </c>
      <c r="F18" s="16" t="n">
        <v>1219</v>
      </c>
      <c r="G18" s="16" t="n">
        <v>636</v>
      </c>
      <c r="H18" s="17">
        <f>IF(B18=C18+D18,"✓","✗")</f>
        <v/>
      </c>
    </row>
    <row r="19">
      <c r="A19" s="18" t="inlineStr">
        <is>
          <t>40-45</t>
        </is>
      </c>
      <c r="B19" s="19" t="n">
        <v>66459</v>
      </c>
      <c r="C19" s="19" t="n">
        <v>36018</v>
      </c>
      <c r="D19" s="19" t="n">
        <v>30441</v>
      </c>
      <c r="E19" s="19" t="n">
        <v>1111</v>
      </c>
      <c r="F19" s="19" t="n">
        <v>625</v>
      </c>
      <c r="G19" s="19" t="n">
        <v>486</v>
      </c>
      <c r="H19" s="20">
        <f>IF(B19=C19+D19,"✓","✗")</f>
        <v/>
      </c>
    </row>
    <row r="20">
      <c r="A20" s="15" t="inlineStr">
        <is>
          <t>45-50</t>
        </is>
      </c>
      <c r="B20" s="16" t="n">
        <v>53330</v>
      </c>
      <c r="C20" s="16" t="n">
        <v>29353</v>
      </c>
      <c r="D20" s="16" t="n">
        <v>23977</v>
      </c>
      <c r="E20" s="16" t="n">
        <v>672</v>
      </c>
      <c r="F20" s="16" t="n">
        <v>342</v>
      </c>
      <c r="G20" s="16" t="n">
        <v>330</v>
      </c>
      <c r="H20" s="17">
        <f>IF(B20=C20+D20,"✓","✗")</f>
        <v/>
      </c>
    </row>
    <row r="21">
      <c r="A21" s="18" t="inlineStr">
        <is>
          <t>50-55</t>
        </is>
      </c>
      <c r="B21" s="19" t="n">
        <v>45019</v>
      </c>
      <c r="C21" s="19" t="n">
        <v>23755</v>
      </c>
      <c r="D21" s="19" t="n">
        <v>21264</v>
      </c>
      <c r="E21" s="19" t="n">
        <v>585</v>
      </c>
      <c r="F21" s="19" t="n">
        <v>281</v>
      </c>
      <c r="G21" s="19" t="n">
        <v>304</v>
      </c>
      <c r="H21" s="20">
        <f>IF(B21=C21+D21,"✓","✗")</f>
        <v/>
      </c>
    </row>
    <row r="22">
      <c r="A22" s="15" t="inlineStr">
        <is>
          <t>55-60</t>
        </is>
      </c>
      <c r="B22" s="16" t="n">
        <v>26926</v>
      </c>
      <c r="C22" s="16" t="n">
        <v>14278</v>
      </c>
      <c r="D22" s="16" t="n">
        <v>12648</v>
      </c>
      <c r="E22" s="16" t="n">
        <v>295</v>
      </c>
      <c r="F22" s="16" t="n">
        <v>159</v>
      </c>
      <c r="G22" s="16" t="n">
        <v>136</v>
      </c>
      <c r="H22" s="17">
        <f>IF(B22=C22+D22,"✓","✗")</f>
        <v/>
      </c>
    </row>
    <row r="23">
      <c r="A23" s="18" t="inlineStr">
        <is>
          <t>60 and over</t>
        </is>
      </c>
      <c r="B23" s="19" t="n">
        <v>53324</v>
      </c>
      <c r="C23" s="19" t="n">
        <v>25693</v>
      </c>
      <c r="D23" s="19" t="n">
        <v>27631</v>
      </c>
      <c r="E23" s="19" t="n">
        <v>675</v>
      </c>
      <c r="F23" s="19" t="n">
        <v>263</v>
      </c>
      <c r="G23" s="19" t="n">
        <v>412</v>
      </c>
      <c r="H23" s="20">
        <f>IF(B23=C23+D23,"✓","✗")</f>
        <v/>
      </c>
    </row>
    <row r="24">
      <c r="A24" s="15" t="inlineStr">
        <is>
          <t>Total</t>
        </is>
      </c>
      <c r="B24" s="16" t="n">
        <v>1261556</v>
      </c>
      <c r="C24" s="16" t="n">
        <v>641095</v>
      </c>
      <c r="D24" s="16" t="n">
        <v>620461</v>
      </c>
      <c r="E24" s="16" t="n">
        <v>591844</v>
      </c>
      <c r="F24" s="16" t="n">
        <v>325071</v>
      </c>
      <c r="G24" s="16" t="n">
        <v>266773</v>
      </c>
      <c r="H24" s="17">
        <f>IF(B24=C24+D24,"✓","✗")</f>
        <v/>
      </c>
    </row>
    <row r="25">
      <c r="A25" s="21" t="inlineStr">
        <is>
          <t>Verify: Sum</t>
        </is>
      </c>
      <c r="B25" s="22">
        <f>IF(SUM(B6:B24)=B5,"✓",SUM(B6:B24)-B5)</f>
        <v/>
      </c>
      <c r="C25" s="22">
        <f>IF(SUM(C6:C24)=C5,"✓",SUM(C6:C24)-C5)</f>
        <v/>
      </c>
      <c r="D25" s="22">
        <f>IF(SUM(D6:D24)=D5,"✓",SUM(D6:D24)-D5)</f>
        <v/>
      </c>
      <c r="E25" s="22">
        <f>IF(SUM(E6:E24)=E5,"✓",SUM(E6:E24)-E5)</f>
        <v/>
      </c>
      <c r="F25" s="22">
        <f>IF(SUM(F6:F24)=F5,"✓",SUM(F6:F24)-F5)</f>
        <v/>
      </c>
      <c r="G25" s="22">
        <f>IF(SUM(G6:G24)=G5,"✓",SUM(G6:G24)-G5)</f>
        <v/>
      </c>
    </row>
  </sheetData>
  <mergeCells count="2">
    <mergeCell ref="B3:D3"/>
    <mergeCell ref="E3:G3"/>
  </mergeCells>
  <conditionalFormatting sqref="H5:H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2026-03-18T01:04:18Z</dcterms:created>
  <dcterms:modified xmlns:dcterms="http://purl.org/dc/terms/" xmlns:xsi="http://www.w3.org/2001/XMLSchema-instance" xsi:type="dcterms:W3CDTF">2026-03-18T01:04:18Z</dcterms:modified>
</cp:coreProperties>
</file>