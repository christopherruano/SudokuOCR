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—CIVIL CONDITION BY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1" t="inlineStr">
        <is>
          <t>Province</t>
        </is>
      </c>
    </row>
    <row r="2">
      <c r="A2" s="2" t="inlineStr">
        <is>
          <t>Source: TABLE VIII.—CIVIL CONDITION BY RELIGION AND AGE. PART A.—ALL RELIGIONS—concluded. (3) WIDOWED.</t>
        </is>
      </c>
    </row>
    <row r="3">
      <c r="A3" s="3" t="inlineStr">
        <is>
          <t>TABLE VIII.—CIVIL CONDITION BY RELIGION AND AGE. PART A.—ALL RELIGIONS—concluded. (3) WIDOWED.</t>
        </is>
      </c>
    </row>
    <row r="4">
      <c r="A4" s="4" t="inlineStr">
        <is>
          <t>District</t>
        </is>
      </c>
      <c r="B4" s="5" t="inlineStr">
        <is>
          <t>30-34</t>
        </is>
      </c>
      <c r="C4" s="6" t="n"/>
      <c r="D4" s="6" t="n"/>
      <c r="E4" s="7" t="inlineStr">
        <is>
          <t>35-39</t>
        </is>
      </c>
      <c r="F4" s="8" t="n"/>
      <c r="G4" s="8" t="n"/>
      <c r="H4" s="9" t="inlineStr">
        <is>
          <t>40-44</t>
        </is>
      </c>
      <c r="I4" s="10" t="n"/>
      <c r="J4" s="10" t="n"/>
      <c r="K4" s="11" t="inlineStr">
        <is>
          <t>45-49</t>
        </is>
      </c>
      <c r="L4" s="12" t="n"/>
      <c r="M4" s="12" t="n"/>
      <c r="N4" s="13" t="inlineStr">
        <is>
          <t>50-54</t>
        </is>
      </c>
      <c r="O4" s="14" t="n"/>
      <c r="P4" s="14" t="n"/>
      <c r="Q4" s="5" t="inlineStr">
        <is>
          <t>55-59</t>
        </is>
      </c>
      <c r="R4" s="6" t="n"/>
      <c r="S4" s="6" t="n"/>
      <c r="T4" s="7" t="inlineStr">
        <is>
          <t>60 and over</t>
        </is>
      </c>
      <c r="U4" s="8" t="n"/>
      <c r="V4" s="8" t="n"/>
      <c r="W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M+F=P</t>
        </is>
      </c>
    </row>
    <row r="6">
      <c r="A6" s="18" t="inlineStr">
        <is>
          <t>Total</t>
        </is>
      </c>
      <c r="B6" s="19" t="n">
        <v>30412</v>
      </c>
      <c r="C6" s="19" t="n">
        <v>4014</v>
      </c>
      <c r="D6" s="19" t="n">
        <v>26398</v>
      </c>
      <c r="E6" s="19" t="n">
        <v>27391</v>
      </c>
      <c r="F6" s="19" t="n">
        <v>3906</v>
      </c>
      <c r="G6" s="19" t="n">
        <v>23485</v>
      </c>
      <c r="H6" s="19" t="n">
        <v>40795</v>
      </c>
      <c r="I6" s="19" t="n">
        <v>5165</v>
      </c>
      <c r="J6" s="19" t="n">
        <v>35630</v>
      </c>
      <c r="K6" s="19" t="n">
        <v>24080</v>
      </c>
      <c r="L6" s="19" t="n">
        <v>3706</v>
      </c>
      <c r="M6" s="19" t="n">
        <v>20374</v>
      </c>
      <c r="N6" s="19" t="n">
        <v>37849</v>
      </c>
      <c r="O6" s="19" t="n">
        <v>5325</v>
      </c>
      <c r="P6" s="19" t="n">
        <v>32524</v>
      </c>
      <c r="Q6" s="19" t="n">
        <v>10876</v>
      </c>
      <c r="R6" s="19" t="n">
        <v>1959</v>
      </c>
      <c r="S6" s="19" t="n">
        <v>8917</v>
      </c>
      <c r="T6" s="19" t="n">
        <v>70602</v>
      </c>
      <c r="U6" s="19" t="n">
        <v>13260</v>
      </c>
      <c r="V6" s="19" t="n">
        <v>57342</v>
      </c>
      <c r="W6" s="20">
        <f>IF(B6=C6+D6,"✓","✗")</f>
        <v/>
      </c>
    </row>
    <row r="7">
      <c r="A7" s="21" t="inlineStr">
        <is>
          <t>Cachar Plains</t>
        </is>
      </c>
      <c r="B7" s="22" t="n">
        <v>3515</v>
      </c>
      <c r="C7" s="22" t="n">
        <v>771</v>
      </c>
      <c r="D7" s="22" t="n">
        <v>2744</v>
      </c>
      <c r="E7" s="22" t="n">
        <v>3401</v>
      </c>
      <c r="F7" s="22" t="n">
        <v>776</v>
      </c>
      <c r="G7" s="22" t="n">
        <v>2625</v>
      </c>
      <c r="H7" s="22" t="n">
        <v>4615</v>
      </c>
      <c r="I7" s="22" t="n">
        <v>909</v>
      </c>
      <c r="J7" s="22" t="n">
        <v>3706</v>
      </c>
      <c r="K7" s="22" t="n">
        <v>2955</v>
      </c>
      <c r="L7" s="22" t="n">
        <v>637</v>
      </c>
      <c r="M7" s="22" t="n">
        <v>2318</v>
      </c>
      <c r="N7" s="22" t="n">
        <v>4475</v>
      </c>
      <c r="O7" s="22" t="n">
        <v>846</v>
      </c>
      <c r="P7" s="22" t="n">
        <v>3629</v>
      </c>
      <c r="Q7" s="22" t="n">
        <v>1409</v>
      </c>
      <c r="R7" s="22" t="n">
        <v>293</v>
      </c>
      <c r="S7" s="22" t="n">
        <v>1116</v>
      </c>
      <c r="T7" s="22" t="n">
        <v>7337</v>
      </c>
      <c r="U7" s="22" t="n">
        <v>1468</v>
      </c>
      <c r="V7" s="22" t="n">
        <v>5869</v>
      </c>
      <c r="W7" s="23">
        <f>IF(B7=C7+D7,"✓","✗")</f>
        <v/>
      </c>
    </row>
    <row r="8">
      <c r="A8" s="24" t="inlineStr">
        <is>
          <t>Sylhet</t>
        </is>
      </c>
      <c r="B8" s="25" t="n">
        <v>26897</v>
      </c>
      <c r="C8" s="25" t="n">
        <v>3243</v>
      </c>
      <c r="D8" s="25" t="n">
        <v>23654</v>
      </c>
      <c r="E8" s="25" t="n">
        <v>23990</v>
      </c>
      <c r="F8" s="25" t="n">
        <v>3130</v>
      </c>
      <c r="G8" s="25" t="n">
        <v>20860</v>
      </c>
      <c r="H8" s="25" t="n">
        <v>36180</v>
      </c>
      <c r="I8" s="25" t="n">
        <v>4256</v>
      </c>
      <c r="J8" s="25" t="n">
        <v>31924</v>
      </c>
      <c r="K8" s="25" t="n">
        <v>21125</v>
      </c>
      <c r="L8" s="25" t="n">
        <v>3069</v>
      </c>
      <c r="M8" s="25" t="n">
        <v>18056</v>
      </c>
      <c r="N8" s="25" t="n">
        <v>33374</v>
      </c>
      <c r="O8" s="25" t="n">
        <v>4479</v>
      </c>
      <c r="P8" s="25" t="n">
        <v>28895</v>
      </c>
      <c r="Q8" s="25" t="n">
        <v>9467</v>
      </c>
      <c r="R8" s="25" t="n">
        <v>1666</v>
      </c>
      <c r="S8" s="25" t="n">
        <v>7801</v>
      </c>
      <c r="T8" s="25" t="n">
        <v>63265</v>
      </c>
      <c r="U8" s="25" t="n">
        <v>11792</v>
      </c>
      <c r="V8" s="25" t="n">
        <v>51473</v>
      </c>
      <c r="W8" s="26">
        <f>IF(B8=C8+D8,"✓","✗")</f>
        <v/>
      </c>
    </row>
    <row r="9">
      <c r="A9" s="21" t="inlineStr">
        <is>
          <t>Total</t>
        </is>
      </c>
      <c r="B9" s="22" t="n">
        <v>59348</v>
      </c>
      <c r="C9" s="22" t="n">
        <v>13021</v>
      </c>
      <c r="D9" s="22" t="n">
        <v>46327</v>
      </c>
      <c r="E9" s="22" t="n">
        <v>54259</v>
      </c>
      <c r="F9" s="22" t="n">
        <v>12144</v>
      </c>
      <c r="G9" s="22" t="n">
        <v>42115</v>
      </c>
      <c r="H9" s="22" t="n">
        <v>82467</v>
      </c>
      <c r="I9" s="22" t="n">
        <v>15579</v>
      </c>
      <c r="J9" s="22" t="n">
        <v>66888</v>
      </c>
      <c r="K9" s="22" t="n">
        <v>46357</v>
      </c>
      <c r="L9" s="22" t="n">
        <v>9615</v>
      </c>
      <c r="M9" s="22" t="n">
        <v>36742</v>
      </c>
      <c r="N9" s="22" t="n">
        <v>77685</v>
      </c>
      <c r="O9" s="22" t="n">
        <v>14693</v>
      </c>
      <c r="P9" s="22" t="n">
        <v>62992</v>
      </c>
      <c r="Q9" s="22" t="n">
        <v>26861</v>
      </c>
      <c r="R9" s="22" t="n">
        <v>6106</v>
      </c>
      <c r="S9" s="22" t="n">
        <v>20755</v>
      </c>
      <c r="T9" s="22" t="n">
        <v>136449</v>
      </c>
      <c r="U9" s="22" t="n">
        <v>28401</v>
      </c>
      <c r="V9" s="22" t="n">
        <v>108048</v>
      </c>
      <c r="W9" s="23">
        <f>IF(B9=C9+D9,"✓","✗")</f>
        <v/>
      </c>
    </row>
    <row r="10">
      <c r="A10" s="24" t="inlineStr">
        <is>
          <t>Goalpara</t>
        </is>
      </c>
      <c r="B10" s="25" t="n">
        <v>4521</v>
      </c>
      <c r="C10" s="25" t="n">
        <v>764</v>
      </c>
      <c r="D10" s="25" t="n">
        <v>3757</v>
      </c>
      <c r="E10" s="25" t="n">
        <v>4532</v>
      </c>
      <c r="F10" s="25" t="n">
        <v>834</v>
      </c>
      <c r="G10" s="25" t="n">
        <v>3698</v>
      </c>
      <c r="H10" s="25" t="n">
        <v>6585</v>
      </c>
      <c r="I10" s="25" t="n">
        <v>1059</v>
      </c>
      <c r="J10" s="25" t="n">
        <v>5526</v>
      </c>
      <c r="K10" s="25" t="n">
        <v>3538</v>
      </c>
      <c r="L10" s="25" t="n">
        <v>678</v>
      </c>
      <c r="M10" s="25" t="n">
        <v>2860</v>
      </c>
      <c r="N10" s="25" t="n">
        <v>6235</v>
      </c>
      <c r="O10" s="25" t="n">
        <v>960</v>
      </c>
      <c r="P10" s="25" t="n">
        <v>5275</v>
      </c>
      <c r="Q10" s="25" t="n">
        <v>2450</v>
      </c>
      <c r="R10" s="25" t="n">
        <v>447</v>
      </c>
      <c r="S10" s="25" t="n">
        <v>2003</v>
      </c>
      <c r="T10" s="25" t="n">
        <v>14303</v>
      </c>
      <c r="U10" s="25" t="n">
        <v>2528</v>
      </c>
      <c r="V10" s="25" t="n">
        <v>11775</v>
      </c>
      <c r="W10" s="26">
        <f>IF(B10=C10+D10,"✓","✗")</f>
        <v/>
      </c>
    </row>
    <row r="11">
      <c r="A11" s="21" t="inlineStr">
        <is>
          <t>Kamrup</t>
        </is>
      </c>
      <c r="B11" s="22" t="n">
        <v>6897</v>
      </c>
      <c r="C11" s="22" t="n">
        <v>1372</v>
      </c>
      <c r="D11" s="22" t="n">
        <v>5525</v>
      </c>
      <c r="E11" s="22" t="n">
        <v>5944</v>
      </c>
      <c r="F11" s="22" t="n">
        <v>1257</v>
      </c>
      <c r="G11" s="22" t="n">
        <v>4687</v>
      </c>
      <c r="H11" s="22" t="n">
        <v>10933</v>
      </c>
      <c r="I11" s="22" t="n">
        <v>2046</v>
      </c>
      <c r="J11" s="22" t="n">
        <v>8887</v>
      </c>
      <c r="K11" s="22" t="n">
        <v>5216</v>
      </c>
      <c r="L11" s="22" t="n">
        <v>1183</v>
      </c>
      <c r="M11" s="22" t="n">
        <v>4033</v>
      </c>
      <c r="N11" s="22" t="n">
        <v>10587</v>
      </c>
      <c r="O11" s="22" t="n">
        <v>2221</v>
      </c>
      <c r="P11" s="22" t="n">
        <v>8366</v>
      </c>
      <c r="Q11" s="22" t="n">
        <v>4031</v>
      </c>
      <c r="R11" s="22" t="n">
        <v>982</v>
      </c>
      <c r="S11" s="22" t="n">
        <v>3049</v>
      </c>
      <c r="T11" s="22" t="n">
        <v>16796</v>
      </c>
      <c r="U11" s="22" t="n">
        <v>3638</v>
      </c>
      <c r="V11" s="22" t="n">
        <v>13158</v>
      </c>
      <c r="W11" s="23">
        <f>IF(B11=C11+D11,"✓","✗")</f>
        <v/>
      </c>
    </row>
    <row r="12">
      <c r="A12" s="24" t="inlineStr">
        <is>
          <t>Darrang</t>
        </is>
      </c>
      <c r="B12" s="25" t="n">
        <v>3364</v>
      </c>
      <c r="C12" s="25" t="n">
        <v>1277</v>
      </c>
      <c r="D12" s="25" t="n">
        <v>2087</v>
      </c>
      <c r="E12" s="25" t="n">
        <v>2997</v>
      </c>
      <c r="F12" s="25" t="n">
        <v>1112</v>
      </c>
      <c r="G12" s="25" t="n">
        <v>1885</v>
      </c>
      <c r="H12" s="25" t="n">
        <v>4866</v>
      </c>
      <c r="I12" s="25" t="n">
        <v>1427</v>
      </c>
      <c r="J12" s="25" t="n">
        <v>3439</v>
      </c>
      <c r="K12" s="25" t="n">
        <v>2498</v>
      </c>
      <c r="L12" s="25" t="n">
        <v>778</v>
      </c>
      <c r="M12" s="25" t="n">
        <v>1720</v>
      </c>
      <c r="N12" s="25" t="n">
        <v>4838</v>
      </c>
      <c r="O12" s="25" t="n">
        <v>1379</v>
      </c>
      <c r="P12" s="25" t="n">
        <v>3459</v>
      </c>
      <c r="Q12" s="25" t="n">
        <v>2100</v>
      </c>
      <c r="R12" s="25" t="n">
        <v>590</v>
      </c>
      <c r="S12" s="25" t="n">
        <v>1510</v>
      </c>
      <c r="T12" s="25" t="n">
        <v>5735</v>
      </c>
      <c r="U12" s="25" t="n">
        <v>1537</v>
      </c>
      <c r="V12" s="25" t="n">
        <v>4198</v>
      </c>
      <c r="W12" s="26">
        <f>IF(B12=C12+D12,"✓","✗")</f>
        <v/>
      </c>
    </row>
    <row r="13">
      <c r="A13" s="21" t="inlineStr">
        <is>
          <t>Nowgong</t>
        </is>
      </c>
      <c r="B13" s="22" t="n">
        <v>2729</v>
      </c>
      <c r="C13" s="22" t="n">
        <v>979</v>
      </c>
      <c r="D13" s="22" t="n">
        <v>1750</v>
      </c>
      <c r="E13" s="22" t="n">
        <v>2603</v>
      </c>
      <c r="F13" s="22" t="n">
        <v>861</v>
      </c>
      <c r="G13" s="22" t="n">
        <v>1742</v>
      </c>
      <c r="H13" s="22" t="n">
        <v>4212</v>
      </c>
      <c r="I13" s="22" t="n">
        <v>1173</v>
      </c>
      <c r="J13" s="22" t="n">
        <v>3039</v>
      </c>
      <c r="K13" s="22" t="n">
        <v>2412</v>
      </c>
      <c r="L13" s="22" t="n">
        <v>720</v>
      </c>
      <c r="M13" s="22" t="n">
        <v>1692</v>
      </c>
      <c r="N13" s="22" t="n">
        <v>4349</v>
      </c>
      <c r="O13" s="22" t="n">
        <v>1117</v>
      </c>
      <c r="P13" s="22" t="n">
        <v>3232</v>
      </c>
      <c r="Q13" s="22" t="n">
        <v>1842</v>
      </c>
      <c r="R13" s="22" t="n">
        <v>544</v>
      </c>
      <c r="S13" s="22" t="n">
        <v>1298</v>
      </c>
      <c r="T13" s="22" t="n">
        <v>8506</v>
      </c>
      <c r="U13" s="22" t="n">
        <v>2174</v>
      </c>
      <c r="V13" s="22" t="n">
        <v>6332</v>
      </c>
      <c r="W13" s="23">
        <f>IF(B13=C13+D13,"✓","✗")</f>
        <v/>
      </c>
    </row>
    <row r="14">
      <c r="A14" s="24" t="inlineStr">
        <is>
          <t>Sibsagar</t>
        </is>
      </c>
      <c r="B14" s="25" t="n">
        <v>4902</v>
      </c>
      <c r="C14" s="25" t="n">
        <v>2294</v>
      </c>
      <c r="D14" s="25" t="n">
        <v>2608</v>
      </c>
      <c r="E14" s="25" t="n">
        <v>4431</v>
      </c>
      <c r="F14" s="25" t="n">
        <v>1853</v>
      </c>
      <c r="G14" s="25" t="n">
        <v>2578</v>
      </c>
      <c r="H14" s="25" t="n">
        <v>6666</v>
      </c>
      <c r="I14" s="25" t="n">
        <v>2345</v>
      </c>
      <c r="J14" s="25" t="n">
        <v>4321</v>
      </c>
      <c r="K14" s="25" t="n">
        <v>3512</v>
      </c>
      <c r="L14" s="25" t="n">
        <v>1168</v>
      </c>
      <c r="M14" s="25" t="n">
        <v>2344</v>
      </c>
      <c r="N14" s="25" t="n">
        <v>6271</v>
      </c>
      <c r="O14" s="25" t="n">
        <v>1885</v>
      </c>
      <c r="P14" s="25" t="n">
        <v>4386</v>
      </c>
      <c r="Q14" s="25" t="n">
        <v>2624</v>
      </c>
      <c r="R14" s="25" t="n">
        <v>847</v>
      </c>
      <c r="S14" s="25" t="n">
        <v>1777</v>
      </c>
      <c r="T14" s="25" t="n">
        <v>7634</v>
      </c>
      <c r="U14" s="25" t="n">
        <v>2202</v>
      </c>
      <c r="V14" s="25" t="n">
        <v>5432</v>
      </c>
      <c r="W14" s="26">
        <f>IF(B14=C14+D14,"✓","✗")</f>
        <v/>
      </c>
    </row>
    <row r="15">
      <c r="A15" s="21" t="inlineStr">
        <is>
          <t>Lakhimpur</t>
        </is>
      </c>
      <c r="B15" s="22" t="n">
        <v>2779</v>
      </c>
      <c r="C15" s="22" t="n">
        <v>1290</v>
      </c>
      <c r="D15" s="22" t="n">
        <v>1489</v>
      </c>
      <c r="E15" s="22" t="n">
        <v>2523</v>
      </c>
      <c r="F15" s="22" t="n">
        <v>1154</v>
      </c>
      <c r="G15" s="22" t="n">
        <v>1369</v>
      </c>
      <c r="H15" s="22" t="n">
        <v>3293</v>
      </c>
      <c r="I15" s="22" t="n">
        <v>1183</v>
      </c>
      <c r="J15" s="22" t="n">
        <v>2110</v>
      </c>
      <c r="K15" s="22" t="n">
        <v>1729</v>
      </c>
      <c r="L15" s="22" t="n">
        <v>602</v>
      </c>
      <c r="M15" s="22" t="n">
        <v>1127</v>
      </c>
      <c r="N15" s="22" t="n">
        <v>2891</v>
      </c>
      <c r="O15" s="22" t="n">
        <v>866</v>
      </c>
      <c r="P15" s="22" t="n">
        <v>2025</v>
      </c>
      <c r="Q15" s="22" t="n">
        <v>1203</v>
      </c>
      <c r="R15" s="22" t="n">
        <v>344</v>
      </c>
      <c r="S15" s="22" t="n">
        <v>859</v>
      </c>
      <c r="T15" s="22" t="n">
        <v>3392</v>
      </c>
      <c r="U15" s="22" t="n">
        <v>966</v>
      </c>
      <c r="V15" s="22" t="n">
        <v>2426</v>
      </c>
      <c r="W15" s="23">
        <f>IF(B15=C15+D15,"✓","✗")</f>
        <v/>
      </c>
    </row>
    <row r="16">
      <c r="A16" s="24" t="inlineStr">
        <is>
          <t>Total</t>
        </is>
      </c>
      <c r="B16" s="25" t="n">
        <v>59348</v>
      </c>
      <c r="C16" s="25" t="n">
        <v>13021</v>
      </c>
      <c r="D16" s="25" t="n">
        <v>46327</v>
      </c>
      <c r="E16" s="25" t="n">
        <v>54259</v>
      </c>
      <c r="F16" s="25" t="n">
        <v>12144</v>
      </c>
      <c r="G16" s="25" t="n">
        <v>42115</v>
      </c>
      <c r="H16" s="25" t="n">
        <v>82467</v>
      </c>
      <c r="I16" s="25" t="n">
        <v>15579</v>
      </c>
      <c r="J16" s="25" t="n">
        <v>66888</v>
      </c>
      <c r="K16" s="25" t="n">
        <v>46357</v>
      </c>
      <c r="L16" s="25" t="n">
        <v>9615</v>
      </c>
      <c r="M16" s="25" t="n">
        <v>36742</v>
      </c>
      <c r="N16" s="25" t="n">
        <v>77685</v>
      </c>
      <c r="O16" s="25" t="n">
        <v>14693</v>
      </c>
      <c r="P16" s="25" t="n">
        <v>62992</v>
      </c>
      <c r="Q16" s="25" t="n">
        <v>26861</v>
      </c>
      <c r="R16" s="25" t="n">
        <v>6106</v>
      </c>
      <c r="S16" s="25" t="n">
        <v>20755</v>
      </c>
      <c r="T16" s="25" t="n">
        <v>136449</v>
      </c>
      <c r="U16" s="25" t="n">
        <v>28401</v>
      </c>
      <c r="V16" s="25" t="n">
        <v>108048</v>
      </c>
      <c r="W16" s="26">
        <f>IF(B16=C16+D16,"✓","✗")</f>
        <v/>
      </c>
    </row>
    <row r="17">
      <c r="A17" s="21" t="inlineStr">
        <is>
          <t>Total</t>
        </is>
      </c>
      <c r="B17" s="22" t="n">
        <v>59348</v>
      </c>
      <c r="C17" s="22" t="n">
        <v>13021</v>
      </c>
      <c r="D17" s="22" t="n">
        <v>46327</v>
      </c>
      <c r="E17" s="22" t="n">
        <v>54259</v>
      </c>
      <c r="F17" s="22" t="n">
        <v>12144</v>
      </c>
      <c r="G17" s="22" t="n">
        <v>42115</v>
      </c>
      <c r="H17" s="22" t="n">
        <v>82467</v>
      </c>
      <c r="I17" s="22" t="n">
        <v>15579</v>
      </c>
      <c r="J17" s="22" t="n">
        <v>66888</v>
      </c>
      <c r="K17" s="22" t="n">
        <v>46357</v>
      </c>
      <c r="L17" s="22" t="n">
        <v>9615</v>
      </c>
      <c r="M17" s="22" t="n">
        <v>36742</v>
      </c>
      <c r="N17" s="22" t="n">
        <v>77685</v>
      </c>
      <c r="O17" s="22" t="n">
        <v>14693</v>
      </c>
      <c r="P17" s="22" t="n">
        <v>62992</v>
      </c>
      <c r="Q17" s="22" t="n">
        <v>26861</v>
      </c>
      <c r="R17" s="22" t="n">
        <v>6106</v>
      </c>
      <c r="S17" s="22" t="n">
        <v>20755</v>
      </c>
      <c r="T17" s="22" t="n">
        <v>136449</v>
      </c>
      <c r="U17" s="22" t="n">
        <v>28401</v>
      </c>
      <c r="V17" s="22" t="n">
        <v>108048</v>
      </c>
      <c r="W17" s="23">
        <f>IF(B17=C17+D17,"✓","✗")</f>
        <v/>
      </c>
    </row>
    <row r="18">
      <c r="A18" s="24" t="inlineStr">
        <is>
          <t>North Cachar</t>
        </is>
      </c>
      <c r="B18" s="25" t="n">
        <v>231</v>
      </c>
      <c r="C18" s="25" t="n">
        <v>50</v>
      </c>
      <c r="D18" s="25" t="n">
        <v>181</v>
      </c>
      <c r="E18" s="25" t="n">
        <v>133</v>
      </c>
      <c r="F18" s="25" t="n">
        <v>27</v>
      </c>
      <c r="G18" s="25" t="n">
        <v>106</v>
      </c>
      <c r="H18" s="25" t="n">
        <v>253</v>
      </c>
      <c r="I18" s="25" t="n">
        <v>41</v>
      </c>
      <c r="J18" s="25" t="n">
        <v>212</v>
      </c>
      <c r="K18" s="25" t="n">
        <v>136</v>
      </c>
      <c r="L18" s="25" t="n">
        <v>26</v>
      </c>
      <c r="M18" s="25" t="n">
        <v>110</v>
      </c>
      <c r="N18" s="25" t="n">
        <v>229</v>
      </c>
      <c r="O18" s="25" t="n">
        <v>42</v>
      </c>
      <c r="P18" s="25" t="n">
        <v>187</v>
      </c>
      <c r="Q18" s="25" t="n">
        <v>77</v>
      </c>
      <c r="R18" s="25" t="n">
        <v>22</v>
      </c>
      <c r="S18" s="25" t="n">
        <v>55</v>
      </c>
      <c r="T18" s="25" t="n">
        <v>431</v>
      </c>
      <c r="U18" s="25" t="n">
        <v>109</v>
      </c>
      <c r="V18" s="25" t="n">
        <v>322</v>
      </c>
      <c r="W18" s="26">
        <f>IF(B18=C18+D18,"✓","✗")</f>
        <v/>
      </c>
    </row>
    <row r="19">
      <c r="A19" s="21" t="inlineStr">
        <is>
          <t>Naga Hills</t>
        </is>
      </c>
      <c r="B19" s="22" t="n">
        <v>1298</v>
      </c>
      <c r="C19" s="22" t="n">
        <v>432</v>
      </c>
      <c r="D19" s="22" t="n">
        <v>866</v>
      </c>
      <c r="E19" s="22" t="n">
        <v>1699</v>
      </c>
      <c r="F19" s="22" t="n">
        <v>628</v>
      </c>
      <c r="G19" s="22" t="n">
        <v>1071</v>
      </c>
      <c r="H19" s="22" t="n">
        <v>1879</v>
      </c>
      <c r="I19" s="22" t="n">
        <v>560</v>
      </c>
      <c r="J19" s="22" t="n">
        <v>1319</v>
      </c>
      <c r="K19" s="22" t="n">
        <v>1175</v>
      </c>
      <c r="L19" s="22" t="n">
        <v>353</v>
      </c>
      <c r="M19" s="22" t="n">
        <v>822</v>
      </c>
      <c r="N19" s="22" t="n">
        <v>1371</v>
      </c>
      <c r="O19" s="22" t="n">
        <v>354</v>
      </c>
      <c r="P19" s="22" t="n">
        <v>1017</v>
      </c>
      <c r="Q19" s="22" t="n">
        <v>462</v>
      </c>
      <c r="R19" s="22" t="n">
        <v>152</v>
      </c>
      <c r="S19" s="22" t="n">
        <v>310</v>
      </c>
      <c r="T19" s="22" t="n">
        <v>2032</v>
      </c>
      <c r="U19" s="22" t="n">
        <v>543</v>
      </c>
      <c r="V19" s="22" t="n">
        <v>1489</v>
      </c>
      <c r="W19" s="23">
        <f>IF(B19=C19+D19,"✓","✗")</f>
        <v/>
      </c>
    </row>
    <row r="20">
      <c r="A20" s="24" t="inlineStr">
        <is>
          <t>Khasi and Jaintia Hills</t>
        </is>
      </c>
      <c r="B20" s="25" t="n">
        <v>1532</v>
      </c>
      <c r="C20" s="25" t="n">
        <v>368</v>
      </c>
      <c r="D20" s="25" t="n">
        <v>1164</v>
      </c>
      <c r="E20" s="25" t="n">
        <v>1481</v>
      </c>
      <c r="F20" s="25" t="n">
        <v>345</v>
      </c>
      <c r="G20" s="25" t="n">
        <v>1136</v>
      </c>
      <c r="H20" s="25" t="n">
        <v>2099</v>
      </c>
      <c r="I20" s="25" t="n">
        <v>401</v>
      </c>
      <c r="J20" s="25" t="n">
        <v>1698</v>
      </c>
      <c r="K20" s="25" t="n">
        <v>1543</v>
      </c>
      <c r="L20" s="25" t="n">
        <v>305</v>
      </c>
      <c r="M20" s="25" t="n">
        <v>1238</v>
      </c>
      <c r="N20" s="25" t="n">
        <v>2227</v>
      </c>
      <c r="O20" s="25" t="n">
        <v>385</v>
      </c>
      <c r="P20" s="25" t="n">
        <v>1842</v>
      </c>
      <c r="Q20" s="25" t="n">
        <v>902</v>
      </c>
      <c r="R20" s="25" t="n">
        <v>165</v>
      </c>
      <c r="S20" s="25" t="n">
        <v>737</v>
      </c>
      <c r="T20" s="25" t="n">
        <v>5239</v>
      </c>
      <c r="U20" s="25" t="n">
        <v>1028</v>
      </c>
      <c r="V20" s="25" t="n">
        <v>4211</v>
      </c>
      <c r="W20" s="26">
        <f>IF(B20=C20+D20,"✓","✗")</f>
        <v/>
      </c>
    </row>
    <row r="21">
      <c r="A21" s="21" t="inlineStr">
        <is>
          <t>Garo Hills</t>
        </is>
      </c>
      <c r="B21" s="22" t="n">
        <v>669</v>
      </c>
      <c r="C21" s="22" t="n">
        <v>167</v>
      </c>
      <c r="D21" s="22" t="n">
        <v>502</v>
      </c>
      <c r="E21" s="22" t="n">
        <v>518</v>
      </c>
      <c r="F21" s="22" t="n">
        <v>160</v>
      </c>
      <c r="G21" s="22" t="n">
        <v>358</v>
      </c>
      <c r="H21" s="22" t="n">
        <v>882</v>
      </c>
      <c r="I21" s="22" t="n">
        <v>175</v>
      </c>
      <c r="J21" s="22" t="n">
        <v>707</v>
      </c>
      <c r="K21" s="22" t="n">
        <v>517</v>
      </c>
      <c r="L21" s="22" t="n">
        <v>95</v>
      </c>
      <c r="M21" s="22" t="n">
        <v>422</v>
      </c>
      <c r="N21" s="22" t="n">
        <v>836</v>
      </c>
      <c r="O21" s="22" t="n">
        <v>157</v>
      </c>
      <c r="P21" s="22" t="n">
        <v>679</v>
      </c>
      <c r="Q21" s="22" t="n">
        <v>294</v>
      </c>
      <c r="R21" s="22" t="n">
        <v>54</v>
      </c>
      <c r="S21" s="22" t="n">
        <v>240</v>
      </c>
      <c r="T21" s="22" t="n">
        <v>1778</v>
      </c>
      <c r="U21" s="22" t="n">
        <v>415</v>
      </c>
      <c r="V21" s="22" t="n">
        <v>1363</v>
      </c>
      <c r="W21" s="23">
        <f>IF(B21=C21+D21,"✓","✗")</f>
        <v/>
      </c>
    </row>
    <row r="22">
      <c r="A22" s="24" t="inlineStr">
        <is>
          <t>North Lushai (Civil and Military)</t>
        </is>
      </c>
      <c r="B22" s="25" t="n">
        <v>14</v>
      </c>
      <c r="C22" s="25" t="n">
        <v>14</v>
      </c>
      <c r="D22" s="25" t="n">
        <v>0</v>
      </c>
      <c r="E22" s="25" t="n">
        <v>7</v>
      </c>
      <c r="F22" s="25" t="n">
        <v>7</v>
      </c>
      <c r="G22" s="25" t="n">
        <v>0</v>
      </c>
      <c r="H22" s="25" t="n">
        <v>4</v>
      </c>
      <c r="I22" s="25" t="n">
        <v>4</v>
      </c>
      <c r="J22" s="25" t="n">
        <v>0</v>
      </c>
      <c r="K22" s="25" t="n">
        <v>1</v>
      </c>
      <c r="L22" s="25" t="n">
        <v>1</v>
      </c>
      <c r="M22" s="25" t="n">
        <v>0</v>
      </c>
      <c r="N22" s="25" t="n">
        <v>2</v>
      </c>
      <c r="O22" s="25" t="n">
        <v>2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1</v>
      </c>
      <c r="U22" s="25" t="n">
        <v>1</v>
      </c>
      <c r="V22" s="25" t="n">
        <v>0</v>
      </c>
      <c r="W22" s="26">
        <f>IF(B22=C22+D22,"✓","✗")</f>
        <v/>
      </c>
    </row>
    <row r="23">
      <c r="A23" s="21" t="inlineStr">
        <is>
          <t>Total</t>
        </is>
      </c>
      <c r="B23" s="22" t="n">
        <v>59348</v>
      </c>
      <c r="C23" s="22" t="n">
        <v>13021</v>
      </c>
      <c r="D23" s="22" t="n">
        <v>46327</v>
      </c>
      <c r="E23" s="22" t="n">
        <v>54259</v>
      </c>
      <c r="F23" s="22" t="n">
        <v>12144</v>
      </c>
      <c r="G23" s="22" t="n">
        <v>42115</v>
      </c>
      <c r="H23" s="22" t="n">
        <v>82467</v>
      </c>
      <c r="I23" s="22" t="n">
        <v>15579</v>
      </c>
      <c r="J23" s="22" t="n">
        <v>66888</v>
      </c>
      <c r="K23" s="22" t="n">
        <v>46357</v>
      </c>
      <c r="L23" s="22" t="n">
        <v>9615</v>
      </c>
      <c r="M23" s="22" t="n">
        <v>36742</v>
      </c>
      <c r="N23" s="22" t="n">
        <v>77685</v>
      </c>
      <c r="O23" s="22" t="n">
        <v>14693</v>
      </c>
      <c r="P23" s="22" t="n">
        <v>62992</v>
      </c>
      <c r="Q23" s="22" t="n">
        <v>26861</v>
      </c>
      <c r="R23" s="22" t="n">
        <v>6106</v>
      </c>
      <c r="S23" s="22" t="n">
        <v>20755</v>
      </c>
      <c r="T23" s="22" t="n">
        <v>136449</v>
      </c>
      <c r="U23" s="22" t="n">
        <v>28401</v>
      </c>
      <c r="V23" s="22" t="n">
        <v>108048</v>
      </c>
      <c r="W23" s="23">
        <f>IF(B23=C23+D23,"✓","✗")</f>
        <v/>
      </c>
    </row>
    <row r="24">
      <c r="A24" s="24" t="inlineStr">
        <is>
          <t>Total</t>
        </is>
      </c>
      <c r="B24" s="25" t="n">
        <v>59348</v>
      </c>
      <c r="C24" s="25" t="n">
        <v>13021</v>
      </c>
      <c r="D24" s="25" t="n">
        <v>46327</v>
      </c>
      <c r="E24" s="25" t="n">
        <v>54259</v>
      </c>
      <c r="F24" s="25" t="n">
        <v>12144</v>
      </c>
      <c r="G24" s="25" t="n">
        <v>42115</v>
      </c>
      <c r="H24" s="25" t="n">
        <v>82467</v>
      </c>
      <c r="I24" s="25" t="n">
        <v>15579</v>
      </c>
      <c r="J24" s="25" t="n">
        <v>66888</v>
      </c>
      <c r="K24" s="25" t="n">
        <v>46357</v>
      </c>
      <c r="L24" s="25" t="n">
        <v>9615</v>
      </c>
      <c r="M24" s="25" t="n">
        <v>36742</v>
      </c>
      <c r="N24" s="25" t="n">
        <v>77685</v>
      </c>
      <c r="O24" s="25" t="n">
        <v>14693</v>
      </c>
      <c r="P24" s="25" t="n">
        <v>62992</v>
      </c>
      <c r="Q24" s="25" t="n">
        <v>26861</v>
      </c>
      <c r="R24" s="25" t="n">
        <v>6106</v>
      </c>
      <c r="S24" s="25" t="n">
        <v>20755</v>
      </c>
      <c r="T24" s="25" t="n">
        <v>136449</v>
      </c>
      <c r="U24" s="25" t="n">
        <v>28401</v>
      </c>
      <c r="V24" s="25" t="n">
        <v>108048</v>
      </c>
      <c r="W24" s="26">
        <f>IF(B24=C24+D24,"✓","✗")</f>
        <v/>
      </c>
    </row>
    <row r="25">
      <c r="A25" s="27" t="inlineStr">
        <is>
          <t>Verify: Sum</t>
        </is>
      </c>
      <c r="B25" s="28">
        <f>IF(SUM(B7:B24)=B6,"✓",SUM(B7:B24)-B6)</f>
        <v/>
      </c>
      <c r="C25" s="28">
        <f>IF(SUM(C7:C24)=C6,"✓",SUM(C7:C24)-C6)</f>
        <v/>
      </c>
      <c r="D25" s="28">
        <f>IF(SUM(D7:D24)=D6,"✓",SUM(D7:D24)-D6)</f>
        <v/>
      </c>
      <c r="E25" s="28">
        <f>IF(SUM(E7:E24)=E6,"✓",SUM(E7:E24)-E6)</f>
        <v/>
      </c>
      <c r="F25" s="28">
        <f>IF(SUM(F7:F24)=F6,"✓",SUM(F7:F24)-F6)</f>
        <v/>
      </c>
      <c r="G25" s="28">
        <f>IF(SUM(G7:G24)=G6,"✓",SUM(G7:G24)-G6)</f>
        <v/>
      </c>
      <c r="H25" s="28">
        <f>IF(SUM(H7:H24)=H6,"✓",SUM(H7:H24)-H6)</f>
        <v/>
      </c>
      <c r="I25" s="28">
        <f>IF(SUM(I7:I24)=I6,"✓",SUM(I7:I24)-I6)</f>
        <v/>
      </c>
      <c r="J25" s="28">
        <f>IF(SUM(J7:J24)=J6,"✓",SUM(J7:J24)-J6)</f>
        <v/>
      </c>
      <c r="K25" s="28">
        <f>IF(SUM(K7:K24)=K6,"✓",SUM(K7:K24)-K6)</f>
        <v/>
      </c>
      <c r="L25" s="28">
        <f>IF(SUM(L7:L24)=L6,"✓",SUM(L7:L24)-L6)</f>
        <v/>
      </c>
      <c r="M25" s="28">
        <f>IF(SUM(M7:M24)=M6,"✓",SUM(M7:M24)-M6)</f>
        <v/>
      </c>
      <c r="N25" s="28">
        <f>IF(SUM(N7:N24)=N6,"✓",SUM(N7:N24)-N6)</f>
        <v/>
      </c>
      <c r="O25" s="28">
        <f>IF(SUM(O7:O24)=O6,"✓",SUM(O7:O24)-O6)</f>
        <v/>
      </c>
      <c r="P25" s="28">
        <f>IF(SUM(P7:P24)=P6,"✓",SUM(P7:P24)-P6)</f>
        <v/>
      </c>
      <c r="Q25" s="28">
        <f>IF(SUM(Q7:Q24)=Q6,"✓",SUM(Q7:Q24)-Q6)</f>
        <v/>
      </c>
      <c r="R25" s="28">
        <f>IF(SUM(R7:R24)=R6,"✓",SUM(R7:R24)-R6)</f>
        <v/>
      </c>
      <c r="S25" s="28">
        <f>IF(SUM(S7:S24)=S6,"✓",SUM(S7:S24)-S6)</f>
        <v/>
      </c>
      <c r="T25" s="28">
        <f>IF(SUM(T7:T24)=T6,"✓",SUM(T7:T24)-T6)</f>
        <v/>
      </c>
      <c r="U25" s="28">
        <f>IF(SUM(U7:U24)=U6,"✓",SUM(U7:U24)-U6)</f>
        <v/>
      </c>
      <c r="V25" s="28">
        <f>IF(SUM(V7:V24)=V6,"✓",SUM(V7:V24)-V6)</f>
        <v/>
      </c>
    </row>
  </sheetData>
  <mergeCells count="7">
    <mergeCell ref="K4:M4"/>
    <mergeCell ref="B4:D4"/>
    <mergeCell ref="H4:J4"/>
    <mergeCell ref="Q4:S4"/>
    <mergeCell ref="T4:V4"/>
    <mergeCell ref="E4:G4"/>
    <mergeCell ref="N4:P4"/>
  </mergeCells>
  <conditionalFormatting sqref="W6:W25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29" t="inlineStr">
        <is>
          <t>Province</t>
        </is>
      </c>
    </row>
    <row r="2">
      <c r="A2" s="3" t="inlineStr">
        <is>
          <t>TABLE VIII.—CIVIL CONDITION BY RELIGION AND AGE. PART A.—ALL RELIGIONS—concluded. (3) WIDOWED.</t>
        </is>
      </c>
    </row>
    <row r="3">
      <c r="A3" s="4" t="inlineStr">
        <is>
          <t>District</t>
        </is>
      </c>
      <c r="B3" s="5" t="inlineStr">
        <is>
          <t>30-34</t>
        </is>
      </c>
      <c r="C3" s="6" t="n"/>
      <c r="D3" s="6" t="n"/>
      <c r="E3" s="7" t="inlineStr">
        <is>
          <t>35-39</t>
        </is>
      </c>
      <c r="F3" s="8" t="n"/>
      <c r="G3" s="8" t="n"/>
      <c r="H3" s="9" t="inlineStr">
        <is>
          <t>40-44</t>
        </is>
      </c>
      <c r="I3" s="10" t="n"/>
      <c r="J3" s="10" t="n"/>
      <c r="K3" s="11" t="inlineStr">
        <is>
          <t>45-49</t>
        </is>
      </c>
      <c r="L3" s="12" t="n"/>
      <c r="M3" s="12" t="n"/>
      <c r="N3" s="13" t="inlineStr">
        <is>
          <t>50-54</t>
        </is>
      </c>
      <c r="O3" s="14" t="n"/>
      <c r="P3" s="14" t="n"/>
      <c r="Q3" s="5" t="inlineStr">
        <is>
          <t>55-59</t>
        </is>
      </c>
      <c r="R3" s="6" t="n"/>
      <c r="S3" s="6" t="n"/>
      <c r="T3" s="7" t="inlineStr">
        <is>
          <t>60 and over</t>
        </is>
      </c>
      <c r="U3" s="8" t="n"/>
      <c r="V3" s="8" t="n"/>
      <c r="W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M+F=P</t>
        </is>
      </c>
    </row>
    <row r="5">
      <c r="A5" s="18" t="inlineStr">
        <is>
          <t>Total</t>
        </is>
      </c>
      <c r="B5" s="19" t="n">
        <v>30412</v>
      </c>
      <c r="C5" s="19" t="n">
        <v>4014</v>
      </c>
      <c r="D5" s="19" t="n">
        <v>26398</v>
      </c>
      <c r="E5" s="19" t="n">
        <v>27391</v>
      </c>
      <c r="F5" s="19" t="n">
        <v>3906</v>
      </c>
      <c r="G5" s="19" t="n">
        <v>23485</v>
      </c>
      <c r="H5" s="19" t="n">
        <v>40795</v>
      </c>
      <c r="I5" s="19" t="n">
        <v>5165</v>
      </c>
      <c r="J5" s="19" t="n">
        <v>35630</v>
      </c>
      <c r="K5" s="19" t="n">
        <v>24080</v>
      </c>
      <c r="L5" s="19" t="n">
        <v>3706</v>
      </c>
      <c r="M5" s="19" t="n">
        <v>20374</v>
      </c>
      <c r="N5" s="19" t="n">
        <v>37849</v>
      </c>
      <c r="O5" s="19" t="n">
        <v>5325</v>
      </c>
      <c r="P5" s="19" t="n">
        <v>32524</v>
      </c>
      <c r="Q5" s="19" t="n">
        <v>10876</v>
      </c>
      <c r="R5" s="19" t="n">
        <v>1959</v>
      </c>
      <c r="S5" s="19" t="n">
        <v>8917</v>
      </c>
      <c r="T5" s="19" t="n">
        <v>70602</v>
      </c>
      <c r="U5" s="19" t="n">
        <v>13260</v>
      </c>
      <c r="V5" s="19" t="n">
        <v>57342</v>
      </c>
      <c r="W5" s="20">
        <f>IF(B5=C5+D5,"✓","✗")</f>
        <v/>
      </c>
    </row>
    <row r="6">
      <c r="A6" s="21" t="inlineStr">
        <is>
          <t>Cachar Plains</t>
        </is>
      </c>
      <c r="B6" s="22" t="n">
        <v>3515</v>
      </c>
      <c r="C6" s="22" t="n">
        <v>771</v>
      </c>
      <c r="D6" s="22" t="n">
        <v>2744</v>
      </c>
      <c r="E6" s="22" t="n">
        <v>3401</v>
      </c>
      <c r="F6" s="22" t="n">
        <v>776</v>
      </c>
      <c r="G6" s="22" t="n">
        <v>2625</v>
      </c>
      <c r="H6" s="22" t="n">
        <v>4615</v>
      </c>
      <c r="I6" s="22" t="n">
        <v>909</v>
      </c>
      <c r="J6" s="22" t="n">
        <v>3706</v>
      </c>
      <c r="K6" s="22" t="n">
        <v>2955</v>
      </c>
      <c r="L6" s="22" t="n">
        <v>637</v>
      </c>
      <c r="M6" s="22" t="n">
        <v>2318</v>
      </c>
      <c r="N6" s="22" t="n">
        <v>4475</v>
      </c>
      <c r="O6" s="22" t="n">
        <v>846</v>
      </c>
      <c r="P6" s="22" t="n">
        <v>3629</v>
      </c>
      <c r="Q6" s="22" t="n">
        <v>1409</v>
      </c>
      <c r="R6" s="22" t="n">
        <v>293</v>
      </c>
      <c r="S6" s="22" t="n">
        <v>1116</v>
      </c>
      <c r="T6" s="22" t="n">
        <v>7337</v>
      </c>
      <c r="U6" s="22" t="n">
        <v>1468</v>
      </c>
      <c r="V6" s="22" t="n">
        <v>5869</v>
      </c>
      <c r="W6" s="23">
        <f>IF(B6=C6+D6,"✓","✗")</f>
        <v/>
      </c>
    </row>
    <row r="7">
      <c r="A7" s="24" t="inlineStr">
        <is>
          <t>Sylhet</t>
        </is>
      </c>
      <c r="B7" s="25" t="n">
        <v>26897</v>
      </c>
      <c r="C7" s="25" t="n">
        <v>3243</v>
      </c>
      <c r="D7" s="25" t="n">
        <v>23654</v>
      </c>
      <c r="E7" s="25" t="n">
        <v>23990</v>
      </c>
      <c r="F7" s="25" t="n">
        <v>3130</v>
      </c>
      <c r="G7" s="25" t="n">
        <v>20860</v>
      </c>
      <c r="H7" s="25" t="n">
        <v>36180</v>
      </c>
      <c r="I7" s="25" t="n">
        <v>4256</v>
      </c>
      <c r="J7" s="25" t="n">
        <v>31924</v>
      </c>
      <c r="K7" s="25" t="n">
        <v>21125</v>
      </c>
      <c r="L7" s="25" t="n">
        <v>3069</v>
      </c>
      <c r="M7" s="25" t="n">
        <v>18056</v>
      </c>
      <c r="N7" s="25" t="n">
        <v>33374</v>
      </c>
      <c r="O7" s="25" t="n">
        <v>4479</v>
      </c>
      <c r="P7" s="25" t="n">
        <v>28895</v>
      </c>
      <c r="Q7" s="25" t="n">
        <v>9467</v>
      </c>
      <c r="R7" s="25" t="n">
        <v>1666</v>
      </c>
      <c r="S7" s="25" t="n">
        <v>7801</v>
      </c>
      <c r="T7" s="25" t="n">
        <v>63265</v>
      </c>
      <c r="U7" s="25" t="n">
        <v>11792</v>
      </c>
      <c r="V7" s="25" t="n">
        <v>51473</v>
      </c>
      <c r="W7" s="26">
        <f>IF(B7=C7+D7,"✓","✗")</f>
        <v/>
      </c>
    </row>
    <row r="8">
      <c r="A8" s="21" t="inlineStr">
        <is>
          <t>Total</t>
        </is>
      </c>
      <c r="B8" s="22" t="n">
        <v>59348</v>
      </c>
      <c r="C8" s="22" t="n">
        <v>13021</v>
      </c>
      <c r="D8" s="22" t="n">
        <v>46327</v>
      </c>
      <c r="E8" s="22" t="n">
        <v>54259</v>
      </c>
      <c r="F8" s="22" t="n">
        <v>12144</v>
      </c>
      <c r="G8" s="22" t="n">
        <v>42115</v>
      </c>
      <c r="H8" s="22" t="n">
        <v>82467</v>
      </c>
      <c r="I8" s="22" t="n">
        <v>15579</v>
      </c>
      <c r="J8" s="22" t="n">
        <v>66888</v>
      </c>
      <c r="K8" s="22" t="n">
        <v>46357</v>
      </c>
      <c r="L8" s="22" t="n">
        <v>9615</v>
      </c>
      <c r="M8" s="22" t="n">
        <v>36742</v>
      </c>
      <c r="N8" s="22" t="n">
        <v>77685</v>
      </c>
      <c r="O8" s="22" t="n">
        <v>14693</v>
      </c>
      <c r="P8" s="22" t="n">
        <v>62992</v>
      </c>
      <c r="Q8" s="22" t="n">
        <v>26861</v>
      </c>
      <c r="R8" s="22" t="n">
        <v>6106</v>
      </c>
      <c r="S8" s="22" t="n">
        <v>20755</v>
      </c>
      <c r="T8" s="22" t="n">
        <v>136449</v>
      </c>
      <c r="U8" s="22" t="n">
        <v>28401</v>
      </c>
      <c r="V8" s="22" t="n">
        <v>108048</v>
      </c>
      <c r="W8" s="23">
        <f>IF(B8=C8+D8,"✓","✗")</f>
        <v/>
      </c>
    </row>
    <row r="9">
      <c r="A9" s="24" t="inlineStr">
        <is>
          <t>Goalpara</t>
        </is>
      </c>
      <c r="B9" s="25" t="n">
        <v>4521</v>
      </c>
      <c r="C9" s="25" t="n">
        <v>764</v>
      </c>
      <c r="D9" s="25" t="n">
        <v>3757</v>
      </c>
      <c r="E9" s="25" t="n">
        <v>4532</v>
      </c>
      <c r="F9" s="25" t="n">
        <v>834</v>
      </c>
      <c r="G9" s="25" t="n">
        <v>3698</v>
      </c>
      <c r="H9" s="25" t="n">
        <v>6585</v>
      </c>
      <c r="I9" s="25" t="n">
        <v>1059</v>
      </c>
      <c r="J9" s="25" t="n">
        <v>5526</v>
      </c>
      <c r="K9" s="25" t="n">
        <v>3538</v>
      </c>
      <c r="L9" s="25" t="n">
        <v>678</v>
      </c>
      <c r="M9" s="25" t="n">
        <v>2860</v>
      </c>
      <c r="N9" s="25" t="n">
        <v>6235</v>
      </c>
      <c r="O9" s="25" t="n">
        <v>960</v>
      </c>
      <c r="P9" s="25" t="n">
        <v>5275</v>
      </c>
      <c r="Q9" s="25" t="n">
        <v>2450</v>
      </c>
      <c r="R9" s="25" t="n">
        <v>447</v>
      </c>
      <c r="S9" s="25" t="n">
        <v>2003</v>
      </c>
      <c r="T9" s="25" t="n">
        <v>14303</v>
      </c>
      <c r="U9" s="25" t="n">
        <v>2528</v>
      </c>
      <c r="V9" s="25" t="n">
        <v>11775</v>
      </c>
      <c r="W9" s="26">
        <f>IF(B9=C9+D9,"✓","✗")</f>
        <v/>
      </c>
    </row>
    <row r="10">
      <c r="A10" s="21" t="inlineStr">
        <is>
          <t>Kamrup</t>
        </is>
      </c>
      <c r="B10" s="22" t="n">
        <v>6897</v>
      </c>
      <c r="C10" s="22" t="n">
        <v>1372</v>
      </c>
      <c r="D10" s="22" t="n">
        <v>5525</v>
      </c>
      <c r="E10" s="22" t="n">
        <v>5944</v>
      </c>
      <c r="F10" s="22" t="n">
        <v>1257</v>
      </c>
      <c r="G10" s="22" t="n">
        <v>4687</v>
      </c>
      <c r="H10" s="22" t="n">
        <v>10933</v>
      </c>
      <c r="I10" s="22" t="n">
        <v>2046</v>
      </c>
      <c r="J10" s="22" t="n">
        <v>8887</v>
      </c>
      <c r="K10" s="22" t="n">
        <v>5216</v>
      </c>
      <c r="L10" s="22" t="n">
        <v>1183</v>
      </c>
      <c r="M10" s="22" t="n">
        <v>4033</v>
      </c>
      <c r="N10" s="22" t="n">
        <v>10587</v>
      </c>
      <c r="O10" s="22" t="n">
        <v>2221</v>
      </c>
      <c r="P10" s="22" t="n">
        <v>8366</v>
      </c>
      <c r="Q10" s="22" t="n">
        <v>4031</v>
      </c>
      <c r="R10" s="22" t="n">
        <v>982</v>
      </c>
      <c r="S10" s="22" t="n">
        <v>3049</v>
      </c>
      <c r="T10" s="22" t="n">
        <v>16796</v>
      </c>
      <c r="U10" s="22" t="n">
        <v>3638</v>
      </c>
      <c r="V10" s="22" t="n">
        <v>13158</v>
      </c>
      <c r="W10" s="23">
        <f>IF(B10=C10+D10,"✓","✗")</f>
        <v/>
      </c>
    </row>
    <row r="11">
      <c r="A11" s="24" t="inlineStr">
        <is>
          <t>Darrang</t>
        </is>
      </c>
      <c r="B11" s="25" t="n">
        <v>3364</v>
      </c>
      <c r="C11" s="25" t="n">
        <v>1277</v>
      </c>
      <c r="D11" s="25" t="n">
        <v>2087</v>
      </c>
      <c r="E11" s="25" t="n">
        <v>2997</v>
      </c>
      <c r="F11" s="25" t="n">
        <v>1112</v>
      </c>
      <c r="G11" s="25" t="n">
        <v>1885</v>
      </c>
      <c r="H11" s="25" t="n">
        <v>4866</v>
      </c>
      <c r="I11" s="25" t="n">
        <v>1427</v>
      </c>
      <c r="J11" s="25" t="n">
        <v>3439</v>
      </c>
      <c r="K11" s="25" t="n">
        <v>2498</v>
      </c>
      <c r="L11" s="25" t="n">
        <v>778</v>
      </c>
      <c r="M11" s="25" t="n">
        <v>1720</v>
      </c>
      <c r="N11" s="25" t="n">
        <v>4838</v>
      </c>
      <c r="O11" s="25" t="n">
        <v>1379</v>
      </c>
      <c r="P11" s="25" t="n">
        <v>3459</v>
      </c>
      <c r="Q11" s="25" t="n">
        <v>2100</v>
      </c>
      <c r="R11" s="25" t="n">
        <v>590</v>
      </c>
      <c r="S11" s="25" t="n">
        <v>1510</v>
      </c>
      <c r="T11" s="25" t="n">
        <v>5735</v>
      </c>
      <c r="U11" s="25" t="n">
        <v>1537</v>
      </c>
      <c r="V11" s="25" t="n">
        <v>4198</v>
      </c>
      <c r="W11" s="26">
        <f>IF(B11=C11+D11,"✓","✗")</f>
        <v/>
      </c>
    </row>
    <row r="12">
      <c r="A12" s="21" t="inlineStr">
        <is>
          <t>Nowgong</t>
        </is>
      </c>
      <c r="B12" s="22" t="n">
        <v>2729</v>
      </c>
      <c r="C12" s="22" t="n">
        <v>979</v>
      </c>
      <c r="D12" s="22" t="n">
        <v>1750</v>
      </c>
      <c r="E12" s="22" t="n">
        <v>2603</v>
      </c>
      <c r="F12" s="22" t="n">
        <v>861</v>
      </c>
      <c r="G12" s="22" t="n">
        <v>1742</v>
      </c>
      <c r="H12" s="22" t="n">
        <v>4212</v>
      </c>
      <c r="I12" s="22" t="n">
        <v>1173</v>
      </c>
      <c r="J12" s="22" t="n">
        <v>3039</v>
      </c>
      <c r="K12" s="22" t="n">
        <v>2412</v>
      </c>
      <c r="L12" s="22" t="n">
        <v>720</v>
      </c>
      <c r="M12" s="22" t="n">
        <v>1692</v>
      </c>
      <c r="N12" s="22" t="n">
        <v>4349</v>
      </c>
      <c r="O12" s="22" t="n">
        <v>1117</v>
      </c>
      <c r="P12" s="22" t="n">
        <v>3232</v>
      </c>
      <c r="Q12" s="22" t="n">
        <v>1842</v>
      </c>
      <c r="R12" s="22" t="n">
        <v>544</v>
      </c>
      <c r="S12" s="22" t="n">
        <v>1298</v>
      </c>
      <c r="T12" s="22" t="n">
        <v>8506</v>
      </c>
      <c r="U12" s="22" t="n">
        <v>2174</v>
      </c>
      <c r="V12" s="22" t="n">
        <v>6332</v>
      </c>
      <c r="W12" s="23">
        <f>IF(B12=C12+D12,"✓","✗")</f>
        <v/>
      </c>
    </row>
    <row r="13">
      <c r="A13" s="24" t="inlineStr">
        <is>
          <t>Sibsagar</t>
        </is>
      </c>
      <c r="B13" s="25" t="n">
        <v>4902</v>
      </c>
      <c r="C13" s="25" t="n">
        <v>2294</v>
      </c>
      <c r="D13" s="25" t="n">
        <v>2608</v>
      </c>
      <c r="E13" s="25" t="n">
        <v>4431</v>
      </c>
      <c r="F13" s="25" t="n">
        <v>1853</v>
      </c>
      <c r="G13" s="25" t="n">
        <v>2578</v>
      </c>
      <c r="H13" s="25" t="n">
        <v>6666</v>
      </c>
      <c r="I13" s="25" t="n">
        <v>2345</v>
      </c>
      <c r="J13" s="25" t="n">
        <v>4321</v>
      </c>
      <c r="K13" s="25" t="n">
        <v>3512</v>
      </c>
      <c r="L13" s="25" t="n">
        <v>1168</v>
      </c>
      <c r="M13" s="25" t="n">
        <v>2344</v>
      </c>
      <c r="N13" s="25" t="n">
        <v>6271</v>
      </c>
      <c r="O13" s="25" t="n">
        <v>1885</v>
      </c>
      <c r="P13" s="25" t="n">
        <v>4386</v>
      </c>
      <c r="Q13" s="25" t="n">
        <v>2624</v>
      </c>
      <c r="R13" s="25" t="n">
        <v>847</v>
      </c>
      <c r="S13" s="25" t="n">
        <v>1777</v>
      </c>
      <c r="T13" s="25" t="n">
        <v>7634</v>
      </c>
      <c r="U13" s="25" t="n">
        <v>2202</v>
      </c>
      <c r="V13" s="25" t="n">
        <v>5432</v>
      </c>
      <c r="W13" s="26">
        <f>IF(B13=C13+D13,"✓","✗")</f>
        <v/>
      </c>
    </row>
    <row r="14">
      <c r="A14" s="21" t="inlineStr">
        <is>
          <t>Lakhimpur</t>
        </is>
      </c>
      <c r="B14" s="22" t="n">
        <v>2779</v>
      </c>
      <c r="C14" s="22" t="n">
        <v>1290</v>
      </c>
      <c r="D14" s="22" t="n">
        <v>1489</v>
      </c>
      <c r="E14" s="22" t="n">
        <v>2523</v>
      </c>
      <c r="F14" s="22" t="n">
        <v>1154</v>
      </c>
      <c r="G14" s="22" t="n">
        <v>1369</v>
      </c>
      <c r="H14" s="22" t="n">
        <v>3293</v>
      </c>
      <c r="I14" s="22" t="n">
        <v>1183</v>
      </c>
      <c r="J14" s="22" t="n">
        <v>2110</v>
      </c>
      <c r="K14" s="22" t="n">
        <v>1729</v>
      </c>
      <c r="L14" s="22" t="n">
        <v>602</v>
      </c>
      <c r="M14" s="22" t="n">
        <v>1127</v>
      </c>
      <c r="N14" s="22" t="n">
        <v>2891</v>
      </c>
      <c r="O14" s="22" t="n">
        <v>866</v>
      </c>
      <c r="P14" s="22" t="n">
        <v>2025</v>
      </c>
      <c r="Q14" s="22" t="n">
        <v>1203</v>
      </c>
      <c r="R14" s="22" t="n">
        <v>344</v>
      </c>
      <c r="S14" s="22" t="n">
        <v>859</v>
      </c>
      <c r="T14" s="22" t="n">
        <v>3392</v>
      </c>
      <c r="U14" s="22" t="n">
        <v>966</v>
      </c>
      <c r="V14" s="22" t="n">
        <v>2426</v>
      </c>
      <c r="W14" s="23">
        <f>IF(B14=C14+D14,"✓","✗")</f>
        <v/>
      </c>
    </row>
    <row r="15">
      <c r="A15" s="24" t="inlineStr">
        <is>
          <t>Total</t>
        </is>
      </c>
      <c r="B15" s="25" t="n">
        <v>59348</v>
      </c>
      <c r="C15" s="25" t="n">
        <v>13021</v>
      </c>
      <c r="D15" s="25" t="n">
        <v>46327</v>
      </c>
      <c r="E15" s="25" t="n">
        <v>54259</v>
      </c>
      <c r="F15" s="25" t="n">
        <v>12144</v>
      </c>
      <c r="G15" s="25" t="n">
        <v>42115</v>
      </c>
      <c r="H15" s="25" t="n">
        <v>82467</v>
      </c>
      <c r="I15" s="25" t="n">
        <v>15579</v>
      </c>
      <c r="J15" s="25" t="n">
        <v>66888</v>
      </c>
      <c r="K15" s="25" t="n">
        <v>46357</v>
      </c>
      <c r="L15" s="25" t="n">
        <v>9615</v>
      </c>
      <c r="M15" s="25" t="n">
        <v>36742</v>
      </c>
      <c r="N15" s="25" t="n">
        <v>77685</v>
      </c>
      <c r="O15" s="25" t="n">
        <v>14693</v>
      </c>
      <c r="P15" s="25" t="n">
        <v>62992</v>
      </c>
      <c r="Q15" s="25" t="n">
        <v>26861</v>
      </c>
      <c r="R15" s="25" t="n">
        <v>6106</v>
      </c>
      <c r="S15" s="25" t="n">
        <v>20755</v>
      </c>
      <c r="T15" s="25" t="n">
        <v>136449</v>
      </c>
      <c r="U15" s="25" t="n">
        <v>28401</v>
      </c>
      <c r="V15" s="25" t="n">
        <v>108048</v>
      </c>
      <c r="W15" s="26">
        <f>IF(B15=C15+D15,"✓","✗")</f>
        <v/>
      </c>
    </row>
    <row r="16">
      <c r="A16" s="21" t="inlineStr">
        <is>
          <t>Total</t>
        </is>
      </c>
      <c r="B16" s="22" t="n">
        <v>59348</v>
      </c>
      <c r="C16" s="22" t="n">
        <v>13021</v>
      </c>
      <c r="D16" s="22" t="n">
        <v>46327</v>
      </c>
      <c r="E16" s="22" t="n">
        <v>54259</v>
      </c>
      <c r="F16" s="22" t="n">
        <v>12144</v>
      </c>
      <c r="G16" s="22" t="n">
        <v>42115</v>
      </c>
      <c r="H16" s="22" t="n">
        <v>82467</v>
      </c>
      <c r="I16" s="22" t="n">
        <v>15579</v>
      </c>
      <c r="J16" s="22" t="n">
        <v>66888</v>
      </c>
      <c r="K16" s="22" t="n">
        <v>46357</v>
      </c>
      <c r="L16" s="22" t="n">
        <v>9615</v>
      </c>
      <c r="M16" s="22" t="n">
        <v>36742</v>
      </c>
      <c r="N16" s="22" t="n">
        <v>77685</v>
      </c>
      <c r="O16" s="22" t="n">
        <v>14693</v>
      </c>
      <c r="P16" s="22" t="n">
        <v>62992</v>
      </c>
      <c r="Q16" s="22" t="n">
        <v>26861</v>
      </c>
      <c r="R16" s="22" t="n">
        <v>6106</v>
      </c>
      <c r="S16" s="22" t="n">
        <v>20755</v>
      </c>
      <c r="T16" s="22" t="n">
        <v>136449</v>
      </c>
      <c r="U16" s="22" t="n">
        <v>28401</v>
      </c>
      <c r="V16" s="22" t="n">
        <v>108048</v>
      </c>
      <c r="W16" s="23">
        <f>IF(B16=C16+D16,"✓","✗")</f>
        <v/>
      </c>
    </row>
    <row r="17">
      <c r="A17" s="24" t="inlineStr">
        <is>
          <t>North Cachar</t>
        </is>
      </c>
      <c r="B17" s="25" t="n">
        <v>231</v>
      </c>
      <c r="C17" s="25" t="n">
        <v>50</v>
      </c>
      <c r="D17" s="25" t="n">
        <v>181</v>
      </c>
      <c r="E17" s="25" t="n">
        <v>133</v>
      </c>
      <c r="F17" s="25" t="n">
        <v>27</v>
      </c>
      <c r="G17" s="25" t="n">
        <v>106</v>
      </c>
      <c r="H17" s="25" t="n">
        <v>253</v>
      </c>
      <c r="I17" s="25" t="n">
        <v>41</v>
      </c>
      <c r="J17" s="25" t="n">
        <v>212</v>
      </c>
      <c r="K17" s="25" t="n">
        <v>136</v>
      </c>
      <c r="L17" s="25" t="n">
        <v>26</v>
      </c>
      <c r="M17" s="25" t="n">
        <v>110</v>
      </c>
      <c r="N17" s="25" t="n">
        <v>229</v>
      </c>
      <c r="O17" s="25" t="n">
        <v>42</v>
      </c>
      <c r="P17" s="25" t="n">
        <v>187</v>
      </c>
      <c r="Q17" s="25" t="n">
        <v>77</v>
      </c>
      <c r="R17" s="25" t="n">
        <v>22</v>
      </c>
      <c r="S17" s="25" t="n">
        <v>55</v>
      </c>
      <c r="T17" s="25" t="n">
        <v>431</v>
      </c>
      <c r="U17" s="25" t="n">
        <v>109</v>
      </c>
      <c r="V17" s="25" t="n">
        <v>322</v>
      </c>
      <c r="W17" s="26">
        <f>IF(B17=C17+D17,"✓","✗")</f>
        <v/>
      </c>
    </row>
    <row r="18">
      <c r="A18" s="21" t="inlineStr">
        <is>
          <t>Naga Hills</t>
        </is>
      </c>
      <c r="B18" s="22" t="n">
        <v>1298</v>
      </c>
      <c r="C18" s="22" t="n">
        <v>432</v>
      </c>
      <c r="D18" s="22" t="n">
        <v>866</v>
      </c>
      <c r="E18" s="22" t="n">
        <v>1699</v>
      </c>
      <c r="F18" s="22" t="n">
        <v>628</v>
      </c>
      <c r="G18" s="22" t="n">
        <v>1071</v>
      </c>
      <c r="H18" s="22" t="n">
        <v>1879</v>
      </c>
      <c r="I18" s="22" t="n">
        <v>560</v>
      </c>
      <c r="J18" s="22" t="n">
        <v>1319</v>
      </c>
      <c r="K18" s="22" t="n">
        <v>1175</v>
      </c>
      <c r="L18" s="22" t="n">
        <v>353</v>
      </c>
      <c r="M18" s="22" t="n">
        <v>822</v>
      </c>
      <c r="N18" s="22" t="n">
        <v>1371</v>
      </c>
      <c r="O18" s="22" t="n">
        <v>354</v>
      </c>
      <c r="P18" s="22" t="n">
        <v>1017</v>
      </c>
      <c r="Q18" s="22" t="n">
        <v>462</v>
      </c>
      <c r="R18" s="22" t="n">
        <v>152</v>
      </c>
      <c r="S18" s="22" t="n">
        <v>310</v>
      </c>
      <c r="T18" s="22" t="n">
        <v>2032</v>
      </c>
      <c r="U18" s="22" t="n">
        <v>543</v>
      </c>
      <c r="V18" s="22" t="n">
        <v>1489</v>
      </c>
      <c r="W18" s="23">
        <f>IF(B18=C18+D18,"✓","✗")</f>
        <v/>
      </c>
    </row>
    <row r="19">
      <c r="A19" s="24" t="inlineStr">
        <is>
          <t>Khasi and Jaintia Hills</t>
        </is>
      </c>
      <c r="B19" s="25" t="n">
        <v>1532</v>
      </c>
      <c r="C19" s="25" t="n">
        <v>368</v>
      </c>
      <c r="D19" s="25" t="n">
        <v>1164</v>
      </c>
      <c r="E19" s="25" t="n">
        <v>1481</v>
      </c>
      <c r="F19" s="25" t="n">
        <v>345</v>
      </c>
      <c r="G19" s="25" t="n">
        <v>1136</v>
      </c>
      <c r="H19" s="25" t="n">
        <v>2099</v>
      </c>
      <c r="I19" s="25" t="n">
        <v>401</v>
      </c>
      <c r="J19" s="25" t="n">
        <v>1698</v>
      </c>
      <c r="K19" s="25" t="n">
        <v>1543</v>
      </c>
      <c r="L19" s="25" t="n">
        <v>305</v>
      </c>
      <c r="M19" s="25" t="n">
        <v>1238</v>
      </c>
      <c r="N19" s="25" t="n">
        <v>2227</v>
      </c>
      <c r="O19" s="25" t="n">
        <v>385</v>
      </c>
      <c r="P19" s="25" t="n">
        <v>1842</v>
      </c>
      <c r="Q19" s="25" t="n">
        <v>902</v>
      </c>
      <c r="R19" s="25" t="n">
        <v>165</v>
      </c>
      <c r="S19" s="25" t="n">
        <v>737</v>
      </c>
      <c r="T19" s="25" t="n">
        <v>5239</v>
      </c>
      <c r="U19" s="25" t="n">
        <v>1028</v>
      </c>
      <c r="V19" s="25" t="n">
        <v>4211</v>
      </c>
      <c r="W19" s="26">
        <f>IF(B19=C19+D19,"✓","✗")</f>
        <v/>
      </c>
    </row>
    <row r="20">
      <c r="A20" s="21" t="inlineStr">
        <is>
          <t>Garo Hills</t>
        </is>
      </c>
      <c r="B20" s="22" t="n">
        <v>669</v>
      </c>
      <c r="C20" s="22" t="n">
        <v>167</v>
      </c>
      <c r="D20" s="22" t="n">
        <v>502</v>
      </c>
      <c r="E20" s="22" t="n">
        <v>518</v>
      </c>
      <c r="F20" s="22" t="n">
        <v>160</v>
      </c>
      <c r="G20" s="22" t="n">
        <v>358</v>
      </c>
      <c r="H20" s="22" t="n">
        <v>882</v>
      </c>
      <c r="I20" s="22" t="n">
        <v>175</v>
      </c>
      <c r="J20" s="22" t="n">
        <v>707</v>
      </c>
      <c r="K20" s="22" t="n">
        <v>517</v>
      </c>
      <c r="L20" s="22" t="n">
        <v>95</v>
      </c>
      <c r="M20" s="22" t="n">
        <v>422</v>
      </c>
      <c r="N20" s="22" t="n">
        <v>836</v>
      </c>
      <c r="O20" s="22" t="n">
        <v>157</v>
      </c>
      <c r="P20" s="22" t="n">
        <v>679</v>
      </c>
      <c r="Q20" s="22" t="n">
        <v>294</v>
      </c>
      <c r="R20" s="22" t="n">
        <v>54</v>
      </c>
      <c r="S20" s="22" t="n">
        <v>240</v>
      </c>
      <c r="T20" s="22" t="n">
        <v>1778</v>
      </c>
      <c r="U20" s="22" t="n">
        <v>415</v>
      </c>
      <c r="V20" s="22" t="n">
        <v>1363</v>
      </c>
      <c r="W20" s="23">
        <f>IF(B20=C20+D20,"✓","✗")</f>
        <v/>
      </c>
    </row>
    <row r="21">
      <c r="A21" s="24" t="inlineStr">
        <is>
          <t>North Lushai (Civil and Military)</t>
        </is>
      </c>
      <c r="B21" s="25" t="n">
        <v>14</v>
      </c>
      <c r="C21" s="25" t="n">
        <v>14</v>
      </c>
      <c r="D21" s="25" t="n">
        <v>0</v>
      </c>
      <c r="E21" s="25" t="n">
        <v>7</v>
      </c>
      <c r="F21" s="25" t="n">
        <v>7</v>
      </c>
      <c r="G21" s="25" t="n">
        <v>0</v>
      </c>
      <c r="H21" s="25" t="n">
        <v>4</v>
      </c>
      <c r="I21" s="25" t="n">
        <v>4</v>
      </c>
      <c r="J21" s="25" t="n">
        <v>0</v>
      </c>
      <c r="K21" s="25" t="n">
        <v>1</v>
      </c>
      <c r="L21" s="25" t="n">
        <v>1</v>
      </c>
      <c r="M21" s="25" t="n">
        <v>0</v>
      </c>
      <c r="N21" s="25" t="n">
        <v>2</v>
      </c>
      <c r="O21" s="25" t="n">
        <v>2</v>
      </c>
      <c r="P21" s="25" t="n">
        <v>0</v>
      </c>
      <c r="Q21" s="25" t="n">
        <v>0</v>
      </c>
      <c r="R21" s="25" t="n">
        <v>0</v>
      </c>
      <c r="S21" s="25" t="n">
        <v>0</v>
      </c>
      <c r="T21" s="25" t="n">
        <v>1</v>
      </c>
      <c r="U21" s="25" t="n">
        <v>1</v>
      </c>
      <c r="V21" s="25" t="n">
        <v>0</v>
      </c>
      <c r="W21" s="26">
        <f>IF(B21=C21+D21,"✓","✗")</f>
        <v/>
      </c>
    </row>
    <row r="22">
      <c r="A22" s="21" t="inlineStr">
        <is>
          <t>Total</t>
        </is>
      </c>
      <c r="B22" s="22" t="n">
        <v>59348</v>
      </c>
      <c r="C22" s="22" t="n">
        <v>13021</v>
      </c>
      <c r="D22" s="22" t="n">
        <v>46327</v>
      </c>
      <c r="E22" s="22" t="n">
        <v>54259</v>
      </c>
      <c r="F22" s="22" t="n">
        <v>12144</v>
      </c>
      <c r="G22" s="22" t="n">
        <v>42115</v>
      </c>
      <c r="H22" s="22" t="n">
        <v>82467</v>
      </c>
      <c r="I22" s="22" t="n">
        <v>15579</v>
      </c>
      <c r="J22" s="22" t="n">
        <v>66888</v>
      </c>
      <c r="K22" s="22" t="n">
        <v>46357</v>
      </c>
      <c r="L22" s="22" t="n">
        <v>9615</v>
      </c>
      <c r="M22" s="22" t="n">
        <v>36742</v>
      </c>
      <c r="N22" s="22" t="n">
        <v>77685</v>
      </c>
      <c r="O22" s="22" t="n">
        <v>14693</v>
      </c>
      <c r="P22" s="22" t="n">
        <v>62992</v>
      </c>
      <c r="Q22" s="22" t="n">
        <v>26861</v>
      </c>
      <c r="R22" s="22" t="n">
        <v>6106</v>
      </c>
      <c r="S22" s="22" t="n">
        <v>20755</v>
      </c>
      <c r="T22" s="22" t="n">
        <v>136449</v>
      </c>
      <c r="U22" s="22" t="n">
        <v>28401</v>
      </c>
      <c r="V22" s="22" t="n">
        <v>108048</v>
      </c>
      <c r="W22" s="23">
        <f>IF(B22=C22+D22,"✓","✗")</f>
        <v/>
      </c>
    </row>
    <row r="23">
      <c r="A23" s="24" t="inlineStr">
        <is>
          <t>Total</t>
        </is>
      </c>
      <c r="B23" s="25" t="n">
        <v>59348</v>
      </c>
      <c r="C23" s="25" t="n">
        <v>13021</v>
      </c>
      <c r="D23" s="25" t="n">
        <v>46327</v>
      </c>
      <c r="E23" s="25" t="n">
        <v>54259</v>
      </c>
      <c r="F23" s="25" t="n">
        <v>12144</v>
      </c>
      <c r="G23" s="25" t="n">
        <v>42115</v>
      </c>
      <c r="H23" s="25" t="n">
        <v>82467</v>
      </c>
      <c r="I23" s="25" t="n">
        <v>15579</v>
      </c>
      <c r="J23" s="25" t="n">
        <v>66888</v>
      </c>
      <c r="K23" s="25" t="n">
        <v>46357</v>
      </c>
      <c r="L23" s="25" t="n">
        <v>9615</v>
      </c>
      <c r="M23" s="25" t="n">
        <v>36742</v>
      </c>
      <c r="N23" s="25" t="n">
        <v>77685</v>
      </c>
      <c r="O23" s="25" t="n">
        <v>14693</v>
      </c>
      <c r="P23" s="25" t="n">
        <v>62992</v>
      </c>
      <c r="Q23" s="25" t="n">
        <v>26861</v>
      </c>
      <c r="R23" s="25" t="n">
        <v>6106</v>
      </c>
      <c r="S23" s="25" t="n">
        <v>20755</v>
      </c>
      <c r="T23" s="25" t="n">
        <v>136449</v>
      </c>
      <c r="U23" s="25" t="n">
        <v>28401</v>
      </c>
      <c r="V23" s="25" t="n">
        <v>108048</v>
      </c>
      <c r="W23" s="26">
        <f>IF(B23=C23+D23,"✓","✗")</f>
        <v/>
      </c>
    </row>
    <row r="24">
      <c r="A24" s="27" t="inlineStr">
        <is>
          <t>Verify: Sum</t>
        </is>
      </c>
      <c r="B24" s="28">
        <f>IF(SUM(B6:B23)=B5,"✓",SUM(B6:B23)-B5)</f>
        <v/>
      </c>
      <c r="C24" s="28">
        <f>IF(SUM(C6:C23)=C5,"✓",SUM(C6:C23)-C5)</f>
        <v/>
      </c>
      <c r="D24" s="28">
        <f>IF(SUM(D6:D23)=D5,"✓",SUM(D6:D23)-D5)</f>
        <v/>
      </c>
      <c r="E24" s="28">
        <f>IF(SUM(E6:E23)=E5,"✓",SUM(E6:E23)-E5)</f>
        <v/>
      </c>
      <c r="F24" s="28">
        <f>IF(SUM(F6:F23)=F5,"✓",SUM(F6:F23)-F5)</f>
        <v/>
      </c>
      <c r="G24" s="28">
        <f>IF(SUM(G6:G23)=G5,"✓",SUM(G6:G23)-G5)</f>
        <v/>
      </c>
      <c r="H24" s="28">
        <f>IF(SUM(H6:H23)=H5,"✓",SUM(H6:H23)-H5)</f>
        <v/>
      </c>
      <c r="I24" s="28">
        <f>IF(SUM(I6:I23)=I5,"✓",SUM(I6:I23)-I5)</f>
        <v/>
      </c>
      <c r="J24" s="28">
        <f>IF(SUM(J6:J23)=J5,"✓",SUM(J6:J23)-J5)</f>
        <v/>
      </c>
      <c r="K24" s="28">
        <f>IF(SUM(K6:K23)=K5,"✓",SUM(K6:K23)-K5)</f>
        <v/>
      </c>
      <c r="L24" s="28">
        <f>IF(SUM(L6:L23)=L5,"✓",SUM(L6:L23)-L5)</f>
        <v/>
      </c>
      <c r="M24" s="28">
        <f>IF(SUM(M6:M23)=M5,"✓",SUM(M6:M23)-M5)</f>
        <v/>
      </c>
      <c r="N24" s="28">
        <f>IF(SUM(N6:N23)=N5,"✓",SUM(N6:N23)-N5)</f>
        <v/>
      </c>
      <c r="O24" s="28">
        <f>IF(SUM(O6:O23)=O5,"✓",SUM(O6:O23)-O5)</f>
        <v/>
      </c>
      <c r="P24" s="28">
        <f>IF(SUM(P6:P23)=P5,"✓",SUM(P6:P23)-P5)</f>
        <v/>
      </c>
      <c r="Q24" s="28">
        <f>IF(SUM(Q6:Q23)=Q5,"✓",SUM(Q6:Q23)-Q5)</f>
        <v/>
      </c>
      <c r="R24" s="28">
        <f>IF(SUM(R6:R23)=R5,"✓",SUM(R6:R23)-R5)</f>
        <v/>
      </c>
      <c r="S24" s="28">
        <f>IF(SUM(S6:S23)=S5,"✓",SUM(S6:S23)-S5)</f>
        <v/>
      </c>
      <c r="T24" s="28">
        <f>IF(SUM(T6:T23)=T5,"✓",SUM(T6:T23)-T5)</f>
        <v/>
      </c>
      <c r="U24" s="28">
        <f>IF(SUM(U6:U23)=U5,"✓",SUM(U6:U23)-U5)</f>
        <v/>
      </c>
      <c r="V24" s="28">
        <f>IF(SUM(V6:V23)=V5,"✓",SUM(V6:V23)-V5)</f>
        <v/>
      </c>
    </row>
  </sheetData>
  <mergeCells count="7">
    <mergeCell ref="B3:D3"/>
    <mergeCell ref="T3:V3"/>
    <mergeCell ref="E3:G3"/>
    <mergeCell ref="K3:M3"/>
    <mergeCell ref="H3:J3"/>
    <mergeCell ref="N3:P3"/>
    <mergeCell ref="Q3:S3"/>
  </mergeCells>
  <conditionalFormatting sqref="W5:W24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2026-03-18T03:22:19Z</dcterms:created>
  <dcterms:modified xmlns:dcterms="http://purl.org/dc/terms/" xmlns:xsi="http://www.w3.org/2001/XMLSchema-instance" xsi:type="dcterms:W3CDTF">2026-03-18T03:22:19Z</dcterms:modified>
</cp:coreProperties>
</file>