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TABLE VIII. CIVIL CONDITION BY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7" customWidth="1" min="20" max="20"/>
  </cols>
  <sheetData>
    <row r="1">
      <c r="A1" s="1" t="inlineStr">
        <is>
          <t>Assam — 1891</t>
        </is>
      </c>
    </row>
    <row r="2">
      <c r="A2" s="2" t="inlineStr">
        <is>
          <t>Source: TABLE VIII. CIVIL CONDITION BY RELIGION AND AGE. PART A.-ALL RELIGIONS. (1) UNMARRIED.</t>
        </is>
      </c>
    </row>
    <row r="3">
      <c r="A3" s="3" t="inlineStr">
        <is>
          <t>TABLE VIII. CIVIL CONDITION BY RELIGION AND AGE. PART A.-ALL RELIGIONS. (1) UNMARRIED.</t>
        </is>
      </c>
    </row>
    <row r="4">
      <c r="A4" s="4" t="inlineStr">
        <is>
          <t>District.</t>
        </is>
      </c>
      <c r="B4" s="5" t="inlineStr">
        <is>
          <t>TOTAL UNMARRIED.</t>
        </is>
      </c>
      <c r="C4" s="6" t="n"/>
      <c r="D4" s="6" t="n"/>
      <c r="E4" s="7" t="inlineStr">
        <is>
          <t>0-4.</t>
        </is>
      </c>
      <c r="F4" s="8" t="n"/>
      <c r="G4" s="8" t="n"/>
      <c r="H4" s="9" t="inlineStr">
        <is>
          <t>5-9.</t>
        </is>
      </c>
      <c r="I4" s="10" t="n"/>
      <c r="J4" s="10" t="n"/>
      <c r="K4" s="11" t="inlineStr">
        <is>
          <t>10-14.</t>
        </is>
      </c>
      <c r="L4" s="12" t="n"/>
      <c r="M4" s="12" t="n"/>
      <c r="N4" s="13" t="inlineStr">
        <is>
          <t>15-19.</t>
        </is>
      </c>
      <c r="O4" s="14" t="n"/>
      <c r="P4" s="14" t="n"/>
      <c r="Q4" s="5" t="inlineStr">
        <is>
          <t>20-24.</t>
        </is>
      </c>
      <c r="R4" s="6" t="n"/>
      <c r="S4" s="6" t="n"/>
      <c r="T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M+F=P</t>
        </is>
      </c>
    </row>
    <row r="6">
      <c r="A6" s="18" t="inlineStr">
        <is>
          <t>Total</t>
        </is>
      </c>
      <c r="B6" s="19" t="n">
        <v>1214799</v>
      </c>
      <c r="C6" s="19" t="n">
        <v>745820</v>
      </c>
      <c r="D6" s="19" t="n">
        <v>468979</v>
      </c>
      <c r="E6" s="19" t="n">
        <v>385278</v>
      </c>
      <c r="F6" s="19" t="n">
        <v>188096</v>
      </c>
      <c r="G6" s="19" t="n">
        <v>197182</v>
      </c>
      <c r="H6" s="19" t="n">
        <v>397359</v>
      </c>
      <c r="I6" s="19" t="n">
        <v>202013</v>
      </c>
      <c r="J6" s="19" t="n">
        <v>195346</v>
      </c>
      <c r="K6" s="19" t="n">
        <v>220673</v>
      </c>
      <c r="L6" s="19" t="n">
        <v>156163</v>
      </c>
      <c r="M6" s="19" t="n">
        <v>64510</v>
      </c>
      <c r="N6" s="19" t="n">
        <v>94046</v>
      </c>
      <c r="O6" s="19" t="n">
        <v>86819</v>
      </c>
      <c r="P6" s="19" t="n">
        <v>7227</v>
      </c>
      <c r="Q6" s="19" t="n">
        <v>57570</v>
      </c>
      <c r="R6" s="19" t="n">
        <v>55703</v>
      </c>
      <c r="S6" s="19" t="n">
        <v>1867</v>
      </c>
      <c r="T6" s="20">
        <f>IF(B6=C6+D6,"✓","✗")</f>
        <v/>
      </c>
    </row>
    <row r="7">
      <c r="A7" s="21" t="inlineStr">
        <is>
          <t>Cachar Plains</t>
        </is>
      </c>
      <c r="B7" s="22" t="n">
        <v>173707</v>
      </c>
      <c r="C7" s="22" t="n">
        <v>103737</v>
      </c>
      <c r="D7" s="22" t="n">
        <v>69970</v>
      </c>
      <c r="E7" s="22" t="n">
        <v>55255</v>
      </c>
      <c r="F7" s="22" t="n">
        <v>27063</v>
      </c>
      <c r="G7" s="22" t="n">
        <v>28192</v>
      </c>
      <c r="H7" s="22" t="n">
        <v>55667</v>
      </c>
      <c r="I7" s="22" t="n">
        <v>28330</v>
      </c>
      <c r="J7" s="22" t="n">
        <v>27337</v>
      </c>
      <c r="K7" s="22" t="n">
        <v>31848</v>
      </c>
      <c r="L7" s="22" t="n">
        <v>20891</v>
      </c>
      <c r="M7" s="22" t="n">
        <v>10957</v>
      </c>
      <c r="N7" s="22" t="n">
        <v>13679</v>
      </c>
      <c r="O7" s="22" t="n">
        <v>11399</v>
      </c>
      <c r="P7" s="22" t="n">
        <v>2280</v>
      </c>
      <c r="Q7" s="22" t="n">
        <v>8441</v>
      </c>
      <c r="R7" s="22" t="n">
        <v>7860</v>
      </c>
      <c r="S7" s="22" t="n">
        <v>581</v>
      </c>
      <c r="T7" s="23">
        <f>IF(B7=C7+D7,"✓","✗")</f>
        <v/>
      </c>
    </row>
    <row r="8">
      <c r="A8" s="24" t="inlineStr">
        <is>
          <t>Sylhet</t>
        </is>
      </c>
      <c r="B8" s="25" t="n">
        <v>1041092</v>
      </c>
      <c r="C8" s="25" t="n">
        <v>642083</v>
      </c>
      <c r="D8" s="25" t="n">
        <v>399009</v>
      </c>
      <c r="E8" s="25" t="n">
        <v>330023</v>
      </c>
      <c r="F8" s="25" t="n">
        <v>161033</v>
      </c>
      <c r="G8" s="25" t="n">
        <v>168990</v>
      </c>
      <c r="H8" s="25" t="n">
        <v>341692</v>
      </c>
      <c r="I8" s="25" t="n">
        <v>173683</v>
      </c>
      <c r="J8" s="25" t="n">
        <v>168009</v>
      </c>
      <c r="K8" s="25" t="n">
        <v>188825</v>
      </c>
      <c r="L8" s="25" t="n">
        <v>135272</v>
      </c>
      <c r="M8" s="25" t="n">
        <v>53553</v>
      </c>
      <c r="N8" s="25" t="n">
        <v>80367</v>
      </c>
      <c r="O8" s="25" t="n">
        <v>75420</v>
      </c>
      <c r="P8" s="25" t="n">
        <v>4947</v>
      </c>
      <c r="Q8" s="25" t="n">
        <v>49129</v>
      </c>
      <c r="R8" s="25" t="n">
        <v>47843</v>
      </c>
      <c r="S8" s="25" t="n">
        <v>1286</v>
      </c>
      <c r="T8" s="26">
        <f>IF(B8=C8+D8,"✓","✗")</f>
        <v/>
      </c>
    </row>
    <row r="9">
      <c r="A9" s="21" t="inlineStr">
        <is>
          <t>Total</t>
        </is>
      </c>
      <c r="B9" s="22" t="n">
        <v>2664494</v>
      </c>
      <c r="C9" s="22" t="n">
        <v>1573539</v>
      </c>
      <c r="D9" s="22" t="n">
        <v>1090955</v>
      </c>
      <c r="E9" s="22" t="n">
        <v>867149</v>
      </c>
      <c r="F9" s="22" t="n">
        <v>424079</v>
      </c>
      <c r="G9" s="22" t="n">
        <v>443070</v>
      </c>
      <c r="H9" s="22" t="n">
        <v>821428</v>
      </c>
      <c r="I9" s="22" t="n">
        <v>420311</v>
      </c>
      <c r="J9" s="22" t="n">
        <v>401117</v>
      </c>
      <c r="K9" s="22" t="n">
        <v>479279</v>
      </c>
      <c r="L9" s="22" t="n">
        <v>310693</v>
      </c>
      <c r="M9" s="22" t="n">
        <v>168586</v>
      </c>
      <c r="N9" s="22" t="n">
        <v>223705</v>
      </c>
      <c r="O9" s="22" t="n">
        <v>177043</v>
      </c>
      <c r="P9" s="22" t="n">
        <v>46662</v>
      </c>
      <c r="Q9" s="22" t="n">
        <v>131062</v>
      </c>
      <c r="R9" s="22" t="n">
        <v>116483</v>
      </c>
      <c r="S9" s="22" t="n">
        <v>14579</v>
      </c>
      <c r="T9" s="23">
        <f>IF(B9=C9+D9,"✓","✗")</f>
        <v/>
      </c>
    </row>
    <row r="10">
      <c r="A10" s="24" t="inlineStr">
        <is>
          <t>Goalpara</t>
        </is>
      </c>
      <c r="B10" s="25" t="n">
        <v>207816</v>
      </c>
      <c r="C10" s="25" t="n">
        <v>125036</v>
      </c>
      <c r="D10" s="25" t="n">
        <v>82780</v>
      </c>
      <c r="E10" s="25" t="n">
        <v>76146</v>
      </c>
      <c r="F10" s="25" t="n">
        <v>36901</v>
      </c>
      <c r="G10" s="25" t="n">
        <v>39245</v>
      </c>
      <c r="H10" s="25" t="n">
        <v>65873</v>
      </c>
      <c r="I10" s="25" t="n">
        <v>35104</v>
      </c>
      <c r="J10" s="25" t="n">
        <v>30769</v>
      </c>
      <c r="K10" s="25" t="n">
        <v>32380</v>
      </c>
      <c r="L10" s="25" t="n">
        <v>23161</v>
      </c>
      <c r="M10" s="25" t="n">
        <v>9219</v>
      </c>
      <c r="N10" s="25" t="n">
        <v>14642</v>
      </c>
      <c r="O10" s="25" t="n">
        <v>12619</v>
      </c>
      <c r="P10" s="25" t="n">
        <v>2023</v>
      </c>
      <c r="Q10" s="25" t="n">
        <v>8249</v>
      </c>
      <c r="R10" s="25" t="n">
        <v>7620</v>
      </c>
      <c r="S10" s="25" t="n">
        <v>629</v>
      </c>
      <c r="T10" s="26">
        <f>IF(B10=C10+D10,"✓","✗")</f>
        <v/>
      </c>
    </row>
    <row r="11">
      <c r="A11" s="21" t="inlineStr">
        <is>
          <t>Kamrup</t>
        </is>
      </c>
      <c r="B11" s="22" t="n">
        <v>314277</v>
      </c>
      <c r="C11" s="22" t="n">
        <v>180426</v>
      </c>
      <c r="D11" s="22" t="n">
        <v>133851</v>
      </c>
      <c r="E11" s="22" t="n">
        <v>105030</v>
      </c>
      <c r="F11" s="22" t="n">
        <v>50882</v>
      </c>
      <c r="G11" s="22" t="n">
        <v>54148</v>
      </c>
      <c r="H11" s="22" t="n">
        <v>97027</v>
      </c>
      <c r="I11" s="22" t="n">
        <v>49891</v>
      </c>
      <c r="J11" s="22" t="n">
        <v>47136</v>
      </c>
      <c r="K11" s="22" t="n">
        <v>59484</v>
      </c>
      <c r="L11" s="22" t="n">
        <v>36592</v>
      </c>
      <c r="M11" s="22" t="n">
        <v>22892</v>
      </c>
      <c r="N11" s="22" t="n">
        <v>25549</v>
      </c>
      <c r="O11" s="22" t="n">
        <v>19796</v>
      </c>
      <c r="P11" s="22" t="n">
        <v>5753</v>
      </c>
      <c r="Q11" s="22" t="n">
        <v>13276</v>
      </c>
      <c r="R11" s="22" t="n">
        <v>11645</v>
      </c>
      <c r="S11" s="22" t="n">
        <v>1631</v>
      </c>
      <c r="T11" s="23">
        <f>IF(B11=C11+D11,"✓","✗")</f>
        <v/>
      </c>
    </row>
    <row r="12">
      <c r="A12" s="24" t="inlineStr">
        <is>
          <t>Darrang</t>
        </is>
      </c>
      <c r="B12" s="25" t="n">
        <v>150496</v>
      </c>
      <c r="C12" s="25" t="n">
        <v>86395</v>
      </c>
      <c r="D12" s="25" t="n">
        <v>64101</v>
      </c>
      <c r="E12" s="25" t="n">
        <v>48202</v>
      </c>
      <c r="F12" s="25" t="n">
        <v>23762</v>
      </c>
      <c r="G12" s="25" t="n">
        <v>24440</v>
      </c>
      <c r="H12" s="25" t="n">
        <v>44025</v>
      </c>
      <c r="I12" s="25" t="n">
        <v>22588</v>
      </c>
      <c r="J12" s="25" t="n">
        <v>21437</v>
      </c>
      <c r="K12" s="25" t="n">
        <v>26419</v>
      </c>
      <c r="L12" s="25" t="n">
        <v>15702</v>
      </c>
      <c r="M12" s="25" t="n">
        <v>10717</v>
      </c>
      <c r="N12" s="25" t="n">
        <v>12431</v>
      </c>
      <c r="O12" s="25" t="n">
        <v>8899</v>
      </c>
      <c r="P12" s="25" t="n">
        <v>3532</v>
      </c>
      <c r="Q12" s="25" t="n">
        <v>7985</v>
      </c>
      <c r="R12" s="25" t="n">
        <v>6547</v>
      </c>
      <c r="S12" s="25" t="n">
        <v>1438</v>
      </c>
      <c r="T12" s="26">
        <f>IF(B12=C12+D12,"✓","✗")</f>
        <v/>
      </c>
    </row>
    <row r="13">
      <c r="A13" s="21" t="inlineStr">
        <is>
          <t>Nowgong</t>
        </is>
      </c>
      <c r="B13" s="22" t="n">
        <v>184524</v>
      </c>
      <c r="C13" s="22" t="n">
        <v>103606</v>
      </c>
      <c r="D13" s="22" t="n">
        <v>80918</v>
      </c>
      <c r="E13" s="22" t="n">
        <v>60846</v>
      </c>
      <c r="F13" s="22" t="n">
        <v>29711</v>
      </c>
      <c r="G13" s="22" t="n">
        <v>31135</v>
      </c>
      <c r="H13" s="22" t="n">
        <v>52199</v>
      </c>
      <c r="I13" s="22" t="n">
        <v>26727</v>
      </c>
      <c r="J13" s="22" t="n">
        <v>25472</v>
      </c>
      <c r="K13" s="22" t="n">
        <v>30856</v>
      </c>
      <c r="L13" s="22" t="n">
        <v>17632</v>
      </c>
      <c r="M13" s="22" t="n">
        <v>13224</v>
      </c>
      <c r="N13" s="22" t="n">
        <v>17273</v>
      </c>
      <c r="O13" s="22" t="n">
        <v>10879</v>
      </c>
      <c r="P13" s="22" t="n">
        <v>6394</v>
      </c>
      <c r="Q13" s="22" t="n">
        <v>10787</v>
      </c>
      <c r="R13" s="22" t="n">
        <v>8341</v>
      </c>
      <c r="S13" s="22" t="n">
        <v>2446</v>
      </c>
      <c r="T13" s="23">
        <f>IF(B13=C13+D13,"✓","✗")</f>
        <v/>
      </c>
    </row>
    <row r="14">
      <c r="A14" s="24" t="inlineStr">
        <is>
          <t>Sibsagar</t>
        </is>
      </c>
      <c r="B14" s="25" t="n">
        <v>236809</v>
      </c>
      <c r="C14" s="25" t="n">
        <v>135128</v>
      </c>
      <c r="D14" s="25" t="n">
        <v>101681</v>
      </c>
      <c r="E14" s="25" t="n">
        <v>73674</v>
      </c>
      <c r="F14" s="25" t="n">
        <v>36156</v>
      </c>
      <c r="G14" s="25" t="n">
        <v>37518</v>
      </c>
      <c r="H14" s="25" t="n">
        <v>66960</v>
      </c>
      <c r="I14" s="25" t="n">
        <v>33862</v>
      </c>
      <c r="J14" s="25" t="n">
        <v>33098</v>
      </c>
      <c r="K14" s="25" t="n">
        <v>44145</v>
      </c>
      <c r="L14" s="25" t="n">
        <v>25176</v>
      </c>
      <c r="M14" s="25" t="n">
        <v>18969</v>
      </c>
      <c r="N14" s="25" t="n">
        <v>24448</v>
      </c>
      <c r="O14" s="25" t="n">
        <v>16286</v>
      </c>
      <c r="P14" s="25" t="n">
        <v>8162</v>
      </c>
      <c r="Q14" s="25" t="n">
        <v>14395</v>
      </c>
      <c r="R14" s="25" t="n">
        <v>12201</v>
      </c>
      <c r="S14" s="25" t="n">
        <v>2194</v>
      </c>
      <c r="T14" s="26">
        <f>IF(B14=C14+D14,"✓","✗")</f>
        <v/>
      </c>
    </row>
    <row r="15">
      <c r="A15" s="21" t="inlineStr">
        <is>
          <t>Lakhimpur</t>
        </is>
      </c>
      <c r="B15" s="22" t="n">
        <v>128104</v>
      </c>
      <c r="C15" s="22" t="n">
        <v>73739</v>
      </c>
      <c r="D15" s="22" t="n">
        <v>54365</v>
      </c>
      <c r="E15" s="22" t="n">
        <v>38780</v>
      </c>
      <c r="F15" s="22" t="n">
        <v>19372</v>
      </c>
      <c r="G15" s="22" t="n">
        <v>19408</v>
      </c>
      <c r="H15" s="22" t="n">
        <v>36073</v>
      </c>
      <c r="I15" s="22" t="n">
        <v>18398</v>
      </c>
      <c r="J15" s="22" t="n">
        <v>17675</v>
      </c>
      <c r="K15" s="22" t="n">
        <v>23279</v>
      </c>
      <c r="L15" s="22" t="n">
        <v>13371</v>
      </c>
      <c r="M15" s="22" t="n">
        <v>9908</v>
      </c>
      <c r="N15" s="22" t="n">
        <v>12918</v>
      </c>
      <c r="O15" s="22" t="n">
        <v>8246</v>
      </c>
      <c r="P15" s="22" t="n">
        <v>4672</v>
      </c>
      <c r="Q15" s="22" t="n">
        <v>8013</v>
      </c>
      <c r="R15" s="22" t="n">
        <v>6550</v>
      </c>
      <c r="S15" s="22" t="n">
        <v>1463</v>
      </c>
      <c r="T15" s="23">
        <f>IF(B15=C15+D15,"✓","✗")</f>
        <v/>
      </c>
    </row>
    <row r="16">
      <c r="A16" s="24" t="inlineStr">
        <is>
          <t>Total</t>
        </is>
      </c>
      <c r="B16" s="25" t="n">
        <v>2664494</v>
      </c>
      <c r="C16" s="25" t="n">
        <v>1573539</v>
      </c>
      <c r="D16" s="25" t="n">
        <v>1090955</v>
      </c>
      <c r="E16" s="25" t="n">
        <v>867149</v>
      </c>
      <c r="F16" s="25" t="n">
        <v>424079</v>
      </c>
      <c r="G16" s="25" t="n">
        <v>443070</v>
      </c>
      <c r="H16" s="25" t="n">
        <v>821428</v>
      </c>
      <c r="I16" s="25" t="n">
        <v>420311</v>
      </c>
      <c r="J16" s="25" t="n">
        <v>401117</v>
      </c>
      <c r="K16" s="25" t="n">
        <v>479279</v>
      </c>
      <c r="L16" s="25" t="n">
        <v>310693</v>
      </c>
      <c r="M16" s="25" t="n">
        <v>168586</v>
      </c>
      <c r="N16" s="25" t="n">
        <v>223705</v>
      </c>
      <c r="O16" s="25" t="n">
        <v>177043</v>
      </c>
      <c r="P16" s="25" t="n">
        <v>46662</v>
      </c>
      <c r="Q16" s="25" t="n">
        <v>131062</v>
      </c>
      <c r="R16" s="25" t="n">
        <v>116483</v>
      </c>
      <c r="S16" s="25" t="n">
        <v>14579</v>
      </c>
      <c r="T16" s="26">
        <f>IF(B16=C16+D16,"✓","✗")</f>
        <v/>
      </c>
    </row>
    <row r="17">
      <c r="A17" s="21" t="inlineStr">
        <is>
          <t>Total</t>
        </is>
      </c>
      <c r="B17" s="22" t="n">
        <v>2664494</v>
      </c>
      <c r="C17" s="22" t="n">
        <v>1573539</v>
      </c>
      <c r="D17" s="22" t="n">
        <v>1090955</v>
      </c>
      <c r="E17" s="22" t="n">
        <v>867149</v>
      </c>
      <c r="F17" s="22" t="n">
        <v>424079</v>
      </c>
      <c r="G17" s="22" t="n">
        <v>443070</v>
      </c>
      <c r="H17" s="22" t="n">
        <v>821428</v>
      </c>
      <c r="I17" s="22" t="n">
        <v>420311</v>
      </c>
      <c r="J17" s="22" t="n">
        <v>401117</v>
      </c>
      <c r="K17" s="22" t="n">
        <v>479279</v>
      </c>
      <c r="L17" s="22" t="n">
        <v>310693</v>
      </c>
      <c r="M17" s="22" t="n">
        <v>168586</v>
      </c>
      <c r="N17" s="22" t="n">
        <v>223705</v>
      </c>
      <c r="O17" s="22" t="n">
        <v>177043</v>
      </c>
      <c r="P17" s="22" t="n">
        <v>46662</v>
      </c>
      <c r="Q17" s="22" t="n">
        <v>131062</v>
      </c>
      <c r="R17" s="22" t="n">
        <v>116483</v>
      </c>
      <c r="S17" s="22" t="n">
        <v>14579</v>
      </c>
      <c r="T17" s="23">
        <f>IF(B17=C17+D17,"✓","✗")</f>
        <v/>
      </c>
    </row>
    <row r="18">
      <c r="A18" s="24" t="inlineStr">
        <is>
          <t>North Cachar</t>
        </is>
      </c>
      <c r="B18" s="25" t="n">
        <v>10348</v>
      </c>
      <c r="C18" s="25" t="n">
        <v>5460</v>
      </c>
      <c r="D18" s="25" t="n">
        <v>4888</v>
      </c>
      <c r="E18" s="25" t="n">
        <v>3196</v>
      </c>
      <c r="F18" s="25" t="n">
        <v>1601</v>
      </c>
      <c r="G18" s="25" t="n">
        <v>1595</v>
      </c>
      <c r="H18" s="25" t="n">
        <v>2818</v>
      </c>
      <c r="I18" s="25" t="n">
        <v>1406</v>
      </c>
      <c r="J18" s="25" t="n">
        <v>1412</v>
      </c>
      <c r="K18" s="25" t="n">
        <v>1857</v>
      </c>
      <c r="L18" s="25" t="n">
        <v>939</v>
      </c>
      <c r="M18" s="25" t="n">
        <v>918</v>
      </c>
      <c r="N18" s="25" t="n">
        <v>1301</v>
      </c>
      <c r="O18" s="25" t="n">
        <v>675</v>
      </c>
      <c r="P18" s="25" t="n">
        <v>626</v>
      </c>
      <c r="Q18" s="25" t="n">
        <v>670</v>
      </c>
      <c r="R18" s="25" t="n">
        <v>451</v>
      </c>
      <c r="S18" s="25" t="n">
        <v>219</v>
      </c>
      <c r="T18" s="26">
        <f>IF(B18=C18+D18,"✓","✗")</f>
        <v/>
      </c>
    </row>
    <row r="19">
      <c r="A19" s="21" t="inlineStr">
        <is>
          <t>Naga Hills</t>
        </is>
      </c>
      <c r="B19" s="22" t="n">
        <v>56754</v>
      </c>
      <c r="C19" s="22" t="n">
        <v>31297</v>
      </c>
      <c r="D19" s="22" t="n">
        <v>25457</v>
      </c>
      <c r="E19" s="22" t="n">
        <v>20148</v>
      </c>
      <c r="F19" s="22" t="n">
        <v>9890</v>
      </c>
      <c r="G19" s="22" t="n">
        <v>10258</v>
      </c>
      <c r="H19" s="22" t="n">
        <v>15712</v>
      </c>
      <c r="I19" s="22" t="n">
        <v>8363</v>
      </c>
      <c r="J19" s="22" t="n">
        <v>7349</v>
      </c>
      <c r="K19" s="22" t="n">
        <v>9477</v>
      </c>
      <c r="L19" s="22" t="n">
        <v>5177</v>
      </c>
      <c r="M19" s="22" t="n">
        <v>4300</v>
      </c>
      <c r="N19" s="22" t="n">
        <v>4946</v>
      </c>
      <c r="O19" s="22" t="n">
        <v>2979</v>
      </c>
      <c r="P19" s="22" t="n">
        <v>1967</v>
      </c>
      <c r="Q19" s="22" t="n">
        <v>2901</v>
      </c>
      <c r="R19" s="22" t="n">
        <v>2157</v>
      </c>
      <c r="S19" s="22" t="n">
        <v>744</v>
      </c>
      <c r="T19" s="23">
        <f>IF(B19=C19+D19,"✓","✗")</f>
        <v/>
      </c>
    </row>
    <row r="20">
      <c r="A20" s="24" t="inlineStr">
        <is>
          <t>Khasi and Jaintia Hills</t>
        </is>
      </c>
      <c r="B20" s="25" t="n">
        <v>101504</v>
      </c>
      <c r="C20" s="25" t="n">
        <v>53336</v>
      </c>
      <c r="D20" s="25" t="n">
        <v>48168</v>
      </c>
      <c r="E20" s="25" t="n">
        <v>34030</v>
      </c>
      <c r="F20" s="25" t="n">
        <v>16712</v>
      </c>
      <c r="G20" s="25" t="n">
        <v>17318</v>
      </c>
      <c r="H20" s="25" t="n">
        <v>26331</v>
      </c>
      <c r="I20" s="25" t="n">
        <v>13147</v>
      </c>
      <c r="J20" s="25" t="n">
        <v>13184</v>
      </c>
      <c r="K20" s="25" t="n">
        <v>20318</v>
      </c>
      <c r="L20" s="25" t="n">
        <v>10640</v>
      </c>
      <c r="M20" s="25" t="n">
        <v>9678</v>
      </c>
      <c r="N20" s="25" t="n">
        <v>11358</v>
      </c>
      <c r="O20" s="25" t="n">
        <v>6578</v>
      </c>
      <c r="P20" s="25" t="n">
        <v>4780</v>
      </c>
      <c r="Q20" s="25" t="n">
        <v>4746</v>
      </c>
      <c r="R20" s="25" t="n">
        <v>3283</v>
      </c>
      <c r="S20" s="25" t="n">
        <v>1463</v>
      </c>
      <c r="T20" s="26">
        <f>IF(B20=C20+D20,"✓","✗")</f>
        <v/>
      </c>
    </row>
    <row r="21">
      <c r="A21" s="21" t="inlineStr">
        <is>
          <t>Garo Hills</t>
        </is>
      </c>
      <c r="B21" s="22" t="n">
        <v>57983</v>
      </c>
      <c r="C21" s="22" t="n">
        <v>32216</v>
      </c>
      <c r="D21" s="22" t="n">
        <v>25767</v>
      </c>
      <c r="E21" s="22" t="n">
        <v>21819</v>
      </c>
      <c r="F21" s="22" t="n">
        <v>10996</v>
      </c>
      <c r="G21" s="22" t="n">
        <v>10823</v>
      </c>
      <c r="H21" s="22" t="n">
        <v>17051</v>
      </c>
      <c r="I21" s="22" t="n">
        <v>8812</v>
      </c>
      <c r="J21" s="22" t="n">
        <v>8239</v>
      </c>
      <c r="K21" s="22" t="n">
        <v>10385</v>
      </c>
      <c r="L21" s="22" t="n">
        <v>6134</v>
      </c>
      <c r="M21" s="22" t="n">
        <v>4251</v>
      </c>
      <c r="N21" s="22" t="n">
        <v>4656</v>
      </c>
      <c r="O21" s="22" t="n">
        <v>3130</v>
      </c>
      <c r="P21" s="22" t="n">
        <v>1526</v>
      </c>
      <c r="Q21" s="22" t="n">
        <v>2031</v>
      </c>
      <c r="R21" s="22" t="n">
        <v>1546</v>
      </c>
      <c r="S21" s="22" t="n">
        <v>485</v>
      </c>
      <c r="T21" s="23">
        <f>IF(B21=C21+D21,"✓","✗")</f>
        <v/>
      </c>
    </row>
    <row r="22">
      <c r="A22" s="24" t="inlineStr">
        <is>
          <t>North Lushai (Civil and Military).</t>
        </is>
      </c>
      <c r="B22" s="25" t="n">
        <v>1080</v>
      </c>
      <c r="C22" s="25" t="n">
        <v>1080</v>
      </c>
      <c r="D22" s="25" t="n">
        <v>0</v>
      </c>
      <c r="E22" s="25" t="n">
        <v>0</v>
      </c>
      <c r="F22" s="25" t="n">
        <v>0</v>
      </c>
      <c r="G22" s="25" t="n">
        <v>0</v>
      </c>
      <c r="H22" s="25" t="n">
        <v>0</v>
      </c>
      <c r="I22" s="25" t="n">
        <v>0</v>
      </c>
      <c r="J22" s="25" t="n">
        <v>0</v>
      </c>
      <c r="K22" s="25" t="n">
        <v>6</v>
      </c>
      <c r="L22" s="25" t="n">
        <v>6</v>
      </c>
      <c r="M22" s="25" t="n">
        <v>0</v>
      </c>
      <c r="N22" s="25" t="n">
        <v>137</v>
      </c>
      <c r="O22" s="25" t="n">
        <v>137</v>
      </c>
      <c r="P22" s="25" t="n">
        <v>0</v>
      </c>
      <c r="Q22" s="25" t="n">
        <v>439</v>
      </c>
      <c r="R22" s="25" t="n">
        <v>439</v>
      </c>
      <c r="S22" s="25" t="n">
        <v>0</v>
      </c>
      <c r="T22" s="26">
        <f>IF(B22=C22+D22,"✓","✗")</f>
        <v/>
      </c>
    </row>
    <row r="23">
      <c r="A23" s="21" t="inlineStr">
        <is>
          <t>Total</t>
        </is>
      </c>
      <c r="B23" s="22" t="n">
        <v>2664494</v>
      </c>
      <c r="C23" s="22" t="n">
        <v>1573539</v>
      </c>
      <c r="D23" s="22" t="n">
        <v>1090955</v>
      </c>
      <c r="E23" s="22" t="n">
        <v>867149</v>
      </c>
      <c r="F23" s="22" t="n">
        <v>424079</v>
      </c>
      <c r="G23" s="22" t="n">
        <v>443070</v>
      </c>
      <c r="H23" s="22" t="n">
        <v>821428</v>
      </c>
      <c r="I23" s="22" t="n">
        <v>420311</v>
      </c>
      <c r="J23" s="22" t="n">
        <v>401117</v>
      </c>
      <c r="K23" s="22" t="n">
        <v>479279</v>
      </c>
      <c r="L23" s="22" t="n">
        <v>310693</v>
      </c>
      <c r="M23" s="22" t="n">
        <v>168586</v>
      </c>
      <c r="N23" s="22" t="n">
        <v>223705</v>
      </c>
      <c r="O23" s="22" t="n">
        <v>177043</v>
      </c>
      <c r="P23" s="22" t="n">
        <v>46662</v>
      </c>
      <c r="Q23" s="22" t="n">
        <v>131062</v>
      </c>
      <c r="R23" s="22" t="n">
        <v>116483</v>
      </c>
      <c r="S23" s="22" t="n">
        <v>14579</v>
      </c>
      <c r="T23" s="23">
        <f>IF(B23=C23+D23,"✓","✗")</f>
        <v/>
      </c>
    </row>
    <row r="24">
      <c r="A24" s="24" t="inlineStr">
        <is>
          <t>Total</t>
        </is>
      </c>
      <c r="B24" s="25" t="n">
        <v>2664494</v>
      </c>
      <c r="C24" s="25" t="n">
        <v>1573539</v>
      </c>
      <c r="D24" s="25" t="n">
        <v>1090955</v>
      </c>
      <c r="E24" s="25" t="n">
        <v>867149</v>
      </c>
      <c r="F24" s="25" t="n">
        <v>424079</v>
      </c>
      <c r="G24" s="25" t="n">
        <v>443070</v>
      </c>
      <c r="H24" s="25" t="n">
        <v>821428</v>
      </c>
      <c r="I24" s="25" t="n">
        <v>420311</v>
      </c>
      <c r="J24" s="25" t="n">
        <v>401117</v>
      </c>
      <c r="K24" s="25" t="n">
        <v>479279</v>
      </c>
      <c r="L24" s="25" t="n">
        <v>310693</v>
      </c>
      <c r="M24" s="25" t="n">
        <v>168586</v>
      </c>
      <c r="N24" s="25" t="n">
        <v>223705</v>
      </c>
      <c r="O24" s="25" t="n">
        <v>177043</v>
      </c>
      <c r="P24" s="25" t="n">
        <v>46662</v>
      </c>
      <c r="Q24" s="25" t="n">
        <v>131062</v>
      </c>
      <c r="R24" s="25" t="n">
        <v>116483</v>
      </c>
      <c r="S24" s="25" t="n">
        <v>14579</v>
      </c>
      <c r="T24" s="26">
        <f>IF(B24=C24+D24,"✓","✗")</f>
        <v/>
      </c>
    </row>
    <row r="25">
      <c r="A25" s="27" t="inlineStr">
        <is>
          <t>Verify: Sum</t>
        </is>
      </c>
      <c r="B25" s="28">
        <f>IF(SUM(B7:B24)=B6,"✓",SUM(B7:B24)-B6)</f>
        <v/>
      </c>
      <c r="C25" s="28">
        <f>IF(SUM(C7:C24)=C6,"✓",SUM(C7:C24)-C6)</f>
        <v/>
      </c>
      <c r="D25" s="28">
        <f>IF(SUM(D7:D24)=D6,"✓",SUM(D7:D24)-D6)</f>
        <v/>
      </c>
      <c r="E25" s="28">
        <f>IF(SUM(E7:E24)=E6,"✓",SUM(E7:E24)-E6)</f>
        <v/>
      </c>
      <c r="F25" s="28">
        <f>IF(SUM(F7:F24)=F6,"✓",SUM(F7:F24)-F6)</f>
        <v/>
      </c>
      <c r="G25" s="28">
        <f>IF(SUM(G7:G24)=G6,"✓",SUM(G7:G24)-G6)</f>
        <v/>
      </c>
      <c r="H25" s="28">
        <f>IF(SUM(H7:H24)=H6,"✓",SUM(H7:H24)-H6)</f>
        <v/>
      </c>
      <c r="I25" s="28">
        <f>IF(SUM(I7:I24)=I6,"✓",SUM(I7:I24)-I6)</f>
        <v/>
      </c>
      <c r="J25" s="28">
        <f>IF(SUM(J7:J24)=J6,"✓",SUM(J7:J24)-J6)</f>
        <v/>
      </c>
      <c r="K25" s="28">
        <f>IF(SUM(K7:K24)=K6,"✓",SUM(K7:K24)-K6)</f>
        <v/>
      </c>
      <c r="L25" s="28">
        <f>IF(SUM(L7:L24)=L6,"✓",SUM(L7:L24)-L6)</f>
        <v/>
      </c>
      <c r="M25" s="28">
        <f>IF(SUM(M7:M24)=M6,"✓",SUM(M7:M24)-M6)</f>
        <v/>
      </c>
      <c r="N25" s="28">
        <f>IF(SUM(N7:N24)=N6,"✓",SUM(N7:N24)-N6)</f>
        <v/>
      </c>
      <c r="O25" s="28">
        <f>IF(SUM(O7:O24)=O6,"✓",SUM(O7:O24)-O6)</f>
        <v/>
      </c>
      <c r="P25" s="28">
        <f>IF(SUM(P7:P24)=P6,"✓",SUM(P7:P24)-P6)</f>
        <v/>
      </c>
      <c r="Q25" s="28">
        <f>IF(SUM(Q7:Q24)=Q6,"✓",SUM(Q7:Q24)-Q6)</f>
        <v/>
      </c>
      <c r="R25" s="28">
        <f>IF(SUM(R7:R24)=R6,"✓",SUM(R7:R24)-R6)</f>
        <v/>
      </c>
      <c r="S25" s="28">
        <f>IF(SUM(S7:S24)=S6,"✓",SUM(S7:S24)-S6)</f>
        <v/>
      </c>
    </row>
  </sheetData>
  <mergeCells count="6">
    <mergeCell ref="K4:M4"/>
    <mergeCell ref="B4:D4"/>
    <mergeCell ref="H4:J4"/>
    <mergeCell ref="Q4:S4"/>
    <mergeCell ref="E4:G4"/>
    <mergeCell ref="N4:P4"/>
  </mergeCells>
  <conditionalFormatting sqref="T6:T25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7" customWidth="1" min="20" max="20"/>
  </cols>
  <sheetData>
    <row r="1">
      <c r="A1" s="29" t="inlineStr">
        <is>
          <t>Assam — 1891</t>
        </is>
      </c>
    </row>
    <row r="2">
      <c r="A2" s="3" t="inlineStr">
        <is>
          <t>TABLE VIII. CIVIL CONDITION BY RELIGION AND AGE. PART A.-ALL RELIGIONS. (1) UNMARRIED.</t>
        </is>
      </c>
    </row>
    <row r="3">
      <c r="A3" s="4" t="inlineStr">
        <is>
          <t>District.</t>
        </is>
      </c>
      <c r="B3" s="5" t="inlineStr">
        <is>
          <t>TOTAL UNMARRIED.</t>
        </is>
      </c>
      <c r="C3" s="6" t="n"/>
      <c r="D3" s="6" t="n"/>
      <c r="E3" s="7" t="inlineStr">
        <is>
          <t>0-4.</t>
        </is>
      </c>
      <c r="F3" s="8" t="n"/>
      <c r="G3" s="8" t="n"/>
      <c r="H3" s="9" t="inlineStr">
        <is>
          <t>5-9.</t>
        </is>
      </c>
      <c r="I3" s="10" t="n"/>
      <c r="J3" s="10" t="n"/>
      <c r="K3" s="11" t="inlineStr">
        <is>
          <t>10-14.</t>
        </is>
      </c>
      <c r="L3" s="12" t="n"/>
      <c r="M3" s="12" t="n"/>
      <c r="N3" s="13" t="inlineStr">
        <is>
          <t>15-19.</t>
        </is>
      </c>
      <c r="O3" s="14" t="n"/>
      <c r="P3" s="14" t="n"/>
      <c r="Q3" s="5" t="inlineStr">
        <is>
          <t>20-24.</t>
        </is>
      </c>
      <c r="R3" s="6" t="n"/>
      <c r="S3" s="6" t="n"/>
      <c r="T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M+F=P</t>
        </is>
      </c>
    </row>
    <row r="5">
      <c r="A5" s="18" t="inlineStr">
        <is>
          <t>Total</t>
        </is>
      </c>
      <c r="B5" s="19" t="n">
        <v>1214799</v>
      </c>
      <c r="C5" s="19" t="n">
        <v>745820</v>
      </c>
      <c r="D5" s="19" t="n">
        <v>468979</v>
      </c>
      <c r="E5" s="19" t="n">
        <v>385278</v>
      </c>
      <c r="F5" s="19" t="n">
        <v>188096</v>
      </c>
      <c r="G5" s="19" t="n">
        <v>197182</v>
      </c>
      <c r="H5" s="19" t="n">
        <v>397359</v>
      </c>
      <c r="I5" s="19" t="n">
        <v>202013</v>
      </c>
      <c r="J5" s="19" t="n">
        <v>195346</v>
      </c>
      <c r="K5" s="19" t="n">
        <v>220673</v>
      </c>
      <c r="L5" s="19" t="n">
        <v>156163</v>
      </c>
      <c r="M5" s="19" t="n">
        <v>64510</v>
      </c>
      <c r="N5" s="19" t="n">
        <v>94046</v>
      </c>
      <c r="O5" s="19" t="n">
        <v>86819</v>
      </c>
      <c r="P5" s="19" t="n">
        <v>7227</v>
      </c>
      <c r="Q5" s="19" t="n">
        <v>57570</v>
      </c>
      <c r="R5" s="19" t="n">
        <v>55703</v>
      </c>
      <c r="S5" s="19" t="n">
        <v>1867</v>
      </c>
      <c r="T5" s="20">
        <f>IF(B5=C5+D5,"✓","✗")</f>
        <v/>
      </c>
    </row>
    <row r="6">
      <c r="A6" s="21" t="inlineStr">
        <is>
          <t>Cachar Plains</t>
        </is>
      </c>
      <c r="B6" s="22" t="n">
        <v>173707</v>
      </c>
      <c r="C6" s="22" t="n">
        <v>103737</v>
      </c>
      <c r="D6" s="22" t="n">
        <v>69970</v>
      </c>
      <c r="E6" s="22" t="n">
        <v>55255</v>
      </c>
      <c r="F6" s="22" t="n">
        <v>27063</v>
      </c>
      <c r="G6" s="22" t="n">
        <v>28192</v>
      </c>
      <c r="H6" s="22" t="n">
        <v>55667</v>
      </c>
      <c r="I6" s="22" t="n">
        <v>28330</v>
      </c>
      <c r="J6" s="22" t="n">
        <v>27337</v>
      </c>
      <c r="K6" s="22" t="n">
        <v>31848</v>
      </c>
      <c r="L6" s="22" t="n">
        <v>20891</v>
      </c>
      <c r="M6" s="22" t="n">
        <v>10957</v>
      </c>
      <c r="N6" s="22" t="n">
        <v>13679</v>
      </c>
      <c r="O6" s="22" t="n">
        <v>11399</v>
      </c>
      <c r="P6" s="22" t="n">
        <v>2280</v>
      </c>
      <c r="Q6" s="22" t="n">
        <v>8441</v>
      </c>
      <c r="R6" s="22" t="n">
        <v>7860</v>
      </c>
      <c r="S6" s="22" t="n">
        <v>581</v>
      </c>
      <c r="T6" s="23">
        <f>IF(B6=C6+D6,"✓","✗")</f>
        <v/>
      </c>
    </row>
    <row r="7">
      <c r="A7" s="24" t="inlineStr">
        <is>
          <t>Sylhet</t>
        </is>
      </c>
      <c r="B7" s="25" t="n">
        <v>1041092</v>
      </c>
      <c r="C7" s="25" t="n">
        <v>642083</v>
      </c>
      <c r="D7" s="25" t="n">
        <v>399009</v>
      </c>
      <c r="E7" s="25" t="n">
        <v>330023</v>
      </c>
      <c r="F7" s="25" t="n">
        <v>161033</v>
      </c>
      <c r="G7" s="25" t="n">
        <v>168990</v>
      </c>
      <c r="H7" s="25" t="n">
        <v>341692</v>
      </c>
      <c r="I7" s="25" t="n">
        <v>173683</v>
      </c>
      <c r="J7" s="25" t="n">
        <v>168009</v>
      </c>
      <c r="K7" s="25" t="n">
        <v>188825</v>
      </c>
      <c r="L7" s="25" t="n">
        <v>135272</v>
      </c>
      <c r="M7" s="25" t="n">
        <v>53553</v>
      </c>
      <c r="N7" s="25" t="n">
        <v>80367</v>
      </c>
      <c r="O7" s="25" t="n">
        <v>75420</v>
      </c>
      <c r="P7" s="25" t="n">
        <v>4947</v>
      </c>
      <c r="Q7" s="25" t="n">
        <v>49129</v>
      </c>
      <c r="R7" s="25" t="n">
        <v>47843</v>
      </c>
      <c r="S7" s="25" t="n">
        <v>1286</v>
      </c>
      <c r="T7" s="26">
        <f>IF(B7=C7+D7,"✓","✗")</f>
        <v/>
      </c>
    </row>
    <row r="8">
      <c r="A8" s="21" t="inlineStr">
        <is>
          <t>Total</t>
        </is>
      </c>
      <c r="B8" s="22" t="n">
        <v>2664494</v>
      </c>
      <c r="C8" s="22" t="n">
        <v>1573539</v>
      </c>
      <c r="D8" s="22" t="n">
        <v>1090955</v>
      </c>
      <c r="E8" s="22" t="n">
        <v>867149</v>
      </c>
      <c r="F8" s="22" t="n">
        <v>424079</v>
      </c>
      <c r="G8" s="22" t="n">
        <v>443070</v>
      </c>
      <c r="H8" s="22" t="n">
        <v>821428</v>
      </c>
      <c r="I8" s="22" t="n">
        <v>420311</v>
      </c>
      <c r="J8" s="22" t="n">
        <v>401117</v>
      </c>
      <c r="K8" s="22" t="n">
        <v>479279</v>
      </c>
      <c r="L8" s="22" t="n">
        <v>310693</v>
      </c>
      <c r="M8" s="22" t="n">
        <v>168586</v>
      </c>
      <c r="N8" s="22" t="n">
        <v>223705</v>
      </c>
      <c r="O8" s="22" t="n">
        <v>177043</v>
      </c>
      <c r="P8" s="22" t="n">
        <v>46662</v>
      </c>
      <c r="Q8" s="22" t="n">
        <v>131062</v>
      </c>
      <c r="R8" s="22" t="n">
        <v>116483</v>
      </c>
      <c r="S8" s="22" t="n">
        <v>14579</v>
      </c>
      <c r="T8" s="23">
        <f>IF(B8=C8+D8,"✓","✗")</f>
        <v/>
      </c>
    </row>
    <row r="9">
      <c r="A9" s="24" t="inlineStr">
        <is>
          <t>Goalpara</t>
        </is>
      </c>
      <c r="B9" s="25" t="n">
        <v>207816</v>
      </c>
      <c r="C9" s="25" t="n">
        <v>125036</v>
      </c>
      <c r="D9" s="25" t="n">
        <v>82780</v>
      </c>
      <c r="E9" s="25" t="n">
        <v>76146</v>
      </c>
      <c r="F9" s="25" t="n">
        <v>36901</v>
      </c>
      <c r="G9" s="25" t="n">
        <v>39245</v>
      </c>
      <c r="H9" s="25" t="n">
        <v>65873</v>
      </c>
      <c r="I9" s="25" t="n">
        <v>35104</v>
      </c>
      <c r="J9" s="25" t="n">
        <v>30769</v>
      </c>
      <c r="K9" s="25" t="n">
        <v>32380</v>
      </c>
      <c r="L9" s="25" t="n">
        <v>23161</v>
      </c>
      <c r="M9" s="25" t="n">
        <v>9219</v>
      </c>
      <c r="N9" s="25" t="n">
        <v>14642</v>
      </c>
      <c r="O9" s="25" t="n">
        <v>12619</v>
      </c>
      <c r="P9" s="25" t="n">
        <v>2023</v>
      </c>
      <c r="Q9" s="25" t="n">
        <v>8249</v>
      </c>
      <c r="R9" s="25" t="n">
        <v>7620</v>
      </c>
      <c r="S9" s="25" t="n">
        <v>629</v>
      </c>
      <c r="T9" s="26">
        <f>IF(B9=C9+D9,"✓","✗")</f>
        <v/>
      </c>
    </row>
    <row r="10">
      <c r="A10" s="21" t="inlineStr">
        <is>
          <t>Kamrup</t>
        </is>
      </c>
      <c r="B10" s="22" t="n">
        <v>314277</v>
      </c>
      <c r="C10" s="22" t="n">
        <v>180426</v>
      </c>
      <c r="D10" s="22" t="n">
        <v>133851</v>
      </c>
      <c r="E10" s="22" t="n">
        <v>105030</v>
      </c>
      <c r="F10" s="22" t="n">
        <v>50882</v>
      </c>
      <c r="G10" s="22" t="n">
        <v>54148</v>
      </c>
      <c r="H10" s="22" t="n">
        <v>97027</v>
      </c>
      <c r="I10" s="22" t="n">
        <v>49891</v>
      </c>
      <c r="J10" s="22" t="n">
        <v>47136</v>
      </c>
      <c r="K10" s="22" t="n">
        <v>59484</v>
      </c>
      <c r="L10" s="22" t="n">
        <v>36592</v>
      </c>
      <c r="M10" s="22" t="n">
        <v>22892</v>
      </c>
      <c r="N10" s="22" t="n">
        <v>25549</v>
      </c>
      <c r="O10" s="22" t="n">
        <v>19796</v>
      </c>
      <c r="P10" s="22" t="n">
        <v>5753</v>
      </c>
      <c r="Q10" s="22" t="n">
        <v>13276</v>
      </c>
      <c r="R10" s="22" t="n">
        <v>11645</v>
      </c>
      <c r="S10" s="22" t="n">
        <v>1631</v>
      </c>
      <c r="T10" s="23">
        <f>IF(B10=C10+D10,"✓","✗")</f>
        <v/>
      </c>
    </row>
    <row r="11">
      <c r="A11" s="24" t="inlineStr">
        <is>
          <t>Darrang</t>
        </is>
      </c>
      <c r="B11" s="25" t="n">
        <v>150496</v>
      </c>
      <c r="C11" s="25" t="n">
        <v>86395</v>
      </c>
      <c r="D11" s="25" t="n">
        <v>64101</v>
      </c>
      <c r="E11" s="25" t="n">
        <v>48202</v>
      </c>
      <c r="F11" s="25" t="n">
        <v>23762</v>
      </c>
      <c r="G11" s="25" t="n">
        <v>24440</v>
      </c>
      <c r="H11" s="25" t="n">
        <v>44025</v>
      </c>
      <c r="I11" s="25" t="n">
        <v>22588</v>
      </c>
      <c r="J11" s="25" t="n">
        <v>21437</v>
      </c>
      <c r="K11" s="25" t="n">
        <v>26419</v>
      </c>
      <c r="L11" s="25" t="n">
        <v>15702</v>
      </c>
      <c r="M11" s="25" t="n">
        <v>10717</v>
      </c>
      <c r="N11" s="25" t="n">
        <v>12431</v>
      </c>
      <c r="O11" s="25" t="n">
        <v>8899</v>
      </c>
      <c r="P11" s="25" t="n">
        <v>3532</v>
      </c>
      <c r="Q11" s="25" t="n">
        <v>7985</v>
      </c>
      <c r="R11" s="25" t="n">
        <v>6547</v>
      </c>
      <c r="S11" s="25" t="n">
        <v>1438</v>
      </c>
      <c r="T11" s="26">
        <f>IF(B11=C11+D11,"✓","✗")</f>
        <v/>
      </c>
    </row>
    <row r="12">
      <c r="A12" s="21" t="inlineStr">
        <is>
          <t>Nowgong</t>
        </is>
      </c>
      <c r="B12" s="22" t="n">
        <v>184524</v>
      </c>
      <c r="C12" s="22" t="n">
        <v>103606</v>
      </c>
      <c r="D12" s="22" t="n">
        <v>80918</v>
      </c>
      <c r="E12" s="22" t="n">
        <v>60846</v>
      </c>
      <c r="F12" s="22" t="n">
        <v>29711</v>
      </c>
      <c r="G12" s="22" t="n">
        <v>31135</v>
      </c>
      <c r="H12" s="22" t="n">
        <v>52199</v>
      </c>
      <c r="I12" s="22" t="n">
        <v>26727</v>
      </c>
      <c r="J12" s="22" t="n">
        <v>25472</v>
      </c>
      <c r="K12" s="22" t="n">
        <v>30856</v>
      </c>
      <c r="L12" s="22" t="n">
        <v>17632</v>
      </c>
      <c r="M12" s="22" t="n">
        <v>13224</v>
      </c>
      <c r="N12" s="22" t="n">
        <v>17273</v>
      </c>
      <c r="O12" s="22" t="n">
        <v>10879</v>
      </c>
      <c r="P12" s="22" t="n">
        <v>6394</v>
      </c>
      <c r="Q12" s="22" t="n">
        <v>10787</v>
      </c>
      <c r="R12" s="22" t="n">
        <v>8341</v>
      </c>
      <c r="S12" s="22" t="n">
        <v>2446</v>
      </c>
      <c r="T12" s="23">
        <f>IF(B12=C12+D12,"✓","✗")</f>
        <v/>
      </c>
    </row>
    <row r="13">
      <c r="A13" s="24" t="inlineStr">
        <is>
          <t>Sibsagar</t>
        </is>
      </c>
      <c r="B13" s="25" t="n">
        <v>236809</v>
      </c>
      <c r="C13" s="25" t="n">
        <v>135128</v>
      </c>
      <c r="D13" s="25" t="n">
        <v>101681</v>
      </c>
      <c r="E13" s="25" t="n">
        <v>73674</v>
      </c>
      <c r="F13" s="25" t="n">
        <v>36156</v>
      </c>
      <c r="G13" s="25" t="n">
        <v>37518</v>
      </c>
      <c r="H13" s="25" t="n">
        <v>66960</v>
      </c>
      <c r="I13" s="25" t="n">
        <v>33862</v>
      </c>
      <c r="J13" s="25" t="n">
        <v>33098</v>
      </c>
      <c r="K13" s="25" t="n">
        <v>44145</v>
      </c>
      <c r="L13" s="25" t="n">
        <v>25176</v>
      </c>
      <c r="M13" s="25" t="n">
        <v>18969</v>
      </c>
      <c r="N13" s="25" t="n">
        <v>24448</v>
      </c>
      <c r="O13" s="25" t="n">
        <v>16286</v>
      </c>
      <c r="P13" s="25" t="n">
        <v>8162</v>
      </c>
      <c r="Q13" s="25" t="n">
        <v>14395</v>
      </c>
      <c r="R13" s="25" t="n">
        <v>12201</v>
      </c>
      <c r="S13" s="25" t="n">
        <v>2194</v>
      </c>
      <c r="T13" s="26">
        <f>IF(B13=C13+D13,"✓","✗")</f>
        <v/>
      </c>
    </row>
    <row r="14">
      <c r="A14" s="21" t="inlineStr">
        <is>
          <t>Lakhimpur</t>
        </is>
      </c>
      <c r="B14" s="22" t="n">
        <v>128104</v>
      </c>
      <c r="C14" s="22" t="n">
        <v>73739</v>
      </c>
      <c r="D14" s="22" t="n">
        <v>54365</v>
      </c>
      <c r="E14" s="22" t="n">
        <v>38780</v>
      </c>
      <c r="F14" s="22" t="n">
        <v>19372</v>
      </c>
      <c r="G14" s="22" t="n">
        <v>19408</v>
      </c>
      <c r="H14" s="22" t="n">
        <v>36073</v>
      </c>
      <c r="I14" s="22" t="n">
        <v>18398</v>
      </c>
      <c r="J14" s="22" t="n">
        <v>17675</v>
      </c>
      <c r="K14" s="22" t="n">
        <v>23279</v>
      </c>
      <c r="L14" s="22" t="n">
        <v>13371</v>
      </c>
      <c r="M14" s="22" t="n">
        <v>9908</v>
      </c>
      <c r="N14" s="22" t="n">
        <v>12918</v>
      </c>
      <c r="O14" s="22" t="n">
        <v>8246</v>
      </c>
      <c r="P14" s="22" t="n">
        <v>4672</v>
      </c>
      <c r="Q14" s="22" t="n">
        <v>8013</v>
      </c>
      <c r="R14" s="22" t="n">
        <v>6550</v>
      </c>
      <c r="S14" s="22" t="n">
        <v>1463</v>
      </c>
      <c r="T14" s="23">
        <f>IF(B14=C14+D14,"✓","✗")</f>
        <v/>
      </c>
    </row>
    <row r="15">
      <c r="A15" s="24" t="inlineStr">
        <is>
          <t>Total</t>
        </is>
      </c>
      <c r="B15" s="25" t="n">
        <v>2664494</v>
      </c>
      <c r="C15" s="25" t="n">
        <v>1573539</v>
      </c>
      <c r="D15" s="25" t="n">
        <v>1090955</v>
      </c>
      <c r="E15" s="25" t="n">
        <v>867149</v>
      </c>
      <c r="F15" s="25" t="n">
        <v>424079</v>
      </c>
      <c r="G15" s="25" t="n">
        <v>443070</v>
      </c>
      <c r="H15" s="25" t="n">
        <v>821428</v>
      </c>
      <c r="I15" s="25" t="n">
        <v>420311</v>
      </c>
      <c r="J15" s="25" t="n">
        <v>401117</v>
      </c>
      <c r="K15" s="25" t="n">
        <v>479279</v>
      </c>
      <c r="L15" s="25" t="n">
        <v>310693</v>
      </c>
      <c r="M15" s="25" t="n">
        <v>168586</v>
      </c>
      <c r="N15" s="25" t="n">
        <v>223705</v>
      </c>
      <c r="O15" s="25" t="n">
        <v>177043</v>
      </c>
      <c r="P15" s="25" t="n">
        <v>46662</v>
      </c>
      <c r="Q15" s="25" t="n">
        <v>131062</v>
      </c>
      <c r="R15" s="25" t="n">
        <v>116483</v>
      </c>
      <c r="S15" s="25" t="n">
        <v>14579</v>
      </c>
      <c r="T15" s="26">
        <f>IF(B15=C15+D15,"✓","✗")</f>
        <v/>
      </c>
    </row>
    <row r="16">
      <c r="A16" s="21" t="inlineStr">
        <is>
          <t>Total</t>
        </is>
      </c>
      <c r="B16" s="22" t="n">
        <v>2664494</v>
      </c>
      <c r="C16" s="22" t="n">
        <v>1573539</v>
      </c>
      <c r="D16" s="22" t="n">
        <v>1090955</v>
      </c>
      <c r="E16" s="22" t="n">
        <v>867149</v>
      </c>
      <c r="F16" s="22" t="n">
        <v>424079</v>
      </c>
      <c r="G16" s="22" t="n">
        <v>443070</v>
      </c>
      <c r="H16" s="22" t="n">
        <v>821428</v>
      </c>
      <c r="I16" s="22" t="n">
        <v>420311</v>
      </c>
      <c r="J16" s="22" t="n">
        <v>401117</v>
      </c>
      <c r="K16" s="22" t="n">
        <v>479279</v>
      </c>
      <c r="L16" s="22" t="n">
        <v>310693</v>
      </c>
      <c r="M16" s="22" t="n">
        <v>168586</v>
      </c>
      <c r="N16" s="22" t="n">
        <v>223705</v>
      </c>
      <c r="O16" s="22" t="n">
        <v>177043</v>
      </c>
      <c r="P16" s="22" t="n">
        <v>46662</v>
      </c>
      <c r="Q16" s="22" t="n">
        <v>131062</v>
      </c>
      <c r="R16" s="22" t="n">
        <v>116483</v>
      </c>
      <c r="S16" s="22" t="n">
        <v>14579</v>
      </c>
      <c r="T16" s="23">
        <f>IF(B16=C16+D16,"✓","✗")</f>
        <v/>
      </c>
    </row>
    <row r="17">
      <c r="A17" s="24" t="inlineStr">
        <is>
          <t>North Cachar</t>
        </is>
      </c>
      <c r="B17" s="25" t="n">
        <v>10348</v>
      </c>
      <c r="C17" s="25" t="n">
        <v>5460</v>
      </c>
      <c r="D17" s="25" t="n">
        <v>4888</v>
      </c>
      <c r="E17" s="25" t="n">
        <v>3196</v>
      </c>
      <c r="F17" s="25" t="n">
        <v>1601</v>
      </c>
      <c r="G17" s="25" t="n">
        <v>1595</v>
      </c>
      <c r="H17" s="25" t="n">
        <v>2818</v>
      </c>
      <c r="I17" s="25" t="n">
        <v>1406</v>
      </c>
      <c r="J17" s="25" t="n">
        <v>1412</v>
      </c>
      <c r="K17" s="25" t="n">
        <v>1857</v>
      </c>
      <c r="L17" s="25" t="n">
        <v>939</v>
      </c>
      <c r="M17" s="25" t="n">
        <v>918</v>
      </c>
      <c r="N17" s="25" t="n">
        <v>1301</v>
      </c>
      <c r="O17" s="25" t="n">
        <v>675</v>
      </c>
      <c r="P17" s="25" t="n">
        <v>626</v>
      </c>
      <c r="Q17" s="25" t="n">
        <v>670</v>
      </c>
      <c r="R17" s="25" t="n">
        <v>451</v>
      </c>
      <c r="S17" s="25" t="n">
        <v>219</v>
      </c>
      <c r="T17" s="26">
        <f>IF(B17=C17+D17,"✓","✗")</f>
        <v/>
      </c>
    </row>
    <row r="18">
      <c r="A18" s="21" t="inlineStr">
        <is>
          <t>Naga Hills</t>
        </is>
      </c>
      <c r="B18" s="22" t="n">
        <v>56754</v>
      </c>
      <c r="C18" s="22" t="n">
        <v>31297</v>
      </c>
      <c r="D18" s="22" t="n">
        <v>25457</v>
      </c>
      <c r="E18" s="22" t="n">
        <v>20148</v>
      </c>
      <c r="F18" s="22" t="n">
        <v>9890</v>
      </c>
      <c r="G18" s="22" t="n">
        <v>10258</v>
      </c>
      <c r="H18" s="22" t="n">
        <v>15712</v>
      </c>
      <c r="I18" s="22" t="n">
        <v>8363</v>
      </c>
      <c r="J18" s="22" t="n">
        <v>7349</v>
      </c>
      <c r="K18" s="22" t="n">
        <v>9477</v>
      </c>
      <c r="L18" s="22" t="n">
        <v>5177</v>
      </c>
      <c r="M18" s="22" t="n">
        <v>4300</v>
      </c>
      <c r="N18" s="22" t="n">
        <v>4946</v>
      </c>
      <c r="O18" s="22" t="n">
        <v>2979</v>
      </c>
      <c r="P18" s="22" t="n">
        <v>1967</v>
      </c>
      <c r="Q18" s="22" t="n">
        <v>2901</v>
      </c>
      <c r="R18" s="22" t="n">
        <v>2157</v>
      </c>
      <c r="S18" s="22" t="n">
        <v>744</v>
      </c>
      <c r="T18" s="23">
        <f>IF(B18=C18+D18,"✓","✗")</f>
        <v/>
      </c>
    </row>
    <row r="19">
      <c r="A19" s="24" t="inlineStr">
        <is>
          <t>Khasi and Jaintia Hills</t>
        </is>
      </c>
      <c r="B19" s="25" t="n">
        <v>101504</v>
      </c>
      <c r="C19" s="25" t="n">
        <v>53336</v>
      </c>
      <c r="D19" s="25" t="n">
        <v>48168</v>
      </c>
      <c r="E19" s="25" t="n">
        <v>34030</v>
      </c>
      <c r="F19" s="25" t="n">
        <v>16712</v>
      </c>
      <c r="G19" s="25" t="n">
        <v>17318</v>
      </c>
      <c r="H19" s="25" t="n">
        <v>26331</v>
      </c>
      <c r="I19" s="25" t="n">
        <v>13147</v>
      </c>
      <c r="J19" s="25" t="n">
        <v>13184</v>
      </c>
      <c r="K19" s="25" t="n">
        <v>20318</v>
      </c>
      <c r="L19" s="25" t="n">
        <v>10640</v>
      </c>
      <c r="M19" s="25" t="n">
        <v>9678</v>
      </c>
      <c r="N19" s="25" t="n">
        <v>11358</v>
      </c>
      <c r="O19" s="25" t="n">
        <v>6578</v>
      </c>
      <c r="P19" s="25" t="n">
        <v>4780</v>
      </c>
      <c r="Q19" s="25" t="n">
        <v>4746</v>
      </c>
      <c r="R19" s="25" t="n">
        <v>3283</v>
      </c>
      <c r="S19" s="25" t="n">
        <v>1463</v>
      </c>
      <c r="T19" s="26">
        <f>IF(B19=C19+D19,"✓","✗")</f>
        <v/>
      </c>
    </row>
    <row r="20">
      <c r="A20" s="21" t="inlineStr">
        <is>
          <t>Garo Hills</t>
        </is>
      </c>
      <c r="B20" s="22" t="n">
        <v>57983</v>
      </c>
      <c r="C20" s="22" t="n">
        <v>32216</v>
      </c>
      <c r="D20" s="22" t="n">
        <v>25767</v>
      </c>
      <c r="E20" s="22" t="n">
        <v>21819</v>
      </c>
      <c r="F20" s="22" t="n">
        <v>10996</v>
      </c>
      <c r="G20" s="22" t="n">
        <v>10823</v>
      </c>
      <c r="H20" s="22" t="n">
        <v>17051</v>
      </c>
      <c r="I20" s="22" t="n">
        <v>8812</v>
      </c>
      <c r="J20" s="22" t="n">
        <v>8239</v>
      </c>
      <c r="K20" s="22" t="n">
        <v>10385</v>
      </c>
      <c r="L20" s="22" t="n">
        <v>6134</v>
      </c>
      <c r="M20" s="22" t="n">
        <v>4251</v>
      </c>
      <c r="N20" s="22" t="n">
        <v>4656</v>
      </c>
      <c r="O20" s="22" t="n">
        <v>3130</v>
      </c>
      <c r="P20" s="22" t="n">
        <v>1526</v>
      </c>
      <c r="Q20" s="22" t="n">
        <v>2031</v>
      </c>
      <c r="R20" s="22" t="n">
        <v>1546</v>
      </c>
      <c r="S20" s="22" t="n">
        <v>485</v>
      </c>
      <c r="T20" s="23">
        <f>IF(B20=C20+D20,"✓","✗")</f>
        <v/>
      </c>
    </row>
    <row r="21">
      <c r="A21" s="24" t="inlineStr">
        <is>
          <t>North Lushai (Civil and Military).</t>
        </is>
      </c>
      <c r="B21" s="25" t="n">
        <v>1080</v>
      </c>
      <c r="C21" s="25" t="n">
        <v>1080</v>
      </c>
      <c r="D21" s="25" t="n">
        <v>0</v>
      </c>
      <c r="E21" s="25" t="n">
        <v>0</v>
      </c>
      <c r="F21" s="25" t="n">
        <v>0</v>
      </c>
      <c r="G21" s="25" t="n">
        <v>0</v>
      </c>
      <c r="H21" s="25" t="n">
        <v>0</v>
      </c>
      <c r="I21" s="25" t="n">
        <v>0</v>
      </c>
      <c r="J21" s="25" t="n">
        <v>0</v>
      </c>
      <c r="K21" s="25" t="n">
        <v>6</v>
      </c>
      <c r="L21" s="25" t="n">
        <v>6</v>
      </c>
      <c r="M21" s="25" t="n">
        <v>0</v>
      </c>
      <c r="N21" s="25" t="n">
        <v>137</v>
      </c>
      <c r="O21" s="25" t="n">
        <v>137</v>
      </c>
      <c r="P21" s="25" t="n">
        <v>0</v>
      </c>
      <c r="Q21" s="25" t="n">
        <v>439</v>
      </c>
      <c r="R21" s="25" t="n">
        <v>439</v>
      </c>
      <c r="S21" s="25" t="n">
        <v>0</v>
      </c>
      <c r="T21" s="26">
        <f>IF(B21=C21+D21,"✓","✗")</f>
        <v/>
      </c>
    </row>
    <row r="22">
      <c r="A22" s="21" t="inlineStr">
        <is>
          <t>Total</t>
        </is>
      </c>
      <c r="B22" s="22" t="n">
        <v>2664494</v>
      </c>
      <c r="C22" s="22" t="n">
        <v>1573539</v>
      </c>
      <c r="D22" s="22" t="n">
        <v>1090955</v>
      </c>
      <c r="E22" s="22" t="n">
        <v>867149</v>
      </c>
      <c r="F22" s="22" t="n">
        <v>424079</v>
      </c>
      <c r="G22" s="22" t="n">
        <v>443070</v>
      </c>
      <c r="H22" s="22" t="n">
        <v>821428</v>
      </c>
      <c r="I22" s="22" t="n">
        <v>420311</v>
      </c>
      <c r="J22" s="22" t="n">
        <v>401117</v>
      </c>
      <c r="K22" s="22" t="n">
        <v>479279</v>
      </c>
      <c r="L22" s="22" t="n">
        <v>310693</v>
      </c>
      <c r="M22" s="22" t="n">
        <v>168586</v>
      </c>
      <c r="N22" s="22" t="n">
        <v>223705</v>
      </c>
      <c r="O22" s="22" t="n">
        <v>177043</v>
      </c>
      <c r="P22" s="22" t="n">
        <v>46662</v>
      </c>
      <c r="Q22" s="22" t="n">
        <v>131062</v>
      </c>
      <c r="R22" s="22" t="n">
        <v>116483</v>
      </c>
      <c r="S22" s="22" t="n">
        <v>14579</v>
      </c>
      <c r="T22" s="23">
        <f>IF(B22=C22+D22,"✓","✗")</f>
        <v/>
      </c>
    </row>
    <row r="23">
      <c r="A23" s="24" t="inlineStr">
        <is>
          <t>Total</t>
        </is>
      </c>
      <c r="B23" s="25" t="n">
        <v>2664494</v>
      </c>
      <c r="C23" s="25" t="n">
        <v>1573539</v>
      </c>
      <c r="D23" s="25" t="n">
        <v>1090955</v>
      </c>
      <c r="E23" s="25" t="n">
        <v>867149</v>
      </c>
      <c r="F23" s="25" t="n">
        <v>424079</v>
      </c>
      <c r="G23" s="25" t="n">
        <v>443070</v>
      </c>
      <c r="H23" s="25" t="n">
        <v>821428</v>
      </c>
      <c r="I23" s="25" t="n">
        <v>420311</v>
      </c>
      <c r="J23" s="25" t="n">
        <v>401117</v>
      </c>
      <c r="K23" s="25" t="n">
        <v>479279</v>
      </c>
      <c r="L23" s="25" t="n">
        <v>310693</v>
      </c>
      <c r="M23" s="25" t="n">
        <v>168586</v>
      </c>
      <c r="N23" s="25" t="n">
        <v>223705</v>
      </c>
      <c r="O23" s="25" t="n">
        <v>177043</v>
      </c>
      <c r="P23" s="25" t="n">
        <v>46662</v>
      </c>
      <c r="Q23" s="25" t="n">
        <v>131062</v>
      </c>
      <c r="R23" s="25" t="n">
        <v>116483</v>
      </c>
      <c r="S23" s="25" t="n">
        <v>14579</v>
      </c>
      <c r="T23" s="26">
        <f>IF(B23=C23+D23,"✓","✗")</f>
        <v/>
      </c>
    </row>
    <row r="24">
      <c r="A24" s="27" t="inlineStr">
        <is>
          <t>Verify: Sum</t>
        </is>
      </c>
      <c r="B24" s="28">
        <f>IF(SUM(B6:B23)=B5,"✓",SUM(B6:B23)-B5)</f>
        <v/>
      </c>
      <c r="C24" s="28">
        <f>IF(SUM(C6:C23)=C5,"✓",SUM(C6:C23)-C5)</f>
        <v/>
      </c>
      <c r="D24" s="28">
        <f>IF(SUM(D6:D23)=D5,"✓",SUM(D6:D23)-D5)</f>
        <v/>
      </c>
      <c r="E24" s="28">
        <f>IF(SUM(E6:E23)=E5,"✓",SUM(E6:E23)-E5)</f>
        <v/>
      </c>
      <c r="F24" s="28">
        <f>IF(SUM(F6:F23)=F5,"✓",SUM(F6:F23)-F5)</f>
        <v/>
      </c>
      <c r="G24" s="28">
        <f>IF(SUM(G6:G23)=G5,"✓",SUM(G6:G23)-G5)</f>
        <v/>
      </c>
      <c r="H24" s="28">
        <f>IF(SUM(H6:H23)=H5,"✓",SUM(H6:H23)-H5)</f>
        <v/>
      </c>
      <c r="I24" s="28">
        <f>IF(SUM(I6:I23)=I5,"✓",SUM(I6:I23)-I5)</f>
        <v/>
      </c>
      <c r="J24" s="28">
        <f>IF(SUM(J6:J23)=J5,"✓",SUM(J6:J23)-J5)</f>
        <v/>
      </c>
      <c r="K24" s="28">
        <f>IF(SUM(K6:K23)=K5,"✓",SUM(K6:K23)-K5)</f>
        <v/>
      </c>
      <c r="L24" s="28">
        <f>IF(SUM(L6:L23)=L5,"✓",SUM(L6:L23)-L5)</f>
        <v/>
      </c>
      <c r="M24" s="28">
        <f>IF(SUM(M6:M23)=M5,"✓",SUM(M6:M23)-M5)</f>
        <v/>
      </c>
      <c r="N24" s="28">
        <f>IF(SUM(N6:N23)=N5,"✓",SUM(N6:N23)-N5)</f>
        <v/>
      </c>
      <c r="O24" s="28">
        <f>IF(SUM(O6:O23)=O5,"✓",SUM(O6:O23)-O5)</f>
        <v/>
      </c>
      <c r="P24" s="28">
        <f>IF(SUM(P6:P23)=P5,"✓",SUM(P6:P23)-P5)</f>
        <v/>
      </c>
      <c r="Q24" s="28">
        <f>IF(SUM(Q6:Q23)=Q5,"✓",SUM(Q6:Q23)-Q5)</f>
        <v/>
      </c>
      <c r="R24" s="28">
        <f>IF(SUM(R6:R23)=R5,"✓",SUM(R6:R23)-R5)</f>
        <v/>
      </c>
      <c r="S24" s="28">
        <f>IF(SUM(S6:S23)=S5,"✓",SUM(S6:S23)-S5)</f>
        <v/>
      </c>
    </row>
  </sheetData>
  <mergeCells count="6">
    <mergeCell ref="B3:D3"/>
    <mergeCell ref="E3:G3"/>
    <mergeCell ref="K3:M3"/>
    <mergeCell ref="H3:J3"/>
    <mergeCell ref="N3:P3"/>
    <mergeCell ref="Q3:S3"/>
  </mergeCells>
  <conditionalFormatting sqref="T5:T24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2026-03-18T03:02:04Z</dcterms:created>
  <dcterms:modified xmlns:dcterms="http://purl.org/dc/terms/" xmlns:xsi="http://www.w3.org/2001/XMLSchema-instance" xsi:type="dcterms:W3CDTF">2026-03-18T03:02:04Z</dcterms:modified>
</cp:coreProperties>
</file>