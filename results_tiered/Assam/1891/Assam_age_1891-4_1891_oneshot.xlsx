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(2) MARRIED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1" t="inlineStr">
        <is>
          <t>Assam — 1891</t>
        </is>
      </c>
    </row>
    <row r="2">
      <c r="A2" s="2" t="inlineStr">
        <is>
          <t>Source: TABLE VIII.-CIVIL CONDITION BY RELIGION AND AGE. PART A.-ALL RELIGIONS-continued.</t>
        </is>
      </c>
    </row>
    <row r="3">
      <c r="A3" s="3" t="inlineStr">
        <is>
          <t>(2) MARRIED.</t>
        </is>
      </c>
    </row>
    <row r="4">
      <c r="A4" s="4" t="inlineStr">
        <is>
          <t>District</t>
        </is>
      </c>
      <c r="B4" s="5" t="inlineStr">
        <is>
          <t>30-34</t>
        </is>
      </c>
      <c r="C4" s="6" t="n"/>
      <c r="D4" s="6" t="n"/>
      <c r="E4" s="7" t="inlineStr">
        <is>
          <t>35-39</t>
        </is>
      </c>
      <c r="F4" s="8" t="n"/>
      <c r="G4" s="8" t="n"/>
      <c r="H4" s="9" t="inlineStr">
        <is>
          <t>40-44</t>
        </is>
      </c>
      <c r="I4" s="10" t="n"/>
      <c r="J4" s="10" t="n"/>
      <c r="K4" s="11" t="inlineStr">
        <is>
          <t>45-49</t>
        </is>
      </c>
      <c r="L4" s="12" t="n"/>
      <c r="M4" s="12" t="n"/>
      <c r="N4" s="13" t="inlineStr">
        <is>
          <t>50-54</t>
        </is>
      </c>
      <c r="O4" s="14" t="n"/>
      <c r="P4" s="14" t="n"/>
      <c r="Q4" s="5" t="inlineStr">
        <is>
          <t>55-59</t>
        </is>
      </c>
      <c r="R4" s="6" t="n"/>
      <c r="S4" s="6" t="n"/>
      <c r="T4" s="7" t="inlineStr">
        <is>
          <t>60 and over</t>
        </is>
      </c>
      <c r="U4" s="8" t="n"/>
      <c r="V4" s="8" t="n"/>
      <c r="W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M+F=P</t>
        </is>
      </c>
    </row>
    <row r="6">
      <c r="A6" s="18" t="inlineStr">
        <is>
          <t>Total</t>
        </is>
      </c>
      <c r="B6" s="19" t="n">
        <v>162155</v>
      </c>
      <c r="C6" s="19" t="n">
        <v>91501</v>
      </c>
      <c r="D6" s="19" t="n">
        <v>70654</v>
      </c>
      <c r="E6" s="19" t="n">
        <v>109289</v>
      </c>
      <c r="F6" s="19" t="n">
        <v>75435</v>
      </c>
      <c r="G6" s="19" t="n">
        <v>33854</v>
      </c>
      <c r="H6" s="19" t="n">
        <v>93908</v>
      </c>
      <c r="I6" s="19" t="n">
        <v>66375</v>
      </c>
      <c r="J6" s="19" t="n">
        <v>27533</v>
      </c>
      <c r="K6" s="19" t="n">
        <v>46002</v>
      </c>
      <c r="L6" s="19" t="n">
        <v>37399</v>
      </c>
      <c r="M6" s="19" t="n">
        <v>8603</v>
      </c>
      <c r="N6" s="19" t="n">
        <v>47875</v>
      </c>
      <c r="O6" s="19" t="n">
        <v>39053</v>
      </c>
      <c r="P6" s="19" t="n">
        <v>8822</v>
      </c>
      <c r="Q6" s="19" t="n">
        <v>13747</v>
      </c>
      <c r="R6" s="19" t="n">
        <v>12155</v>
      </c>
      <c r="S6" s="19" t="n">
        <v>1592</v>
      </c>
      <c r="T6" s="19" t="n">
        <v>51392</v>
      </c>
      <c r="U6" s="19" t="n">
        <v>46968</v>
      </c>
      <c r="V6" s="19" t="n">
        <v>4424</v>
      </c>
      <c r="W6" s="20">
        <f>IF(B6=C6+D6,"✓","✗")</f>
        <v/>
      </c>
    </row>
    <row r="7">
      <c r="A7" s="21" t="inlineStr">
        <is>
          <t>Cachar Plains</t>
        </is>
      </c>
      <c r="B7" s="22" t="n">
        <v>28473</v>
      </c>
      <c r="C7" s="22" t="n">
        <v>15991</v>
      </c>
      <c r="D7" s="22" t="n">
        <v>12482</v>
      </c>
      <c r="E7" s="22" t="n">
        <v>20094</v>
      </c>
      <c r="F7" s="22" t="n">
        <v>13377</v>
      </c>
      <c r="G7" s="22" t="n">
        <v>6717</v>
      </c>
      <c r="H7" s="22" t="n">
        <v>16083</v>
      </c>
      <c r="I7" s="22" t="n">
        <v>10913</v>
      </c>
      <c r="J7" s="22" t="n">
        <v>5170</v>
      </c>
      <c r="K7" s="22" t="n">
        <v>7716</v>
      </c>
      <c r="L7" s="22" t="n">
        <v>6067</v>
      </c>
      <c r="M7" s="22" t="n">
        <v>1649</v>
      </c>
      <c r="N7" s="22" t="n">
        <v>7530</v>
      </c>
      <c r="O7" s="22" t="n">
        <v>5793</v>
      </c>
      <c r="P7" s="22" t="n">
        <v>1737</v>
      </c>
      <c r="Q7" s="22" t="n">
        <v>2261</v>
      </c>
      <c r="R7" s="22" t="n">
        <v>1872</v>
      </c>
      <c r="S7" s="22" t="n">
        <v>389</v>
      </c>
      <c r="T7" s="22" t="n">
        <v>6531</v>
      </c>
      <c r="U7" s="22" t="n">
        <v>5622</v>
      </c>
      <c r="V7" s="22" t="n">
        <v>909</v>
      </c>
      <c r="W7" s="23">
        <f>IF(B7=C7+D7,"✓","✗")</f>
        <v/>
      </c>
    </row>
    <row r="8">
      <c r="A8" s="24" t="inlineStr">
        <is>
          <t>Sylhet</t>
        </is>
      </c>
      <c r="B8" s="25" t="n">
        <v>133682</v>
      </c>
      <c r="C8" s="25" t="n">
        <v>75510</v>
      </c>
      <c r="D8" s="25" t="n">
        <v>58172</v>
      </c>
      <c r="E8" s="25" t="n">
        <v>89195</v>
      </c>
      <c r="F8" s="25" t="n">
        <v>62058</v>
      </c>
      <c r="G8" s="25" t="n">
        <v>27137</v>
      </c>
      <c r="H8" s="25" t="n">
        <v>77825</v>
      </c>
      <c r="I8" s="25" t="n">
        <v>55462</v>
      </c>
      <c r="J8" s="25" t="n">
        <v>22363</v>
      </c>
      <c r="K8" s="25" t="n">
        <v>38286</v>
      </c>
      <c r="L8" s="25" t="n">
        <v>31332</v>
      </c>
      <c r="M8" s="25" t="n">
        <v>6954</v>
      </c>
      <c r="N8" s="25" t="n">
        <v>40345</v>
      </c>
      <c r="O8" s="25" t="n">
        <v>33260</v>
      </c>
      <c r="P8" s="25" t="n">
        <v>7085</v>
      </c>
      <c r="Q8" s="25" t="n">
        <v>11486</v>
      </c>
      <c r="R8" s="25" t="n">
        <v>10283</v>
      </c>
      <c r="S8" s="25" t="n">
        <v>1203</v>
      </c>
      <c r="T8" s="25" t="n">
        <v>44861</v>
      </c>
      <c r="U8" s="25" t="n">
        <v>41346</v>
      </c>
      <c r="V8" s="25" t="n">
        <v>3515</v>
      </c>
      <c r="W8" s="26">
        <f>IF(B8=C8+D8,"✓","✗")</f>
        <v/>
      </c>
    </row>
    <row r="9">
      <c r="A9" s="21" t="inlineStr">
        <is>
          <t>Total</t>
        </is>
      </c>
      <c r="B9" s="22" t="n">
        <v>369351</v>
      </c>
      <c r="C9" s="22" t="n">
        <v>199338</v>
      </c>
      <c r="D9" s="22" t="n">
        <v>170013</v>
      </c>
      <c r="E9" s="22" t="n">
        <v>253491</v>
      </c>
      <c r="F9" s="22" t="n">
        <v>164034</v>
      </c>
      <c r="G9" s="22" t="n">
        <v>89457</v>
      </c>
      <c r="H9" s="22" t="n">
        <v>229980</v>
      </c>
      <c r="I9" s="22" t="n">
        <v>151691</v>
      </c>
      <c r="J9" s="22" t="n">
        <v>78289</v>
      </c>
      <c r="K9" s="22" t="n">
        <v>104943</v>
      </c>
      <c r="L9" s="22" t="n">
        <v>78357</v>
      </c>
      <c r="M9" s="22" t="n">
        <v>26586</v>
      </c>
      <c r="N9" s="22" t="n">
        <v>120816</v>
      </c>
      <c r="O9" s="22" t="n">
        <v>91736</v>
      </c>
      <c r="P9" s="22" t="n">
        <v>29080</v>
      </c>
      <c r="Q9" s="22" t="n">
        <v>38978</v>
      </c>
      <c r="R9" s="22" t="n">
        <v>31182</v>
      </c>
      <c r="S9" s="22" t="n">
        <v>7796</v>
      </c>
      <c r="T9" s="22" t="n">
        <v>108981</v>
      </c>
      <c r="U9" s="22" t="n">
        <v>92676</v>
      </c>
      <c r="V9" s="22" t="n">
        <v>16305</v>
      </c>
      <c r="W9" s="23">
        <f>IF(B9=C9+D9,"✓","✗")</f>
        <v/>
      </c>
    </row>
    <row r="10">
      <c r="A10" s="24" t="inlineStr">
        <is>
          <t>Goalpara</t>
        </is>
      </c>
      <c r="B10" s="25" t="n">
        <v>29391</v>
      </c>
      <c r="C10" s="25" t="n">
        <v>16932</v>
      </c>
      <c r="D10" s="25" t="n">
        <v>12459</v>
      </c>
      <c r="E10" s="25" t="n">
        <v>21262</v>
      </c>
      <c r="F10" s="25" t="n">
        <v>14591</v>
      </c>
      <c r="G10" s="25" t="n">
        <v>6671</v>
      </c>
      <c r="H10" s="25" t="n">
        <v>19732</v>
      </c>
      <c r="I10" s="25" t="n">
        <v>13650</v>
      </c>
      <c r="J10" s="25" t="n">
        <v>6082</v>
      </c>
      <c r="K10" s="25" t="n">
        <v>8758</v>
      </c>
      <c r="L10" s="25" t="n">
        <v>6699</v>
      </c>
      <c r="M10" s="25" t="n">
        <v>2059</v>
      </c>
      <c r="N10" s="25" t="n">
        <v>10583</v>
      </c>
      <c r="O10" s="25" t="n">
        <v>8166</v>
      </c>
      <c r="P10" s="25" t="n">
        <v>2417</v>
      </c>
      <c r="Q10" s="25" t="n">
        <v>3508</v>
      </c>
      <c r="R10" s="25" t="n">
        <v>2749</v>
      </c>
      <c r="S10" s="25" t="n">
        <v>759</v>
      </c>
      <c r="T10" s="25" t="n">
        <v>11739</v>
      </c>
      <c r="U10" s="25" t="n">
        <v>9887</v>
      </c>
      <c r="V10" s="25" t="n">
        <v>1852</v>
      </c>
      <c r="W10" s="26">
        <f>IF(B10=C10+D10,"✓","✗")</f>
        <v/>
      </c>
    </row>
    <row r="11">
      <c r="A11" s="21" t="inlineStr">
        <is>
          <t>Kamrup</t>
        </is>
      </c>
      <c r="B11" s="22" t="n">
        <v>42564</v>
      </c>
      <c r="C11" s="22" t="n">
        <v>21318</v>
      </c>
      <c r="D11" s="22" t="n">
        <v>21246</v>
      </c>
      <c r="E11" s="22" t="n">
        <v>27108</v>
      </c>
      <c r="F11" s="22" t="n">
        <v>16104</v>
      </c>
      <c r="G11" s="22" t="n">
        <v>11004</v>
      </c>
      <c r="H11" s="22" t="n">
        <v>29426</v>
      </c>
      <c r="I11" s="22" t="n">
        <v>18675</v>
      </c>
      <c r="J11" s="22" t="n">
        <v>10751</v>
      </c>
      <c r="K11" s="22" t="n">
        <v>11692</v>
      </c>
      <c r="L11" s="22" t="n">
        <v>8522</v>
      </c>
      <c r="M11" s="22" t="n">
        <v>3170</v>
      </c>
      <c r="N11" s="22" t="n">
        <v>16785</v>
      </c>
      <c r="O11" s="22" t="n">
        <v>12704</v>
      </c>
      <c r="P11" s="22" t="n">
        <v>4081</v>
      </c>
      <c r="Q11" s="22" t="n">
        <v>5689</v>
      </c>
      <c r="R11" s="22" t="n">
        <v>4555</v>
      </c>
      <c r="S11" s="22" t="n">
        <v>1134</v>
      </c>
      <c r="T11" s="22" t="n">
        <v>11659</v>
      </c>
      <c r="U11" s="22" t="n">
        <v>9705</v>
      </c>
      <c r="V11" s="22" t="n">
        <v>1954</v>
      </c>
      <c r="W11" s="23">
        <f>IF(B11=C11+D11,"✓","✗")</f>
        <v/>
      </c>
    </row>
    <row r="12">
      <c r="A12" s="24" t="inlineStr">
        <is>
          <t>Darrang</t>
        </is>
      </c>
      <c r="B12" s="25" t="n">
        <v>24372</v>
      </c>
      <c r="C12" s="25" t="n">
        <v>12434</v>
      </c>
      <c r="D12" s="25" t="n">
        <v>11938</v>
      </c>
      <c r="E12" s="25" t="n">
        <v>16232</v>
      </c>
      <c r="F12" s="25" t="n">
        <v>9707</v>
      </c>
      <c r="G12" s="25" t="n">
        <v>6525</v>
      </c>
      <c r="H12" s="25" t="n">
        <v>15933</v>
      </c>
      <c r="I12" s="25" t="n">
        <v>10066</v>
      </c>
      <c r="J12" s="25" t="n">
        <v>5867</v>
      </c>
      <c r="K12" s="25" t="n">
        <v>6537</v>
      </c>
      <c r="L12" s="25" t="n">
        <v>4617</v>
      </c>
      <c r="M12" s="25" t="n">
        <v>1920</v>
      </c>
      <c r="N12" s="25" t="n">
        <v>8164</v>
      </c>
      <c r="O12" s="25" t="n">
        <v>6041</v>
      </c>
      <c r="P12" s="25" t="n">
        <v>2123</v>
      </c>
      <c r="Q12" s="25" t="n">
        <v>2809</v>
      </c>
      <c r="R12" s="25" t="n">
        <v>2185</v>
      </c>
      <c r="S12" s="25" t="n">
        <v>624</v>
      </c>
      <c r="T12" s="25" t="n">
        <v>4399</v>
      </c>
      <c r="U12" s="25" t="n">
        <v>3695</v>
      </c>
      <c r="V12" s="25" t="n">
        <v>704</v>
      </c>
      <c r="W12" s="26">
        <f>IF(B12=C12+D12,"✓","✗")</f>
        <v/>
      </c>
    </row>
    <row r="13">
      <c r="A13" s="21" t="inlineStr">
        <is>
          <t>Nowgong</t>
        </is>
      </c>
      <c r="B13" s="22" t="n">
        <v>22607</v>
      </c>
      <c r="C13" s="22" t="n">
        <v>10995</v>
      </c>
      <c r="D13" s="22" t="n">
        <v>11612</v>
      </c>
      <c r="E13" s="22" t="n">
        <v>15663</v>
      </c>
      <c r="F13" s="22" t="n">
        <v>8991</v>
      </c>
      <c r="G13" s="22" t="n">
        <v>6672</v>
      </c>
      <c r="H13" s="22" t="n">
        <v>16405</v>
      </c>
      <c r="I13" s="22" t="n">
        <v>9895</v>
      </c>
      <c r="J13" s="22" t="n">
        <v>6510</v>
      </c>
      <c r="K13" s="22" t="n">
        <v>7386</v>
      </c>
      <c r="L13" s="22" t="n">
        <v>4927</v>
      </c>
      <c r="M13" s="22" t="n">
        <v>2459</v>
      </c>
      <c r="N13" s="22" t="n">
        <v>9581</v>
      </c>
      <c r="O13" s="22" t="n">
        <v>6733</v>
      </c>
      <c r="P13" s="22" t="n">
        <v>2848</v>
      </c>
      <c r="Q13" s="22" t="n">
        <v>3508</v>
      </c>
      <c r="R13" s="22" t="n">
        <v>2571</v>
      </c>
      <c r="S13" s="22" t="n">
        <v>937</v>
      </c>
      <c r="T13" s="22" t="n">
        <v>8651</v>
      </c>
      <c r="U13" s="22" t="n">
        <v>6652</v>
      </c>
      <c r="V13" s="22" t="n">
        <v>1999</v>
      </c>
      <c r="W13" s="23">
        <f>IF(B13=C13+D13,"✓","✗")</f>
        <v/>
      </c>
    </row>
    <row r="14">
      <c r="A14" s="24" t="inlineStr">
        <is>
          <t>Sibsagar</t>
        </is>
      </c>
      <c r="B14" s="25" t="n">
        <v>34640</v>
      </c>
      <c r="C14" s="25" t="n">
        <v>18007</v>
      </c>
      <c r="D14" s="25" t="n">
        <v>16633</v>
      </c>
      <c r="E14" s="25" t="n">
        <v>23027</v>
      </c>
      <c r="F14" s="25" t="n">
        <v>14233</v>
      </c>
      <c r="G14" s="25" t="n">
        <v>8794</v>
      </c>
      <c r="H14" s="25" t="n">
        <v>21040</v>
      </c>
      <c r="I14" s="25" t="n">
        <v>13275</v>
      </c>
      <c r="J14" s="25" t="n">
        <v>7765</v>
      </c>
      <c r="K14" s="25" t="n">
        <v>8695</v>
      </c>
      <c r="L14" s="25" t="n">
        <v>6062</v>
      </c>
      <c r="M14" s="25" t="n">
        <v>2633</v>
      </c>
      <c r="N14" s="25" t="n">
        <v>11060</v>
      </c>
      <c r="O14" s="25" t="n">
        <v>8091</v>
      </c>
      <c r="P14" s="25" t="n">
        <v>2969</v>
      </c>
      <c r="Q14" s="25" t="n">
        <v>3894</v>
      </c>
      <c r="R14" s="25" t="n">
        <v>3050</v>
      </c>
      <c r="S14" s="25" t="n">
        <v>844</v>
      </c>
      <c r="T14" s="25" t="n">
        <v>6143</v>
      </c>
      <c r="U14" s="25" t="n">
        <v>5179</v>
      </c>
      <c r="V14" s="25" t="n">
        <v>964</v>
      </c>
      <c r="W14" s="26">
        <f>IF(B14=C14+D14,"✓","✗")</f>
        <v/>
      </c>
    </row>
    <row r="15">
      <c r="A15" s="21" t="inlineStr">
        <is>
          <t>Lakhimpur</t>
        </is>
      </c>
      <c r="B15" s="22" t="n">
        <v>20219</v>
      </c>
      <c r="C15" s="22" t="n">
        <v>11310</v>
      </c>
      <c r="D15" s="22" t="n">
        <v>8909</v>
      </c>
      <c r="E15" s="22" t="n">
        <v>13667</v>
      </c>
      <c r="F15" s="22" t="n">
        <v>8975</v>
      </c>
      <c r="G15" s="22" t="n">
        <v>4692</v>
      </c>
      <c r="H15" s="22" t="n">
        <v>10858</v>
      </c>
      <c r="I15" s="22" t="n">
        <v>7125</v>
      </c>
      <c r="J15" s="22" t="n">
        <v>3733</v>
      </c>
      <c r="K15" s="22" t="n">
        <v>4631</v>
      </c>
      <c r="L15" s="22" t="n">
        <v>3140</v>
      </c>
      <c r="M15" s="22" t="n">
        <v>1491</v>
      </c>
      <c r="N15" s="22" t="n">
        <v>5310</v>
      </c>
      <c r="O15" s="22" t="n">
        <v>3808</v>
      </c>
      <c r="P15" s="22" t="n">
        <v>1502</v>
      </c>
      <c r="Q15" s="22" t="n">
        <v>1789</v>
      </c>
      <c r="R15" s="22" t="n">
        <v>1312</v>
      </c>
      <c r="S15" s="22" t="n">
        <v>477</v>
      </c>
      <c r="T15" s="22" t="n">
        <v>3047</v>
      </c>
      <c r="U15" s="22" t="n">
        <v>2470</v>
      </c>
      <c r="V15" s="22" t="n">
        <v>577</v>
      </c>
      <c r="W15" s="23">
        <f>IF(B15=C15+D15,"✓","✗")</f>
        <v/>
      </c>
    </row>
    <row r="16">
      <c r="A16" s="24" t="inlineStr">
        <is>
          <t>Total</t>
        </is>
      </c>
      <c r="B16" s="25" t="n">
        <v>369351</v>
      </c>
      <c r="C16" s="25" t="n">
        <v>199338</v>
      </c>
      <c r="D16" s="25" t="n">
        <v>170013</v>
      </c>
      <c r="E16" s="25" t="n">
        <v>253491</v>
      </c>
      <c r="F16" s="25" t="n">
        <v>164034</v>
      </c>
      <c r="G16" s="25" t="n">
        <v>89457</v>
      </c>
      <c r="H16" s="25" t="n">
        <v>229980</v>
      </c>
      <c r="I16" s="25" t="n">
        <v>151691</v>
      </c>
      <c r="J16" s="25" t="n">
        <v>78289</v>
      </c>
      <c r="K16" s="25" t="n">
        <v>104943</v>
      </c>
      <c r="L16" s="25" t="n">
        <v>78357</v>
      </c>
      <c r="M16" s="25" t="n">
        <v>26586</v>
      </c>
      <c r="N16" s="25" t="n">
        <v>120816</v>
      </c>
      <c r="O16" s="25" t="n">
        <v>91736</v>
      </c>
      <c r="P16" s="25" t="n">
        <v>29080</v>
      </c>
      <c r="Q16" s="25" t="n">
        <v>38978</v>
      </c>
      <c r="R16" s="25" t="n">
        <v>31182</v>
      </c>
      <c r="S16" s="25" t="n">
        <v>7796</v>
      </c>
      <c r="T16" s="25" t="n">
        <v>108981</v>
      </c>
      <c r="U16" s="25" t="n">
        <v>92676</v>
      </c>
      <c r="V16" s="25" t="n">
        <v>16305</v>
      </c>
      <c r="W16" s="26">
        <f>IF(B16=C16+D16,"✓","✗")</f>
        <v/>
      </c>
    </row>
    <row r="17">
      <c r="A17" s="21" t="inlineStr">
        <is>
          <t>Total</t>
        </is>
      </c>
      <c r="B17" s="22" t="n">
        <v>369351</v>
      </c>
      <c r="C17" s="22" t="n">
        <v>199338</v>
      </c>
      <c r="D17" s="22" t="n">
        <v>170013</v>
      </c>
      <c r="E17" s="22" t="n">
        <v>253491</v>
      </c>
      <c r="F17" s="22" t="n">
        <v>164034</v>
      </c>
      <c r="G17" s="22" t="n">
        <v>89457</v>
      </c>
      <c r="H17" s="22" t="n">
        <v>229980</v>
      </c>
      <c r="I17" s="22" t="n">
        <v>151691</v>
      </c>
      <c r="J17" s="22" t="n">
        <v>78289</v>
      </c>
      <c r="K17" s="22" t="n">
        <v>104943</v>
      </c>
      <c r="L17" s="22" t="n">
        <v>78357</v>
      </c>
      <c r="M17" s="22" t="n">
        <v>26586</v>
      </c>
      <c r="N17" s="22" t="n">
        <v>120816</v>
      </c>
      <c r="O17" s="22" t="n">
        <v>91736</v>
      </c>
      <c r="P17" s="22" t="n">
        <v>29080</v>
      </c>
      <c r="Q17" s="22" t="n">
        <v>38978</v>
      </c>
      <c r="R17" s="22" t="n">
        <v>31182</v>
      </c>
      <c r="S17" s="22" t="n">
        <v>7796</v>
      </c>
      <c r="T17" s="22" t="n">
        <v>108981</v>
      </c>
      <c r="U17" s="22" t="n">
        <v>92676</v>
      </c>
      <c r="V17" s="22" t="n">
        <v>16305</v>
      </c>
      <c r="W17" s="23">
        <f>IF(B17=C17+D17,"✓","✗")</f>
        <v/>
      </c>
    </row>
    <row r="18">
      <c r="A18" s="24" t="inlineStr">
        <is>
          <t>North Cachar</t>
        </is>
      </c>
      <c r="B18" s="25" t="n">
        <v>1344</v>
      </c>
      <c r="C18" s="25" t="n">
        <v>736</v>
      </c>
      <c r="D18" s="25" t="n">
        <v>608</v>
      </c>
      <c r="E18" s="25" t="n">
        <v>769</v>
      </c>
      <c r="F18" s="25" t="n">
        <v>463</v>
      </c>
      <c r="G18" s="25" t="n">
        <v>306</v>
      </c>
      <c r="H18" s="25" t="n">
        <v>804</v>
      </c>
      <c r="I18" s="25" t="n">
        <v>492</v>
      </c>
      <c r="J18" s="25" t="n">
        <v>312</v>
      </c>
      <c r="K18" s="25" t="n">
        <v>333</v>
      </c>
      <c r="L18" s="25" t="n">
        <v>210</v>
      </c>
      <c r="M18" s="25" t="n">
        <v>123</v>
      </c>
      <c r="N18" s="25" t="n">
        <v>427</v>
      </c>
      <c r="O18" s="25" t="n">
        <v>303</v>
      </c>
      <c r="P18" s="25" t="n">
        <v>124</v>
      </c>
      <c r="Q18" s="25" t="n">
        <v>121</v>
      </c>
      <c r="R18" s="25" t="n">
        <v>85</v>
      </c>
      <c r="S18" s="25" t="n">
        <v>36</v>
      </c>
      <c r="T18" s="25" t="n">
        <v>549</v>
      </c>
      <c r="U18" s="25" t="n">
        <v>393</v>
      </c>
      <c r="V18" s="25" t="n">
        <v>156</v>
      </c>
      <c r="W18" s="26">
        <f>IF(B18=C18+D18,"✓","✗")</f>
        <v/>
      </c>
    </row>
    <row r="19">
      <c r="A19" s="21" t="inlineStr">
        <is>
          <t>Naga Hills</t>
        </is>
      </c>
      <c r="B19" s="22" t="n">
        <v>10229</v>
      </c>
      <c r="C19" s="22" t="n">
        <v>5068</v>
      </c>
      <c r="D19" s="22" t="n">
        <v>5161</v>
      </c>
      <c r="E19" s="22" t="n">
        <v>9635</v>
      </c>
      <c r="F19" s="22" t="n">
        <v>5788</v>
      </c>
      <c r="G19" s="22" t="n">
        <v>3847</v>
      </c>
      <c r="H19" s="22" t="n">
        <v>6817</v>
      </c>
      <c r="I19" s="22" t="n">
        <v>3836</v>
      </c>
      <c r="J19" s="22" t="n">
        <v>2981</v>
      </c>
      <c r="K19" s="22" t="n">
        <v>3026</v>
      </c>
      <c r="L19" s="22" t="n">
        <v>2044</v>
      </c>
      <c r="M19" s="22" t="n">
        <v>982</v>
      </c>
      <c r="N19" s="22" t="n">
        <v>3054</v>
      </c>
      <c r="O19" s="22" t="n">
        <v>1986</v>
      </c>
      <c r="P19" s="22" t="n">
        <v>1068</v>
      </c>
      <c r="Q19" s="22" t="n">
        <v>868</v>
      </c>
      <c r="R19" s="22" t="n">
        <v>584</v>
      </c>
      <c r="S19" s="22" t="n">
        <v>284</v>
      </c>
      <c r="T19" s="22" t="n">
        <v>2264</v>
      </c>
      <c r="U19" s="22" t="n">
        <v>1662</v>
      </c>
      <c r="V19" s="22" t="n">
        <v>602</v>
      </c>
      <c r="W19" s="23">
        <f>IF(B19=C19+D19,"✓","✗")</f>
        <v/>
      </c>
    </row>
    <row r="20">
      <c r="A20" s="24" t="inlineStr">
        <is>
          <t>Khasi and Jaintia Hills</t>
        </is>
      </c>
      <c r="B20" s="25" t="n">
        <v>11997</v>
      </c>
      <c r="C20" s="25" t="n">
        <v>5920</v>
      </c>
      <c r="D20" s="25" t="n">
        <v>6077</v>
      </c>
      <c r="E20" s="25" t="n">
        <v>9606</v>
      </c>
      <c r="F20" s="25" t="n">
        <v>5210</v>
      </c>
      <c r="G20" s="25" t="n">
        <v>4396</v>
      </c>
      <c r="H20" s="25" t="n">
        <v>8627</v>
      </c>
      <c r="I20" s="25" t="n">
        <v>4550</v>
      </c>
      <c r="J20" s="25" t="n">
        <v>4077</v>
      </c>
      <c r="K20" s="25" t="n">
        <v>4997</v>
      </c>
      <c r="L20" s="25" t="n">
        <v>2893</v>
      </c>
      <c r="M20" s="25" t="n">
        <v>2104</v>
      </c>
      <c r="N20" s="25" t="n">
        <v>4950</v>
      </c>
      <c r="O20" s="25" t="n">
        <v>2920</v>
      </c>
      <c r="P20" s="25" t="n">
        <v>2030</v>
      </c>
      <c r="Q20" s="25" t="n">
        <v>1834</v>
      </c>
      <c r="R20" s="25" t="n">
        <v>1152</v>
      </c>
      <c r="S20" s="25" t="n">
        <v>682</v>
      </c>
      <c r="T20" s="25" t="n">
        <v>5598</v>
      </c>
      <c r="U20" s="25" t="n">
        <v>3663</v>
      </c>
      <c r="V20" s="25" t="n">
        <v>1935</v>
      </c>
      <c r="W20" s="26">
        <f>IF(B20=C20+D20,"✓","✗")</f>
        <v/>
      </c>
    </row>
    <row r="21">
      <c r="A21" s="21" t="inlineStr">
        <is>
          <t>Garo Hills</t>
        </is>
      </c>
      <c r="B21" s="22" t="n">
        <v>9608</v>
      </c>
      <c r="C21" s="22" t="n">
        <v>4892</v>
      </c>
      <c r="D21" s="22" t="n">
        <v>4716</v>
      </c>
      <c r="E21" s="22" t="n">
        <v>7099</v>
      </c>
      <c r="F21" s="22" t="n">
        <v>4403</v>
      </c>
      <c r="G21" s="22" t="n">
        <v>2696</v>
      </c>
      <c r="H21" s="22" t="n">
        <v>6362</v>
      </c>
      <c r="I21" s="22" t="n">
        <v>3684</v>
      </c>
      <c r="J21" s="22" t="n">
        <v>2678</v>
      </c>
      <c r="K21" s="22" t="n">
        <v>2855</v>
      </c>
      <c r="L21" s="22" t="n">
        <v>1813</v>
      </c>
      <c r="M21" s="22" t="n">
        <v>1042</v>
      </c>
      <c r="N21" s="22" t="n">
        <v>3005</v>
      </c>
      <c r="O21" s="22" t="n">
        <v>1909</v>
      </c>
      <c r="P21" s="22" t="n">
        <v>1096</v>
      </c>
      <c r="Q21" s="22" t="n">
        <v>1208</v>
      </c>
      <c r="R21" s="22" t="n">
        <v>781</v>
      </c>
      <c r="S21" s="22" t="n">
        <v>427</v>
      </c>
      <c r="T21" s="22" t="n">
        <v>3539</v>
      </c>
      <c r="U21" s="22" t="n">
        <v>2401</v>
      </c>
      <c r="V21" s="22" t="n">
        <v>1138</v>
      </c>
      <c r="W21" s="23">
        <f>IF(B21=C21+D21,"✓","✗")</f>
        <v/>
      </c>
    </row>
    <row r="22">
      <c r="A22" s="24" t="inlineStr">
        <is>
          <t>North Lushai (Civil and Military)</t>
        </is>
      </c>
      <c r="B22" s="25" t="n">
        <v>225</v>
      </c>
      <c r="C22" s="25" t="n">
        <v>225</v>
      </c>
      <c r="D22" s="25" t="n">
        <v>0</v>
      </c>
      <c r="E22" s="25" t="n">
        <v>134</v>
      </c>
      <c r="F22" s="25" t="n">
        <v>134</v>
      </c>
      <c r="G22" s="25" t="n">
        <v>0</v>
      </c>
      <c r="H22" s="25" t="n">
        <v>68</v>
      </c>
      <c r="I22" s="25" t="n">
        <v>68</v>
      </c>
      <c r="J22" s="25" t="n">
        <v>0</v>
      </c>
      <c r="K22" s="25" t="n">
        <v>31</v>
      </c>
      <c r="L22" s="25" t="n">
        <v>31</v>
      </c>
      <c r="M22" s="25" t="n">
        <v>0</v>
      </c>
      <c r="N22" s="25" t="n">
        <v>22</v>
      </c>
      <c r="O22" s="25" t="n">
        <v>22</v>
      </c>
      <c r="P22" s="25" t="n">
        <v>0</v>
      </c>
      <c r="Q22" s="25" t="n">
        <v>3</v>
      </c>
      <c r="R22" s="25" t="n">
        <v>3</v>
      </c>
      <c r="S22" s="25" t="n">
        <v>0</v>
      </c>
      <c r="T22" s="25" t="n">
        <v>1</v>
      </c>
      <c r="U22" s="25" t="n">
        <v>1</v>
      </c>
      <c r="V22" s="25" t="n">
        <v>0</v>
      </c>
      <c r="W22" s="26">
        <f>IF(B22=C22+D22,"✓","✗")</f>
        <v/>
      </c>
    </row>
    <row r="23">
      <c r="A23" s="21" t="inlineStr">
        <is>
          <t>Total</t>
        </is>
      </c>
      <c r="B23" s="22" t="n">
        <v>369351</v>
      </c>
      <c r="C23" s="22" t="n">
        <v>199338</v>
      </c>
      <c r="D23" s="22" t="n">
        <v>170013</v>
      </c>
      <c r="E23" s="22" t="n">
        <v>253491</v>
      </c>
      <c r="F23" s="22" t="n">
        <v>164034</v>
      </c>
      <c r="G23" s="22" t="n">
        <v>89457</v>
      </c>
      <c r="H23" s="22" t="n">
        <v>229980</v>
      </c>
      <c r="I23" s="22" t="n">
        <v>151691</v>
      </c>
      <c r="J23" s="22" t="n">
        <v>78289</v>
      </c>
      <c r="K23" s="22" t="n">
        <v>104943</v>
      </c>
      <c r="L23" s="22" t="n">
        <v>78357</v>
      </c>
      <c r="M23" s="22" t="n">
        <v>26586</v>
      </c>
      <c r="N23" s="22" t="n">
        <v>120816</v>
      </c>
      <c r="O23" s="22" t="n">
        <v>91736</v>
      </c>
      <c r="P23" s="22" t="n">
        <v>29080</v>
      </c>
      <c r="Q23" s="22" t="n">
        <v>38978</v>
      </c>
      <c r="R23" s="22" t="n">
        <v>31182</v>
      </c>
      <c r="S23" s="22" t="n">
        <v>7796</v>
      </c>
      <c r="T23" s="22" t="n">
        <v>108981</v>
      </c>
      <c r="U23" s="22" t="n">
        <v>92676</v>
      </c>
      <c r="V23" s="22" t="n">
        <v>16305</v>
      </c>
      <c r="W23" s="23">
        <f>IF(B23=C23+D23,"✓","✗")</f>
        <v/>
      </c>
    </row>
    <row r="24">
      <c r="A24" s="24" t="inlineStr">
        <is>
          <t>Total</t>
        </is>
      </c>
      <c r="B24" s="25" t="n">
        <v>369351</v>
      </c>
      <c r="C24" s="25" t="n">
        <v>199338</v>
      </c>
      <c r="D24" s="25" t="n">
        <v>170013</v>
      </c>
      <c r="E24" s="25" t="n">
        <v>253491</v>
      </c>
      <c r="F24" s="25" t="n">
        <v>164034</v>
      </c>
      <c r="G24" s="25" t="n">
        <v>89457</v>
      </c>
      <c r="H24" s="25" t="n">
        <v>229980</v>
      </c>
      <c r="I24" s="25" t="n">
        <v>151691</v>
      </c>
      <c r="J24" s="25" t="n">
        <v>78289</v>
      </c>
      <c r="K24" s="25" t="n">
        <v>104943</v>
      </c>
      <c r="L24" s="25" t="n">
        <v>78357</v>
      </c>
      <c r="M24" s="25" t="n">
        <v>26586</v>
      </c>
      <c r="N24" s="25" t="n">
        <v>120816</v>
      </c>
      <c r="O24" s="25" t="n">
        <v>91736</v>
      </c>
      <c r="P24" s="25" t="n">
        <v>29080</v>
      </c>
      <c r="Q24" s="25" t="n">
        <v>38978</v>
      </c>
      <c r="R24" s="25" t="n">
        <v>31182</v>
      </c>
      <c r="S24" s="25" t="n">
        <v>7796</v>
      </c>
      <c r="T24" s="25" t="n">
        <v>108981</v>
      </c>
      <c r="U24" s="25" t="n">
        <v>92676</v>
      </c>
      <c r="V24" s="25" t="n">
        <v>16305</v>
      </c>
      <c r="W24" s="26">
        <f>IF(B24=C24+D24,"✓","✗")</f>
        <v/>
      </c>
    </row>
    <row r="25">
      <c r="A25" s="27" t="inlineStr">
        <is>
          <t>Verify: Sum</t>
        </is>
      </c>
      <c r="B25" s="28">
        <f>IF(SUM(B7:B24)=B6,"✓",SUM(B7:B24)-B6)</f>
        <v/>
      </c>
      <c r="C25" s="28">
        <f>IF(SUM(C7:C24)=C6,"✓",SUM(C7:C24)-C6)</f>
        <v/>
      </c>
      <c r="D25" s="28">
        <f>IF(SUM(D7:D24)=D6,"✓",SUM(D7:D24)-D6)</f>
        <v/>
      </c>
      <c r="E25" s="28">
        <f>IF(SUM(E7:E24)=E6,"✓",SUM(E7:E24)-E6)</f>
        <v/>
      </c>
      <c r="F25" s="28">
        <f>IF(SUM(F7:F24)=F6,"✓",SUM(F7:F24)-F6)</f>
        <v/>
      </c>
      <c r="G25" s="28">
        <f>IF(SUM(G7:G24)=G6,"✓",SUM(G7:G24)-G6)</f>
        <v/>
      </c>
      <c r="H25" s="28">
        <f>IF(SUM(H7:H24)=H6,"✓",SUM(H7:H24)-H6)</f>
        <v/>
      </c>
      <c r="I25" s="28">
        <f>IF(SUM(I7:I24)=I6,"✓",SUM(I7:I24)-I6)</f>
        <v/>
      </c>
      <c r="J25" s="28">
        <f>IF(SUM(J7:J24)=J6,"✓",SUM(J7:J24)-J6)</f>
        <v/>
      </c>
      <c r="K25" s="28">
        <f>IF(SUM(K7:K24)=K6,"✓",SUM(K7:K24)-K6)</f>
        <v/>
      </c>
      <c r="L25" s="28">
        <f>IF(SUM(L7:L24)=L6,"✓",SUM(L7:L24)-L6)</f>
        <v/>
      </c>
      <c r="M25" s="28">
        <f>IF(SUM(M7:M24)=M6,"✓",SUM(M7:M24)-M6)</f>
        <v/>
      </c>
      <c r="N25" s="28">
        <f>IF(SUM(N7:N24)=N6,"✓",SUM(N7:N24)-N6)</f>
        <v/>
      </c>
      <c r="O25" s="28">
        <f>IF(SUM(O7:O24)=O6,"✓",SUM(O7:O24)-O6)</f>
        <v/>
      </c>
      <c r="P25" s="28">
        <f>IF(SUM(P7:P24)=P6,"✓",SUM(P7:P24)-P6)</f>
        <v/>
      </c>
      <c r="Q25" s="28">
        <f>IF(SUM(Q7:Q24)=Q6,"✓",SUM(Q7:Q24)-Q6)</f>
        <v/>
      </c>
      <c r="R25" s="28">
        <f>IF(SUM(R7:R24)=R6,"✓",SUM(R7:R24)-R6)</f>
        <v/>
      </c>
      <c r="S25" s="28">
        <f>IF(SUM(S7:S24)=S6,"✓",SUM(S7:S24)-S6)</f>
        <v/>
      </c>
      <c r="T25" s="28">
        <f>IF(SUM(T7:T24)=T6,"✓",SUM(T7:T24)-T6)</f>
        <v/>
      </c>
      <c r="U25" s="28">
        <f>IF(SUM(U7:U24)=U6,"✓",SUM(U7:U24)-U6)</f>
        <v/>
      </c>
      <c r="V25" s="28">
        <f>IF(SUM(V7:V24)=V6,"✓",SUM(V7:V24)-V6)</f>
        <v/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conditionalFormatting sqref="W6:W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29" t="inlineStr">
        <is>
          <t>Assam — 1891</t>
        </is>
      </c>
    </row>
    <row r="2">
      <c r="A2" s="3" t="inlineStr">
        <is>
          <t>(2) MARRIED.</t>
        </is>
      </c>
    </row>
    <row r="3">
      <c r="A3" s="4" t="inlineStr">
        <is>
          <t>District</t>
        </is>
      </c>
      <c r="B3" s="5" t="inlineStr">
        <is>
          <t>30-34</t>
        </is>
      </c>
      <c r="C3" s="6" t="n"/>
      <c r="D3" s="6" t="n"/>
      <c r="E3" s="7" t="inlineStr">
        <is>
          <t>35-39</t>
        </is>
      </c>
      <c r="F3" s="8" t="n"/>
      <c r="G3" s="8" t="n"/>
      <c r="H3" s="9" t="inlineStr">
        <is>
          <t>40-44</t>
        </is>
      </c>
      <c r="I3" s="10" t="n"/>
      <c r="J3" s="10" t="n"/>
      <c r="K3" s="11" t="inlineStr">
        <is>
          <t>45-49</t>
        </is>
      </c>
      <c r="L3" s="12" t="n"/>
      <c r="M3" s="12" t="n"/>
      <c r="N3" s="13" t="inlineStr">
        <is>
          <t>50-54</t>
        </is>
      </c>
      <c r="O3" s="14" t="n"/>
      <c r="P3" s="14" t="n"/>
      <c r="Q3" s="5" t="inlineStr">
        <is>
          <t>55-59</t>
        </is>
      </c>
      <c r="R3" s="6" t="n"/>
      <c r="S3" s="6" t="n"/>
      <c r="T3" s="7" t="inlineStr">
        <is>
          <t>60 and over</t>
        </is>
      </c>
      <c r="U3" s="8" t="n"/>
      <c r="V3" s="8" t="n"/>
      <c r="W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M+F=P</t>
        </is>
      </c>
    </row>
    <row r="5">
      <c r="A5" s="18" t="inlineStr">
        <is>
          <t>Total</t>
        </is>
      </c>
      <c r="B5" s="19" t="n">
        <v>162155</v>
      </c>
      <c r="C5" s="19" t="n">
        <v>91501</v>
      </c>
      <c r="D5" s="19" t="n">
        <v>70654</v>
      </c>
      <c r="E5" s="19" t="n">
        <v>109289</v>
      </c>
      <c r="F5" s="19" t="n">
        <v>75435</v>
      </c>
      <c r="G5" s="19" t="n">
        <v>33854</v>
      </c>
      <c r="H5" s="19" t="n">
        <v>93908</v>
      </c>
      <c r="I5" s="19" t="n">
        <v>66375</v>
      </c>
      <c r="J5" s="19" t="n">
        <v>27533</v>
      </c>
      <c r="K5" s="19" t="n">
        <v>46002</v>
      </c>
      <c r="L5" s="19" t="n">
        <v>37399</v>
      </c>
      <c r="M5" s="19" t="n">
        <v>8603</v>
      </c>
      <c r="N5" s="19" t="n">
        <v>47875</v>
      </c>
      <c r="O5" s="19" t="n">
        <v>39053</v>
      </c>
      <c r="P5" s="19" t="n">
        <v>8822</v>
      </c>
      <c r="Q5" s="19" t="n">
        <v>13747</v>
      </c>
      <c r="R5" s="19" t="n">
        <v>12155</v>
      </c>
      <c r="S5" s="19" t="n">
        <v>1592</v>
      </c>
      <c r="T5" s="19" t="n">
        <v>51392</v>
      </c>
      <c r="U5" s="19" t="n">
        <v>46968</v>
      </c>
      <c r="V5" s="19" t="n">
        <v>4424</v>
      </c>
      <c r="W5" s="20">
        <f>IF(B5=C5+D5,"✓","✗")</f>
        <v/>
      </c>
    </row>
    <row r="6">
      <c r="A6" s="21" t="inlineStr">
        <is>
          <t>Cachar Plains</t>
        </is>
      </c>
      <c r="B6" s="22" t="n">
        <v>28473</v>
      </c>
      <c r="C6" s="22" t="n">
        <v>15991</v>
      </c>
      <c r="D6" s="22" t="n">
        <v>12482</v>
      </c>
      <c r="E6" s="22" t="n">
        <v>20094</v>
      </c>
      <c r="F6" s="22" t="n">
        <v>13377</v>
      </c>
      <c r="G6" s="22" t="n">
        <v>6717</v>
      </c>
      <c r="H6" s="22" t="n">
        <v>16083</v>
      </c>
      <c r="I6" s="22" t="n">
        <v>10913</v>
      </c>
      <c r="J6" s="22" t="n">
        <v>5170</v>
      </c>
      <c r="K6" s="22" t="n">
        <v>7716</v>
      </c>
      <c r="L6" s="22" t="n">
        <v>6067</v>
      </c>
      <c r="M6" s="22" t="n">
        <v>1649</v>
      </c>
      <c r="N6" s="22" t="n">
        <v>7530</v>
      </c>
      <c r="O6" s="22" t="n">
        <v>5793</v>
      </c>
      <c r="P6" s="22" t="n">
        <v>1737</v>
      </c>
      <c r="Q6" s="22" t="n">
        <v>2261</v>
      </c>
      <c r="R6" s="22" t="n">
        <v>1872</v>
      </c>
      <c r="S6" s="22" t="n">
        <v>389</v>
      </c>
      <c r="T6" s="22" t="n">
        <v>6531</v>
      </c>
      <c r="U6" s="22" t="n">
        <v>5622</v>
      </c>
      <c r="V6" s="22" t="n">
        <v>909</v>
      </c>
      <c r="W6" s="23">
        <f>IF(B6=C6+D6,"✓","✗")</f>
        <v/>
      </c>
    </row>
    <row r="7">
      <c r="A7" s="24" t="inlineStr">
        <is>
          <t>Sylhet</t>
        </is>
      </c>
      <c r="B7" s="25" t="n">
        <v>133682</v>
      </c>
      <c r="C7" s="25" t="n">
        <v>75510</v>
      </c>
      <c r="D7" s="25" t="n">
        <v>58172</v>
      </c>
      <c r="E7" s="25" t="n">
        <v>89195</v>
      </c>
      <c r="F7" s="25" t="n">
        <v>62058</v>
      </c>
      <c r="G7" s="25" t="n">
        <v>27137</v>
      </c>
      <c r="H7" s="25" t="n">
        <v>77825</v>
      </c>
      <c r="I7" s="25" t="n">
        <v>55462</v>
      </c>
      <c r="J7" s="25" t="n">
        <v>22363</v>
      </c>
      <c r="K7" s="25" t="n">
        <v>38286</v>
      </c>
      <c r="L7" s="25" t="n">
        <v>31332</v>
      </c>
      <c r="M7" s="25" t="n">
        <v>6954</v>
      </c>
      <c r="N7" s="25" t="n">
        <v>40345</v>
      </c>
      <c r="O7" s="25" t="n">
        <v>33260</v>
      </c>
      <c r="P7" s="25" t="n">
        <v>7085</v>
      </c>
      <c r="Q7" s="25" t="n">
        <v>11486</v>
      </c>
      <c r="R7" s="25" t="n">
        <v>10283</v>
      </c>
      <c r="S7" s="25" t="n">
        <v>1203</v>
      </c>
      <c r="T7" s="25" t="n">
        <v>44861</v>
      </c>
      <c r="U7" s="25" t="n">
        <v>41346</v>
      </c>
      <c r="V7" s="25" t="n">
        <v>3515</v>
      </c>
      <c r="W7" s="26">
        <f>IF(B7=C7+D7,"✓","✗")</f>
        <v/>
      </c>
    </row>
    <row r="8">
      <c r="A8" s="21" t="inlineStr">
        <is>
          <t>Total</t>
        </is>
      </c>
      <c r="B8" s="22" t="n">
        <v>369351</v>
      </c>
      <c r="C8" s="22" t="n">
        <v>199338</v>
      </c>
      <c r="D8" s="22" t="n">
        <v>170013</v>
      </c>
      <c r="E8" s="22" t="n">
        <v>253491</v>
      </c>
      <c r="F8" s="22" t="n">
        <v>164034</v>
      </c>
      <c r="G8" s="22" t="n">
        <v>89457</v>
      </c>
      <c r="H8" s="22" t="n">
        <v>229980</v>
      </c>
      <c r="I8" s="22" t="n">
        <v>151691</v>
      </c>
      <c r="J8" s="22" t="n">
        <v>78289</v>
      </c>
      <c r="K8" s="22" t="n">
        <v>104943</v>
      </c>
      <c r="L8" s="22" t="n">
        <v>78357</v>
      </c>
      <c r="M8" s="22" t="n">
        <v>26586</v>
      </c>
      <c r="N8" s="22" t="n">
        <v>120816</v>
      </c>
      <c r="O8" s="22" t="n">
        <v>91736</v>
      </c>
      <c r="P8" s="22" t="n">
        <v>29080</v>
      </c>
      <c r="Q8" s="22" t="n">
        <v>38978</v>
      </c>
      <c r="R8" s="22" t="n">
        <v>31182</v>
      </c>
      <c r="S8" s="22" t="n">
        <v>7796</v>
      </c>
      <c r="T8" s="22" t="n">
        <v>108981</v>
      </c>
      <c r="U8" s="22" t="n">
        <v>92676</v>
      </c>
      <c r="V8" s="22" t="n">
        <v>16305</v>
      </c>
      <c r="W8" s="23">
        <f>IF(B8=C8+D8,"✓","✗")</f>
        <v/>
      </c>
    </row>
    <row r="9">
      <c r="A9" s="24" t="inlineStr">
        <is>
          <t>Goalpara</t>
        </is>
      </c>
      <c r="B9" s="25" t="n">
        <v>29391</v>
      </c>
      <c r="C9" s="25" t="n">
        <v>16932</v>
      </c>
      <c r="D9" s="25" t="n">
        <v>12459</v>
      </c>
      <c r="E9" s="25" t="n">
        <v>21262</v>
      </c>
      <c r="F9" s="25" t="n">
        <v>14591</v>
      </c>
      <c r="G9" s="25" t="n">
        <v>6671</v>
      </c>
      <c r="H9" s="25" t="n">
        <v>19732</v>
      </c>
      <c r="I9" s="25" t="n">
        <v>13650</v>
      </c>
      <c r="J9" s="25" t="n">
        <v>6082</v>
      </c>
      <c r="K9" s="25" t="n">
        <v>8758</v>
      </c>
      <c r="L9" s="25" t="n">
        <v>6699</v>
      </c>
      <c r="M9" s="25" t="n">
        <v>2059</v>
      </c>
      <c r="N9" s="25" t="n">
        <v>10583</v>
      </c>
      <c r="O9" s="25" t="n">
        <v>8166</v>
      </c>
      <c r="P9" s="25" t="n">
        <v>2417</v>
      </c>
      <c r="Q9" s="25" t="n">
        <v>3508</v>
      </c>
      <c r="R9" s="25" t="n">
        <v>2749</v>
      </c>
      <c r="S9" s="25" t="n">
        <v>759</v>
      </c>
      <c r="T9" s="25" t="n">
        <v>11739</v>
      </c>
      <c r="U9" s="25" t="n">
        <v>9887</v>
      </c>
      <c r="V9" s="25" t="n">
        <v>1852</v>
      </c>
      <c r="W9" s="26">
        <f>IF(B9=C9+D9,"✓","✗")</f>
        <v/>
      </c>
    </row>
    <row r="10">
      <c r="A10" s="21" t="inlineStr">
        <is>
          <t>Kamrup</t>
        </is>
      </c>
      <c r="B10" s="22" t="n">
        <v>42564</v>
      </c>
      <c r="C10" s="22" t="n">
        <v>21318</v>
      </c>
      <c r="D10" s="22" t="n">
        <v>21246</v>
      </c>
      <c r="E10" s="22" t="n">
        <v>27108</v>
      </c>
      <c r="F10" s="22" t="n">
        <v>16104</v>
      </c>
      <c r="G10" s="22" t="n">
        <v>11004</v>
      </c>
      <c r="H10" s="22" t="n">
        <v>29426</v>
      </c>
      <c r="I10" s="22" t="n">
        <v>18675</v>
      </c>
      <c r="J10" s="22" t="n">
        <v>10751</v>
      </c>
      <c r="K10" s="22" t="n">
        <v>11692</v>
      </c>
      <c r="L10" s="22" t="n">
        <v>8522</v>
      </c>
      <c r="M10" s="22" t="n">
        <v>3170</v>
      </c>
      <c r="N10" s="22" t="n">
        <v>16785</v>
      </c>
      <c r="O10" s="22" t="n">
        <v>12704</v>
      </c>
      <c r="P10" s="22" t="n">
        <v>4081</v>
      </c>
      <c r="Q10" s="22" t="n">
        <v>5689</v>
      </c>
      <c r="R10" s="22" t="n">
        <v>4555</v>
      </c>
      <c r="S10" s="22" t="n">
        <v>1134</v>
      </c>
      <c r="T10" s="22" t="n">
        <v>11659</v>
      </c>
      <c r="U10" s="22" t="n">
        <v>9705</v>
      </c>
      <c r="V10" s="22" t="n">
        <v>1954</v>
      </c>
      <c r="W10" s="23">
        <f>IF(B10=C10+D10,"✓","✗")</f>
        <v/>
      </c>
    </row>
    <row r="11">
      <c r="A11" s="24" t="inlineStr">
        <is>
          <t>Darrang</t>
        </is>
      </c>
      <c r="B11" s="25" t="n">
        <v>24372</v>
      </c>
      <c r="C11" s="25" t="n">
        <v>12434</v>
      </c>
      <c r="D11" s="25" t="n">
        <v>11938</v>
      </c>
      <c r="E11" s="25" t="n">
        <v>16232</v>
      </c>
      <c r="F11" s="25" t="n">
        <v>9707</v>
      </c>
      <c r="G11" s="25" t="n">
        <v>6525</v>
      </c>
      <c r="H11" s="25" t="n">
        <v>15933</v>
      </c>
      <c r="I11" s="25" t="n">
        <v>10066</v>
      </c>
      <c r="J11" s="25" t="n">
        <v>5867</v>
      </c>
      <c r="K11" s="25" t="n">
        <v>6537</v>
      </c>
      <c r="L11" s="25" t="n">
        <v>4617</v>
      </c>
      <c r="M11" s="25" t="n">
        <v>1920</v>
      </c>
      <c r="N11" s="25" t="n">
        <v>8164</v>
      </c>
      <c r="O11" s="25" t="n">
        <v>6041</v>
      </c>
      <c r="P11" s="25" t="n">
        <v>2123</v>
      </c>
      <c r="Q11" s="25" t="n">
        <v>2809</v>
      </c>
      <c r="R11" s="25" t="n">
        <v>2185</v>
      </c>
      <c r="S11" s="25" t="n">
        <v>624</v>
      </c>
      <c r="T11" s="25" t="n">
        <v>4399</v>
      </c>
      <c r="U11" s="25" t="n">
        <v>3695</v>
      </c>
      <c r="V11" s="25" t="n">
        <v>704</v>
      </c>
      <c r="W11" s="26">
        <f>IF(B11=C11+D11,"✓","✗")</f>
        <v/>
      </c>
    </row>
    <row r="12">
      <c r="A12" s="21" t="inlineStr">
        <is>
          <t>Nowgong</t>
        </is>
      </c>
      <c r="B12" s="22" t="n">
        <v>22607</v>
      </c>
      <c r="C12" s="22" t="n">
        <v>10995</v>
      </c>
      <c r="D12" s="22" t="n">
        <v>11612</v>
      </c>
      <c r="E12" s="22" t="n">
        <v>15663</v>
      </c>
      <c r="F12" s="22" t="n">
        <v>8991</v>
      </c>
      <c r="G12" s="22" t="n">
        <v>6672</v>
      </c>
      <c r="H12" s="22" t="n">
        <v>16405</v>
      </c>
      <c r="I12" s="22" t="n">
        <v>9895</v>
      </c>
      <c r="J12" s="22" t="n">
        <v>6510</v>
      </c>
      <c r="K12" s="22" t="n">
        <v>7386</v>
      </c>
      <c r="L12" s="22" t="n">
        <v>4927</v>
      </c>
      <c r="M12" s="22" t="n">
        <v>2459</v>
      </c>
      <c r="N12" s="22" t="n">
        <v>9581</v>
      </c>
      <c r="O12" s="22" t="n">
        <v>6733</v>
      </c>
      <c r="P12" s="22" t="n">
        <v>2848</v>
      </c>
      <c r="Q12" s="22" t="n">
        <v>3508</v>
      </c>
      <c r="R12" s="22" t="n">
        <v>2571</v>
      </c>
      <c r="S12" s="22" t="n">
        <v>937</v>
      </c>
      <c r="T12" s="22" t="n">
        <v>8651</v>
      </c>
      <c r="U12" s="22" t="n">
        <v>6652</v>
      </c>
      <c r="V12" s="22" t="n">
        <v>1999</v>
      </c>
      <c r="W12" s="23">
        <f>IF(B12=C12+D12,"✓","✗")</f>
        <v/>
      </c>
    </row>
    <row r="13">
      <c r="A13" s="24" t="inlineStr">
        <is>
          <t>Sibsagar</t>
        </is>
      </c>
      <c r="B13" s="25" t="n">
        <v>34640</v>
      </c>
      <c r="C13" s="25" t="n">
        <v>18007</v>
      </c>
      <c r="D13" s="25" t="n">
        <v>16633</v>
      </c>
      <c r="E13" s="25" t="n">
        <v>23027</v>
      </c>
      <c r="F13" s="25" t="n">
        <v>14233</v>
      </c>
      <c r="G13" s="25" t="n">
        <v>8794</v>
      </c>
      <c r="H13" s="25" t="n">
        <v>21040</v>
      </c>
      <c r="I13" s="25" t="n">
        <v>13275</v>
      </c>
      <c r="J13" s="25" t="n">
        <v>7765</v>
      </c>
      <c r="K13" s="25" t="n">
        <v>8695</v>
      </c>
      <c r="L13" s="25" t="n">
        <v>6062</v>
      </c>
      <c r="M13" s="25" t="n">
        <v>2633</v>
      </c>
      <c r="N13" s="25" t="n">
        <v>11060</v>
      </c>
      <c r="O13" s="25" t="n">
        <v>8091</v>
      </c>
      <c r="P13" s="25" t="n">
        <v>2969</v>
      </c>
      <c r="Q13" s="25" t="n">
        <v>3894</v>
      </c>
      <c r="R13" s="25" t="n">
        <v>3050</v>
      </c>
      <c r="S13" s="25" t="n">
        <v>844</v>
      </c>
      <c r="T13" s="25" t="n">
        <v>6143</v>
      </c>
      <c r="U13" s="25" t="n">
        <v>5179</v>
      </c>
      <c r="V13" s="25" t="n">
        <v>964</v>
      </c>
      <c r="W13" s="26">
        <f>IF(B13=C13+D13,"✓","✗")</f>
        <v/>
      </c>
    </row>
    <row r="14">
      <c r="A14" s="21" t="inlineStr">
        <is>
          <t>Lakhimpur</t>
        </is>
      </c>
      <c r="B14" s="22" t="n">
        <v>20219</v>
      </c>
      <c r="C14" s="22" t="n">
        <v>11310</v>
      </c>
      <c r="D14" s="22" t="n">
        <v>8909</v>
      </c>
      <c r="E14" s="22" t="n">
        <v>13667</v>
      </c>
      <c r="F14" s="22" t="n">
        <v>8975</v>
      </c>
      <c r="G14" s="22" t="n">
        <v>4692</v>
      </c>
      <c r="H14" s="22" t="n">
        <v>10858</v>
      </c>
      <c r="I14" s="22" t="n">
        <v>7125</v>
      </c>
      <c r="J14" s="22" t="n">
        <v>3733</v>
      </c>
      <c r="K14" s="22" t="n">
        <v>4631</v>
      </c>
      <c r="L14" s="22" t="n">
        <v>3140</v>
      </c>
      <c r="M14" s="22" t="n">
        <v>1491</v>
      </c>
      <c r="N14" s="22" t="n">
        <v>5310</v>
      </c>
      <c r="O14" s="22" t="n">
        <v>3808</v>
      </c>
      <c r="P14" s="22" t="n">
        <v>1502</v>
      </c>
      <c r="Q14" s="22" t="n">
        <v>1789</v>
      </c>
      <c r="R14" s="22" t="n">
        <v>1312</v>
      </c>
      <c r="S14" s="22" t="n">
        <v>477</v>
      </c>
      <c r="T14" s="22" t="n">
        <v>3047</v>
      </c>
      <c r="U14" s="22" t="n">
        <v>2470</v>
      </c>
      <c r="V14" s="22" t="n">
        <v>577</v>
      </c>
      <c r="W14" s="23">
        <f>IF(B14=C14+D14,"✓","✗")</f>
        <v/>
      </c>
    </row>
    <row r="15">
      <c r="A15" s="24" t="inlineStr">
        <is>
          <t>Total</t>
        </is>
      </c>
      <c r="B15" s="25" t="n">
        <v>369351</v>
      </c>
      <c r="C15" s="25" t="n">
        <v>199338</v>
      </c>
      <c r="D15" s="25" t="n">
        <v>170013</v>
      </c>
      <c r="E15" s="25" t="n">
        <v>253491</v>
      </c>
      <c r="F15" s="25" t="n">
        <v>164034</v>
      </c>
      <c r="G15" s="25" t="n">
        <v>89457</v>
      </c>
      <c r="H15" s="25" t="n">
        <v>229980</v>
      </c>
      <c r="I15" s="25" t="n">
        <v>151691</v>
      </c>
      <c r="J15" s="25" t="n">
        <v>78289</v>
      </c>
      <c r="K15" s="25" t="n">
        <v>104943</v>
      </c>
      <c r="L15" s="25" t="n">
        <v>78357</v>
      </c>
      <c r="M15" s="25" t="n">
        <v>26586</v>
      </c>
      <c r="N15" s="25" t="n">
        <v>120816</v>
      </c>
      <c r="O15" s="25" t="n">
        <v>91736</v>
      </c>
      <c r="P15" s="25" t="n">
        <v>29080</v>
      </c>
      <c r="Q15" s="25" t="n">
        <v>38978</v>
      </c>
      <c r="R15" s="25" t="n">
        <v>31182</v>
      </c>
      <c r="S15" s="25" t="n">
        <v>7796</v>
      </c>
      <c r="T15" s="25" t="n">
        <v>108981</v>
      </c>
      <c r="U15" s="25" t="n">
        <v>92676</v>
      </c>
      <c r="V15" s="25" t="n">
        <v>16305</v>
      </c>
      <c r="W15" s="26">
        <f>IF(B15=C15+D15,"✓","✗")</f>
        <v/>
      </c>
    </row>
    <row r="16">
      <c r="A16" s="21" t="inlineStr">
        <is>
          <t>Total</t>
        </is>
      </c>
      <c r="B16" s="22" t="n">
        <v>369351</v>
      </c>
      <c r="C16" s="22" t="n">
        <v>199338</v>
      </c>
      <c r="D16" s="22" t="n">
        <v>170013</v>
      </c>
      <c r="E16" s="22" t="n">
        <v>253491</v>
      </c>
      <c r="F16" s="22" t="n">
        <v>164034</v>
      </c>
      <c r="G16" s="22" t="n">
        <v>89457</v>
      </c>
      <c r="H16" s="22" t="n">
        <v>229980</v>
      </c>
      <c r="I16" s="22" t="n">
        <v>151691</v>
      </c>
      <c r="J16" s="22" t="n">
        <v>78289</v>
      </c>
      <c r="K16" s="22" t="n">
        <v>104943</v>
      </c>
      <c r="L16" s="22" t="n">
        <v>78357</v>
      </c>
      <c r="M16" s="22" t="n">
        <v>26586</v>
      </c>
      <c r="N16" s="22" t="n">
        <v>120816</v>
      </c>
      <c r="O16" s="22" t="n">
        <v>91736</v>
      </c>
      <c r="P16" s="22" t="n">
        <v>29080</v>
      </c>
      <c r="Q16" s="22" t="n">
        <v>38978</v>
      </c>
      <c r="R16" s="22" t="n">
        <v>31182</v>
      </c>
      <c r="S16" s="22" t="n">
        <v>7796</v>
      </c>
      <c r="T16" s="22" t="n">
        <v>108981</v>
      </c>
      <c r="U16" s="22" t="n">
        <v>92676</v>
      </c>
      <c r="V16" s="22" t="n">
        <v>16305</v>
      </c>
      <c r="W16" s="23">
        <f>IF(B16=C16+D16,"✓","✗")</f>
        <v/>
      </c>
    </row>
    <row r="17">
      <c r="A17" s="24" t="inlineStr">
        <is>
          <t>North Cachar</t>
        </is>
      </c>
      <c r="B17" s="25" t="n">
        <v>1344</v>
      </c>
      <c r="C17" s="25" t="n">
        <v>736</v>
      </c>
      <c r="D17" s="25" t="n">
        <v>608</v>
      </c>
      <c r="E17" s="25" t="n">
        <v>769</v>
      </c>
      <c r="F17" s="25" t="n">
        <v>463</v>
      </c>
      <c r="G17" s="25" t="n">
        <v>306</v>
      </c>
      <c r="H17" s="25" t="n">
        <v>804</v>
      </c>
      <c r="I17" s="25" t="n">
        <v>492</v>
      </c>
      <c r="J17" s="25" t="n">
        <v>312</v>
      </c>
      <c r="K17" s="25" t="n">
        <v>333</v>
      </c>
      <c r="L17" s="25" t="n">
        <v>210</v>
      </c>
      <c r="M17" s="25" t="n">
        <v>123</v>
      </c>
      <c r="N17" s="25" t="n">
        <v>427</v>
      </c>
      <c r="O17" s="25" t="n">
        <v>303</v>
      </c>
      <c r="P17" s="25" t="n">
        <v>124</v>
      </c>
      <c r="Q17" s="25" t="n">
        <v>121</v>
      </c>
      <c r="R17" s="25" t="n">
        <v>85</v>
      </c>
      <c r="S17" s="25" t="n">
        <v>36</v>
      </c>
      <c r="T17" s="25" t="n">
        <v>549</v>
      </c>
      <c r="U17" s="25" t="n">
        <v>393</v>
      </c>
      <c r="V17" s="25" t="n">
        <v>156</v>
      </c>
      <c r="W17" s="26">
        <f>IF(B17=C17+D17,"✓","✗")</f>
        <v/>
      </c>
    </row>
    <row r="18">
      <c r="A18" s="21" t="inlineStr">
        <is>
          <t>Naga Hills</t>
        </is>
      </c>
      <c r="B18" s="22" t="n">
        <v>10229</v>
      </c>
      <c r="C18" s="22" t="n">
        <v>5068</v>
      </c>
      <c r="D18" s="22" t="n">
        <v>5161</v>
      </c>
      <c r="E18" s="22" t="n">
        <v>9635</v>
      </c>
      <c r="F18" s="22" t="n">
        <v>5788</v>
      </c>
      <c r="G18" s="22" t="n">
        <v>3847</v>
      </c>
      <c r="H18" s="22" t="n">
        <v>6817</v>
      </c>
      <c r="I18" s="22" t="n">
        <v>3836</v>
      </c>
      <c r="J18" s="22" t="n">
        <v>2981</v>
      </c>
      <c r="K18" s="22" t="n">
        <v>3026</v>
      </c>
      <c r="L18" s="22" t="n">
        <v>2044</v>
      </c>
      <c r="M18" s="22" t="n">
        <v>982</v>
      </c>
      <c r="N18" s="22" t="n">
        <v>3054</v>
      </c>
      <c r="O18" s="22" t="n">
        <v>1986</v>
      </c>
      <c r="P18" s="22" t="n">
        <v>1068</v>
      </c>
      <c r="Q18" s="22" t="n">
        <v>868</v>
      </c>
      <c r="R18" s="22" t="n">
        <v>584</v>
      </c>
      <c r="S18" s="22" t="n">
        <v>284</v>
      </c>
      <c r="T18" s="22" t="n">
        <v>2264</v>
      </c>
      <c r="U18" s="22" t="n">
        <v>1662</v>
      </c>
      <c r="V18" s="22" t="n">
        <v>602</v>
      </c>
      <c r="W18" s="23">
        <f>IF(B18=C18+D18,"✓","✗")</f>
        <v/>
      </c>
    </row>
    <row r="19">
      <c r="A19" s="24" t="inlineStr">
        <is>
          <t>Khasi and Jaintia Hills</t>
        </is>
      </c>
      <c r="B19" s="25" t="n">
        <v>11997</v>
      </c>
      <c r="C19" s="25" t="n">
        <v>5920</v>
      </c>
      <c r="D19" s="25" t="n">
        <v>6077</v>
      </c>
      <c r="E19" s="25" t="n">
        <v>9606</v>
      </c>
      <c r="F19" s="25" t="n">
        <v>5210</v>
      </c>
      <c r="G19" s="25" t="n">
        <v>4396</v>
      </c>
      <c r="H19" s="25" t="n">
        <v>8627</v>
      </c>
      <c r="I19" s="25" t="n">
        <v>4550</v>
      </c>
      <c r="J19" s="25" t="n">
        <v>4077</v>
      </c>
      <c r="K19" s="25" t="n">
        <v>4997</v>
      </c>
      <c r="L19" s="25" t="n">
        <v>2893</v>
      </c>
      <c r="M19" s="25" t="n">
        <v>2104</v>
      </c>
      <c r="N19" s="25" t="n">
        <v>4950</v>
      </c>
      <c r="O19" s="25" t="n">
        <v>2920</v>
      </c>
      <c r="P19" s="25" t="n">
        <v>2030</v>
      </c>
      <c r="Q19" s="25" t="n">
        <v>1834</v>
      </c>
      <c r="R19" s="25" t="n">
        <v>1152</v>
      </c>
      <c r="S19" s="25" t="n">
        <v>682</v>
      </c>
      <c r="T19" s="25" t="n">
        <v>5598</v>
      </c>
      <c r="U19" s="25" t="n">
        <v>3663</v>
      </c>
      <c r="V19" s="25" t="n">
        <v>1935</v>
      </c>
      <c r="W19" s="26">
        <f>IF(B19=C19+D19,"✓","✗")</f>
        <v/>
      </c>
    </row>
    <row r="20">
      <c r="A20" s="21" t="inlineStr">
        <is>
          <t>Garo Hills</t>
        </is>
      </c>
      <c r="B20" s="22" t="n">
        <v>9608</v>
      </c>
      <c r="C20" s="22" t="n">
        <v>4892</v>
      </c>
      <c r="D20" s="22" t="n">
        <v>4716</v>
      </c>
      <c r="E20" s="22" t="n">
        <v>7099</v>
      </c>
      <c r="F20" s="22" t="n">
        <v>4403</v>
      </c>
      <c r="G20" s="22" t="n">
        <v>2696</v>
      </c>
      <c r="H20" s="22" t="n">
        <v>6362</v>
      </c>
      <c r="I20" s="22" t="n">
        <v>3684</v>
      </c>
      <c r="J20" s="22" t="n">
        <v>2678</v>
      </c>
      <c r="K20" s="22" t="n">
        <v>2855</v>
      </c>
      <c r="L20" s="22" t="n">
        <v>1813</v>
      </c>
      <c r="M20" s="22" t="n">
        <v>1042</v>
      </c>
      <c r="N20" s="22" t="n">
        <v>3005</v>
      </c>
      <c r="O20" s="22" t="n">
        <v>1909</v>
      </c>
      <c r="P20" s="22" t="n">
        <v>1096</v>
      </c>
      <c r="Q20" s="22" t="n">
        <v>1208</v>
      </c>
      <c r="R20" s="22" t="n">
        <v>781</v>
      </c>
      <c r="S20" s="22" t="n">
        <v>427</v>
      </c>
      <c r="T20" s="22" t="n">
        <v>3539</v>
      </c>
      <c r="U20" s="22" t="n">
        <v>2401</v>
      </c>
      <c r="V20" s="22" t="n">
        <v>1138</v>
      </c>
      <c r="W20" s="23">
        <f>IF(B20=C20+D20,"✓","✗")</f>
        <v/>
      </c>
    </row>
    <row r="21">
      <c r="A21" s="24" t="inlineStr">
        <is>
          <t>North Lushai (Civil and Military)</t>
        </is>
      </c>
      <c r="B21" s="25" t="n">
        <v>225</v>
      </c>
      <c r="C21" s="25" t="n">
        <v>225</v>
      </c>
      <c r="D21" s="25" t="n">
        <v>0</v>
      </c>
      <c r="E21" s="25" t="n">
        <v>134</v>
      </c>
      <c r="F21" s="25" t="n">
        <v>134</v>
      </c>
      <c r="G21" s="25" t="n">
        <v>0</v>
      </c>
      <c r="H21" s="25" t="n">
        <v>68</v>
      </c>
      <c r="I21" s="25" t="n">
        <v>68</v>
      </c>
      <c r="J21" s="25" t="n">
        <v>0</v>
      </c>
      <c r="K21" s="25" t="n">
        <v>31</v>
      </c>
      <c r="L21" s="25" t="n">
        <v>31</v>
      </c>
      <c r="M21" s="25" t="n">
        <v>0</v>
      </c>
      <c r="N21" s="25" t="n">
        <v>22</v>
      </c>
      <c r="O21" s="25" t="n">
        <v>22</v>
      </c>
      <c r="P21" s="25" t="n">
        <v>0</v>
      </c>
      <c r="Q21" s="25" t="n">
        <v>3</v>
      </c>
      <c r="R21" s="25" t="n">
        <v>3</v>
      </c>
      <c r="S21" s="25" t="n">
        <v>0</v>
      </c>
      <c r="T21" s="25" t="n">
        <v>1</v>
      </c>
      <c r="U21" s="25" t="n">
        <v>1</v>
      </c>
      <c r="V21" s="25" t="n">
        <v>0</v>
      </c>
      <c r="W21" s="26">
        <f>IF(B21=C21+D21,"✓","✗")</f>
        <v/>
      </c>
    </row>
    <row r="22">
      <c r="A22" s="21" t="inlineStr">
        <is>
          <t>Total</t>
        </is>
      </c>
      <c r="B22" s="22" t="n">
        <v>369351</v>
      </c>
      <c r="C22" s="22" t="n">
        <v>199338</v>
      </c>
      <c r="D22" s="22" t="n">
        <v>170013</v>
      </c>
      <c r="E22" s="22" t="n">
        <v>253491</v>
      </c>
      <c r="F22" s="22" t="n">
        <v>164034</v>
      </c>
      <c r="G22" s="22" t="n">
        <v>89457</v>
      </c>
      <c r="H22" s="22" t="n">
        <v>229980</v>
      </c>
      <c r="I22" s="22" t="n">
        <v>151691</v>
      </c>
      <c r="J22" s="22" t="n">
        <v>78289</v>
      </c>
      <c r="K22" s="22" t="n">
        <v>104943</v>
      </c>
      <c r="L22" s="22" t="n">
        <v>78357</v>
      </c>
      <c r="M22" s="22" t="n">
        <v>26586</v>
      </c>
      <c r="N22" s="22" t="n">
        <v>120816</v>
      </c>
      <c r="O22" s="22" t="n">
        <v>91736</v>
      </c>
      <c r="P22" s="22" t="n">
        <v>29080</v>
      </c>
      <c r="Q22" s="22" t="n">
        <v>38978</v>
      </c>
      <c r="R22" s="22" t="n">
        <v>31182</v>
      </c>
      <c r="S22" s="22" t="n">
        <v>7796</v>
      </c>
      <c r="T22" s="22" t="n">
        <v>108981</v>
      </c>
      <c r="U22" s="22" t="n">
        <v>92676</v>
      </c>
      <c r="V22" s="22" t="n">
        <v>16305</v>
      </c>
      <c r="W22" s="23">
        <f>IF(B22=C22+D22,"✓","✗")</f>
        <v/>
      </c>
    </row>
    <row r="23">
      <c r="A23" s="24" t="inlineStr">
        <is>
          <t>Total</t>
        </is>
      </c>
      <c r="B23" s="25" t="n">
        <v>369351</v>
      </c>
      <c r="C23" s="25" t="n">
        <v>199338</v>
      </c>
      <c r="D23" s="25" t="n">
        <v>170013</v>
      </c>
      <c r="E23" s="25" t="n">
        <v>253491</v>
      </c>
      <c r="F23" s="25" t="n">
        <v>164034</v>
      </c>
      <c r="G23" s="25" t="n">
        <v>89457</v>
      </c>
      <c r="H23" s="25" t="n">
        <v>229980</v>
      </c>
      <c r="I23" s="25" t="n">
        <v>151691</v>
      </c>
      <c r="J23" s="25" t="n">
        <v>78289</v>
      </c>
      <c r="K23" s="25" t="n">
        <v>104943</v>
      </c>
      <c r="L23" s="25" t="n">
        <v>78357</v>
      </c>
      <c r="M23" s="25" t="n">
        <v>26586</v>
      </c>
      <c r="N23" s="25" t="n">
        <v>120816</v>
      </c>
      <c r="O23" s="25" t="n">
        <v>91736</v>
      </c>
      <c r="P23" s="25" t="n">
        <v>29080</v>
      </c>
      <c r="Q23" s="25" t="n">
        <v>38978</v>
      </c>
      <c r="R23" s="25" t="n">
        <v>31182</v>
      </c>
      <c r="S23" s="25" t="n">
        <v>7796</v>
      </c>
      <c r="T23" s="25" t="n">
        <v>108981</v>
      </c>
      <c r="U23" s="25" t="n">
        <v>92676</v>
      </c>
      <c r="V23" s="25" t="n">
        <v>16305</v>
      </c>
      <c r="W23" s="26">
        <f>IF(B23=C23+D23,"✓","✗")</f>
        <v/>
      </c>
    </row>
    <row r="24">
      <c r="A24" s="27" t="inlineStr">
        <is>
          <t>Verify: Sum</t>
        </is>
      </c>
      <c r="B24" s="28">
        <f>IF(SUM(B6:B23)=B5,"✓",SUM(B6:B23)-B5)</f>
        <v/>
      </c>
      <c r="C24" s="28">
        <f>IF(SUM(C6:C23)=C5,"✓",SUM(C6:C23)-C5)</f>
        <v/>
      </c>
      <c r="D24" s="28">
        <f>IF(SUM(D6:D23)=D5,"✓",SUM(D6:D23)-D5)</f>
        <v/>
      </c>
      <c r="E24" s="28">
        <f>IF(SUM(E6:E23)=E5,"✓",SUM(E6:E23)-E5)</f>
        <v/>
      </c>
      <c r="F24" s="28">
        <f>IF(SUM(F6:F23)=F5,"✓",SUM(F6:F23)-F5)</f>
        <v/>
      </c>
      <c r="G24" s="28">
        <f>IF(SUM(G6:G23)=G5,"✓",SUM(G6:G23)-G5)</f>
        <v/>
      </c>
      <c r="H24" s="28">
        <f>IF(SUM(H6:H23)=H5,"✓",SUM(H6:H23)-H5)</f>
        <v/>
      </c>
      <c r="I24" s="28">
        <f>IF(SUM(I6:I23)=I5,"✓",SUM(I6:I23)-I5)</f>
        <v/>
      </c>
      <c r="J24" s="28">
        <f>IF(SUM(J6:J23)=J5,"✓",SUM(J6:J23)-J5)</f>
        <v/>
      </c>
      <c r="K24" s="28">
        <f>IF(SUM(K6:K23)=K5,"✓",SUM(K6:K23)-K5)</f>
        <v/>
      </c>
      <c r="L24" s="28">
        <f>IF(SUM(L6:L23)=L5,"✓",SUM(L6:L23)-L5)</f>
        <v/>
      </c>
      <c r="M24" s="28">
        <f>IF(SUM(M6:M23)=M5,"✓",SUM(M6:M23)-M5)</f>
        <v/>
      </c>
      <c r="N24" s="28">
        <f>IF(SUM(N6:N23)=N5,"✓",SUM(N6:N23)-N5)</f>
        <v/>
      </c>
      <c r="O24" s="28">
        <f>IF(SUM(O6:O23)=O5,"✓",SUM(O6:O23)-O5)</f>
        <v/>
      </c>
      <c r="P24" s="28">
        <f>IF(SUM(P6:P23)=P5,"✓",SUM(P6:P23)-P5)</f>
        <v/>
      </c>
      <c r="Q24" s="28">
        <f>IF(SUM(Q6:Q23)=Q5,"✓",SUM(Q6:Q23)-Q5)</f>
        <v/>
      </c>
      <c r="R24" s="28">
        <f>IF(SUM(R6:R23)=R5,"✓",SUM(R6:R23)-R5)</f>
        <v/>
      </c>
      <c r="S24" s="28">
        <f>IF(SUM(S6:S23)=S5,"✓",SUM(S6:S23)-S5)</f>
        <v/>
      </c>
      <c r="T24" s="28">
        <f>IF(SUM(T6:T23)=T5,"✓",SUM(T6:T23)-T5)</f>
        <v/>
      </c>
      <c r="U24" s="28">
        <f>IF(SUM(U6:U23)=U5,"✓",SUM(U6:U23)-U5)</f>
        <v/>
      </c>
      <c r="V24" s="28">
        <f>IF(SUM(V6:V23)=V5,"✓",SUM(V6:V23)-V5)</f>
        <v/>
      </c>
    </row>
  </sheetData>
  <mergeCells count="7">
    <mergeCell ref="B3:D3"/>
    <mergeCell ref="T3:V3"/>
    <mergeCell ref="E3:G3"/>
    <mergeCell ref="K3:M3"/>
    <mergeCell ref="H3:J3"/>
    <mergeCell ref="N3:P3"/>
    <mergeCell ref="Q3:S3"/>
  </mergeCells>
  <conditionalFormatting sqref="W5:W24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2026-03-18T03:11:07Z</dcterms:created>
  <dcterms:modified xmlns:dcterms="http://purl.org/dc/terms/" xmlns:xsi="http://www.w3.org/2001/XMLSchema-instance" xsi:type="dcterms:W3CDTF">2026-03-18T03:11:07Z</dcterms:modified>
</cp:coreProperties>
</file>