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TABLE VIII.—CIVIL CONDITION BY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7" customWidth="1" min="23" max="23"/>
  </cols>
  <sheetData>
    <row r="1">
      <c r="A1" s="1" t="inlineStr">
        <is>
          <t>Assam</t>
        </is>
      </c>
    </row>
    <row r="2">
      <c r="A2" s="2" t="inlineStr">
        <is>
          <t>Source: TABLE VIII.—CIVIL CONDITION BY RELIGION AND AGE. PART A.—ALL RELIGIONS—continued.</t>
        </is>
      </c>
    </row>
    <row r="3">
      <c r="A3" s="3" t="inlineStr">
        <is>
          <t>TABLE VIII.—CIVIL CONDITION BY RELIGION AND AGE. PART A.—ALL RELIGIONS—continued.</t>
        </is>
      </c>
    </row>
    <row r="4">
      <c r="A4" s="4" t="inlineStr">
        <is>
          <t>District.</t>
        </is>
      </c>
      <c r="B4" s="5" t="inlineStr">
        <is>
          <t>TOTAL MARRIED.</t>
        </is>
      </c>
      <c r="C4" s="6" t="n"/>
      <c r="D4" s="6" t="n"/>
      <c r="E4" s="7" t="inlineStr">
        <is>
          <t>0-4.</t>
        </is>
      </c>
      <c r="F4" s="8" t="n"/>
      <c r="G4" s="8" t="n"/>
      <c r="H4" s="9" t="inlineStr">
        <is>
          <t>5-9.</t>
        </is>
      </c>
      <c r="I4" s="10" t="n"/>
      <c r="J4" s="10" t="n"/>
      <c r="K4" s="11" t="inlineStr">
        <is>
          <t>10-14.</t>
        </is>
      </c>
      <c r="L4" s="12" t="n"/>
      <c r="M4" s="12" t="n"/>
      <c r="N4" s="13" t="inlineStr">
        <is>
          <t>15-19.</t>
        </is>
      </c>
      <c r="O4" s="14" t="n"/>
      <c r="P4" s="14" t="n"/>
      <c r="Q4" s="5" t="inlineStr">
        <is>
          <t>20-24.</t>
        </is>
      </c>
      <c r="R4" s="6" t="n"/>
      <c r="S4" s="6" t="n"/>
      <c r="T4" s="7" t="inlineStr">
        <is>
          <t>25-29.</t>
        </is>
      </c>
      <c r="U4" s="8" t="n"/>
      <c r="V4" s="8" t="n"/>
      <c r="W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Persons</t>
        </is>
      </c>
      <c r="R5" s="17" t="inlineStr">
        <is>
          <t>Males</t>
        </is>
      </c>
      <c r="S5" s="17" t="inlineStr">
        <is>
          <t>Females</t>
        </is>
      </c>
      <c r="T5" s="17" t="inlineStr">
        <is>
          <t>Persons</t>
        </is>
      </c>
      <c r="U5" s="17" t="inlineStr">
        <is>
          <t>Males</t>
        </is>
      </c>
      <c r="V5" s="17" t="inlineStr">
        <is>
          <t>Females</t>
        </is>
      </c>
      <c r="W5" s="17" t="inlineStr">
        <is>
          <t>M+F=P</t>
        </is>
      </c>
    </row>
    <row r="6">
      <c r="A6" s="18" t="inlineStr">
        <is>
          <t>Total</t>
        </is>
      </c>
      <c r="B6" s="19" t="n">
        <v>1022602</v>
      </c>
      <c r="C6" s="19" t="n">
        <v>507879</v>
      </c>
      <c r="D6" s="19" t="n">
        <v>514723</v>
      </c>
      <c r="E6" s="19" t="n">
        <v>381</v>
      </c>
      <c r="F6" s="19" t="n">
        <v>124</v>
      </c>
      <c r="G6" s="19" t="n">
        <v>257</v>
      </c>
      <c r="H6" s="19" t="n">
        <v>6584</v>
      </c>
      <c r="I6" s="19" t="n">
        <v>462</v>
      </c>
      <c r="J6" s="19" t="n">
        <v>6122</v>
      </c>
      <c r="K6" s="19" t="n">
        <v>59906</v>
      </c>
      <c r="L6" s="19" t="n">
        <v>3024</v>
      </c>
      <c r="M6" s="19" t="n">
        <v>56882</v>
      </c>
      <c r="N6" s="19" t="n">
        <v>111806</v>
      </c>
      <c r="O6" s="19" t="n">
        <v>13572</v>
      </c>
      <c r="P6" s="19" t="n">
        <v>98234</v>
      </c>
      <c r="Q6" s="19" t="n">
        <v>145231</v>
      </c>
      <c r="R6" s="19" t="n">
        <v>41617</v>
      </c>
      <c r="S6" s="19" t="n">
        <v>103614</v>
      </c>
      <c r="T6" s="19" t="n">
        <v>174326</v>
      </c>
      <c r="U6" s="19" t="n">
        <v>80194</v>
      </c>
      <c r="V6" s="19" t="n">
        <v>94132</v>
      </c>
      <c r="W6" s="20">
        <f>IF(B6=C6+D6,"✓","✗")</f>
        <v/>
      </c>
    </row>
    <row r="7">
      <c r="A7" s="21" t="inlineStr">
        <is>
          <t>Cachar Plains</t>
        </is>
      </c>
      <c r="B7" s="22" t="n">
        <v>161848</v>
      </c>
      <c r="C7" s="22" t="n">
        <v>84100</v>
      </c>
      <c r="D7" s="22" t="n">
        <v>77748</v>
      </c>
      <c r="E7" s="22" t="n">
        <v>84</v>
      </c>
      <c r="F7" s="22" t="n">
        <v>27</v>
      </c>
      <c r="G7" s="22" t="n">
        <v>57</v>
      </c>
      <c r="H7" s="22" t="n">
        <v>896</v>
      </c>
      <c r="I7" s="22" t="n">
        <v>135</v>
      </c>
      <c r="J7" s="22" t="n">
        <v>761</v>
      </c>
      <c r="K7" s="22" t="n">
        <v>6148</v>
      </c>
      <c r="L7" s="22" t="n">
        <v>686</v>
      </c>
      <c r="M7" s="22" t="n">
        <v>5462</v>
      </c>
      <c r="N7" s="22" t="n">
        <v>14345</v>
      </c>
      <c r="O7" s="22" t="n">
        <v>2286</v>
      </c>
      <c r="P7" s="22" t="n">
        <v>12059</v>
      </c>
      <c r="Q7" s="22" t="n">
        <v>22442</v>
      </c>
      <c r="R7" s="22" t="n">
        <v>7330</v>
      </c>
      <c r="S7" s="22" t="n">
        <v>15112</v>
      </c>
      <c r="T7" s="22" t="n">
        <v>29245</v>
      </c>
      <c r="U7" s="22" t="n">
        <v>14001</v>
      </c>
      <c r="V7" s="22" t="n">
        <v>15244</v>
      </c>
      <c r="W7" s="23">
        <f>IF(B7=C7+D7,"✓","✗")</f>
        <v/>
      </c>
    </row>
    <row r="8">
      <c r="A8" s="24" t="inlineStr">
        <is>
          <t>Sylhet</t>
        </is>
      </c>
      <c r="B8" s="25" t="n">
        <v>860754</v>
      </c>
      <c r="C8" s="25" t="n">
        <v>423779</v>
      </c>
      <c r="D8" s="25" t="n">
        <v>436975</v>
      </c>
      <c r="E8" s="25" t="n">
        <v>297</v>
      </c>
      <c r="F8" s="25" t="n">
        <v>97</v>
      </c>
      <c r="G8" s="25" t="n">
        <v>200</v>
      </c>
      <c r="H8" s="25" t="n">
        <v>5688</v>
      </c>
      <c r="I8" s="25" t="n">
        <v>327</v>
      </c>
      <c r="J8" s="25" t="n">
        <v>5361</v>
      </c>
      <c r="K8" s="25" t="n">
        <v>53758</v>
      </c>
      <c r="L8" s="25" t="n">
        <v>2338</v>
      </c>
      <c r="M8" s="25" t="n">
        <v>51420</v>
      </c>
      <c r="N8" s="25" t="n">
        <v>97461</v>
      </c>
      <c r="O8" s="25" t="n">
        <v>11286</v>
      </c>
      <c r="P8" s="25" t="n">
        <v>86175</v>
      </c>
      <c r="Q8" s="25" t="n">
        <v>122789</v>
      </c>
      <c r="R8" s="25" t="n">
        <v>34287</v>
      </c>
      <c r="S8" s="25" t="n">
        <v>88502</v>
      </c>
      <c r="T8" s="25" t="n">
        <v>145081</v>
      </c>
      <c r="U8" s="25" t="n">
        <v>66193</v>
      </c>
      <c r="V8" s="25" t="n">
        <v>78888</v>
      </c>
      <c r="W8" s="26">
        <f>IF(B8=C8+D8,"✓","✗")</f>
        <v/>
      </c>
    </row>
    <row r="9">
      <c r="A9" s="21" t="inlineStr">
        <is>
          <t>Total</t>
        </is>
      </c>
      <c r="B9" s="22" t="n">
        <v>2207826</v>
      </c>
      <c r="C9" s="22" t="n">
        <v>1110525</v>
      </c>
      <c r="D9" s="22" t="n">
        <v>1097301</v>
      </c>
      <c r="E9" s="22" t="n">
        <v>726</v>
      </c>
      <c r="F9" s="22" t="n">
        <v>241</v>
      </c>
      <c r="G9" s="22" t="n">
        <v>485</v>
      </c>
      <c r="H9" s="22" t="n">
        <v>11795</v>
      </c>
      <c r="I9" s="22" t="n">
        <v>1125</v>
      </c>
      <c r="J9" s="22" t="n">
        <v>10670</v>
      </c>
      <c r="K9" s="22" t="n">
        <v>91276</v>
      </c>
      <c r="L9" s="22" t="n">
        <v>7594</v>
      </c>
      <c r="M9" s="22" t="n">
        <v>83682</v>
      </c>
      <c r="N9" s="22" t="n">
        <v>198343</v>
      </c>
      <c r="O9" s="22" t="n">
        <v>30546</v>
      </c>
      <c r="P9" s="22" t="n">
        <v>167797</v>
      </c>
      <c r="Q9" s="22" t="n">
        <v>302238</v>
      </c>
      <c r="R9" s="22" t="n">
        <v>91318</v>
      </c>
      <c r="S9" s="22" t="n">
        <v>210920</v>
      </c>
      <c r="T9" s="22" t="n">
        <v>376908</v>
      </c>
      <c r="U9" s="22" t="n">
        <v>170687</v>
      </c>
      <c r="V9" s="22" t="n">
        <v>206221</v>
      </c>
      <c r="W9" s="23">
        <f>IF(B9=C9+D9,"✓","✗")</f>
        <v/>
      </c>
    </row>
    <row r="10">
      <c r="A10" s="24" t="inlineStr">
        <is>
          <t>Goalpara</t>
        </is>
      </c>
      <c r="B10" s="25" t="n">
        <v>195346</v>
      </c>
      <c r="C10" s="25" t="n">
        <v>103366</v>
      </c>
      <c r="D10" s="25" t="n">
        <v>91980</v>
      </c>
      <c r="E10" s="25" t="n">
        <v>49</v>
      </c>
      <c r="F10" s="25" t="n">
        <v>11</v>
      </c>
      <c r="G10" s="25" t="n">
        <v>38</v>
      </c>
      <c r="H10" s="25" t="n">
        <v>2560</v>
      </c>
      <c r="I10" s="25" t="n">
        <v>130</v>
      </c>
      <c r="J10" s="25" t="n">
        <v>2430</v>
      </c>
      <c r="K10" s="25" t="n">
        <v>11555</v>
      </c>
      <c r="L10" s="25" t="n">
        <v>1391</v>
      </c>
      <c r="M10" s="25" t="n">
        <v>10164</v>
      </c>
      <c r="N10" s="25" t="n">
        <v>19750</v>
      </c>
      <c r="O10" s="25" t="n">
        <v>4215</v>
      </c>
      <c r="P10" s="25" t="n">
        <v>15535</v>
      </c>
      <c r="Q10" s="25" t="n">
        <v>24587</v>
      </c>
      <c r="R10" s="25" t="n">
        <v>8918</v>
      </c>
      <c r="S10" s="25" t="n">
        <v>15669</v>
      </c>
      <c r="T10" s="25" t="n">
        <v>31872</v>
      </c>
      <c r="U10" s="25" t="n">
        <v>16027</v>
      </c>
      <c r="V10" s="25" t="n">
        <v>15845</v>
      </c>
      <c r="W10" s="26">
        <f>IF(B10=C10+D10,"✓","✗")</f>
        <v/>
      </c>
    </row>
    <row r="11">
      <c r="A11" s="21" t="inlineStr">
        <is>
          <t>Kamrup</t>
        </is>
      </c>
      <c r="B11" s="22" t="n">
        <v>250748</v>
      </c>
      <c r="C11" s="22" t="n">
        <v>125567</v>
      </c>
      <c r="D11" s="22" t="n">
        <v>125181</v>
      </c>
      <c r="E11" s="22" t="n">
        <v>94</v>
      </c>
      <c r="F11" s="22" t="n">
        <v>31</v>
      </c>
      <c r="G11" s="22" t="n">
        <v>63</v>
      </c>
      <c r="H11" s="22" t="n">
        <v>1118</v>
      </c>
      <c r="I11" s="22" t="n">
        <v>188</v>
      </c>
      <c r="J11" s="22" t="n">
        <v>930</v>
      </c>
      <c r="K11" s="22" t="n">
        <v>8192</v>
      </c>
      <c r="L11" s="22" t="n">
        <v>1117</v>
      </c>
      <c r="M11" s="22" t="n">
        <v>7075</v>
      </c>
      <c r="N11" s="22" t="n">
        <v>20607</v>
      </c>
      <c r="O11" s="22" t="n">
        <v>3674</v>
      </c>
      <c r="P11" s="22" t="n">
        <v>16933</v>
      </c>
      <c r="Q11" s="22" t="n">
        <v>33426</v>
      </c>
      <c r="R11" s="22" t="n">
        <v>10195</v>
      </c>
      <c r="S11" s="22" t="n">
        <v>23231</v>
      </c>
      <c r="T11" s="22" t="n">
        <v>42388</v>
      </c>
      <c r="U11" s="22" t="n">
        <v>18779</v>
      </c>
      <c r="V11" s="22" t="n">
        <v>23609</v>
      </c>
      <c r="W11" s="23">
        <f>IF(B11=C11+D11,"✓","✗")</f>
        <v/>
      </c>
    </row>
    <row r="12">
      <c r="A12" s="24" t="inlineStr">
        <is>
          <t>Darrang</t>
        </is>
      </c>
      <c r="B12" s="25" t="n">
        <v>127419</v>
      </c>
      <c r="C12" s="25" t="n">
        <v>65517</v>
      </c>
      <c r="D12" s="25" t="n">
        <v>61902</v>
      </c>
      <c r="E12" s="25" t="n">
        <v>39</v>
      </c>
      <c r="F12" s="25" t="n">
        <v>19</v>
      </c>
      <c r="G12" s="25" t="n">
        <v>20</v>
      </c>
      <c r="H12" s="25" t="n">
        <v>443</v>
      </c>
      <c r="I12" s="25" t="n">
        <v>100</v>
      </c>
      <c r="J12" s="25" t="n">
        <v>343</v>
      </c>
      <c r="K12" s="25" t="n">
        <v>2892</v>
      </c>
      <c r="L12" s="25" t="n">
        <v>554</v>
      </c>
      <c r="M12" s="25" t="n">
        <v>2338</v>
      </c>
      <c r="N12" s="25" t="n">
        <v>8102</v>
      </c>
      <c r="O12" s="25" t="n">
        <v>1595</v>
      </c>
      <c r="P12" s="25" t="n">
        <v>6507</v>
      </c>
      <c r="Q12" s="25" t="n">
        <v>16649</v>
      </c>
      <c r="R12" s="25" t="n">
        <v>5301</v>
      </c>
      <c r="S12" s="25" t="n">
        <v>11348</v>
      </c>
      <c r="T12" s="25" t="n">
        <v>20848</v>
      </c>
      <c r="U12" s="25" t="n">
        <v>9203</v>
      </c>
      <c r="V12" s="25" t="n">
        <v>11645</v>
      </c>
      <c r="W12" s="26">
        <f>IF(B12=C12+D12,"✓","✗")</f>
        <v/>
      </c>
    </row>
    <row r="13">
      <c r="A13" s="21" t="inlineStr">
        <is>
          <t>Nowgong</t>
        </is>
      </c>
      <c r="B13" s="22" t="n">
        <v>129696</v>
      </c>
      <c r="C13" s="22" t="n">
        <v>65426</v>
      </c>
      <c r="D13" s="22" t="n">
        <v>64270</v>
      </c>
      <c r="E13" s="22" t="n">
        <v>31</v>
      </c>
      <c r="F13" s="22" t="n">
        <v>15</v>
      </c>
      <c r="G13" s="22" t="n">
        <v>16</v>
      </c>
      <c r="H13" s="22" t="n">
        <v>159</v>
      </c>
      <c r="I13" s="22" t="n">
        <v>55</v>
      </c>
      <c r="J13" s="22" t="n">
        <v>104</v>
      </c>
      <c r="K13" s="22" t="n">
        <v>1554</v>
      </c>
      <c r="L13" s="22" t="n">
        <v>284</v>
      </c>
      <c r="M13" s="22" t="n">
        <v>1270</v>
      </c>
      <c r="N13" s="22" t="n">
        <v>7301</v>
      </c>
      <c r="O13" s="22" t="n">
        <v>1352</v>
      </c>
      <c r="P13" s="22" t="n">
        <v>5949</v>
      </c>
      <c r="Q13" s="22" t="n">
        <v>16223</v>
      </c>
      <c r="R13" s="22" t="n">
        <v>4582</v>
      </c>
      <c r="S13" s="22" t="n">
        <v>11641</v>
      </c>
      <c r="T13" s="22" t="n">
        <v>20627</v>
      </c>
      <c r="U13" s="22" t="n">
        <v>8374</v>
      </c>
      <c r="V13" s="22" t="n">
        <v>12253</v>
      </c>
      <c r="W13" s="23">
        <f>IF(B13=C13+D13,"✓","✗")</f>
        <v/>
      </c>
    </row>
    <row r="14">
      <c r="A14" s="24" t="inlineStr">
        <is>
          <t>Sibsagar</t>
        </is>
      </c>
      <c r="B14" s="25" t="n">
        <v>179162</v>
      </c>
      <c r="C14" s="25" t="n">
        <v>90819</v>
      </c>
      <c r="D14" s="25" t="n">
        <v>88343</v>
      </c>
      <c r="E14" s="25" t="n">
        <v>26</v>
      </c>
      <c r="F14" s="25" t="n">
        <v>7</v>
      </c>
      <c r="G14" s="25" t="n">
        <v>19</v>
      </c>
      <c r="H14" s="25" t="n">
        <v>286</v>
      </c>
      <c r="I14" s="25" t="n">
        <v>75</v>
      </c>
      <c r="J14" s="25" t="n">
        <v>211</v>
      </c>
      <c r="K14" s="25" t="n">
        <v>2296</v>
      </c>
      <c r="L14" s="25" t="n">
        <v>415</v>
      </c>
      <c r="M14" s="25" t="n">
        <v>1881</v>
      </c>
      <c r="N14" s="25" t="n">
        <v>10158</v>
      </c>
      <c r="O14" s="25" t="n">
        <v>1622</v>
      </c>
      <c r="P14" s="25" t="n">
        <v>8536</v>
      </c>
      <c r="Q14" s="25" t="n">
        <v>26256</v>
      </c>
      <c r="R14" s="25" t="n">
        <v>7374</v>
      </c>
      <c r="S14" s="25" t="n">
        <v>18882</v>
      </c>
      <c r="T14" s="25" t="n">
        <v>31641</v>
      </c>
      <c r="U14" s="25" t="n">
        <v>13429</v>
      </c>
      <c r="V14" s="25" t="n">
        <v>18212</v>
      </c>
      <c r="W14" s="26">
        <f>IF(B14=C14+D14,"✓","✗")</f>
        <v/>
      </c>
    </row>
    <row r="15">
      <c r="A15" s="21" t="inlineStr">
        <is>
          <t>Lakhimpur</t>
        </is>
      </c>
      <c r="B15" s="22" t="n">
        <v>104776</v>
      </c>
      <c r="C15" s="22" t="n">
        <v>54822</v>
      </c>
      <c r="D15" s="22" t="n">
        <v>49954</v>
      </c>
      <c r="E15" s="22" t="n">
        <v>8</v>
      </c>
      <c r="F15" s="22" t="n">
        <v>3</v>
      </c>
      <c r="G15" s="22" t="n">
        <v>5</v>
      </c>
      <c r="H15" s="22" t="n">
        <v>108</v>
      </c>
      <c r="I15" s="22" t="n">
        <v>25</v>
      </c>
      <c r="J15" s="22" t="n">
        <v>83</v>
      </c>
      <c r="K15" s="22" t="n">
        <v>1381</v>
      </c>
      <c r="L15" s="22" t="n">
        <v>249</v>
      </c>
      <c r="M15" s="22" t="n">
        <v>1132</v>
      </c>
      <c r="N15" s="22" t="n">
        <v>6261</v>
      </c>
      <c r="O15" s="22" t="n">
        <v>1249</v>
      </c>
      <c r="P15" s="22" t="n">
        <v>5012</v>
      </c>
      <c r="Q15" s="22" t="n">
        <v>15611</v>
      </c>
      <c r="R15" s="22" t="n">
        <v>5061</v>
      </c>
      <c r="S15" s="22" t="n">
        <v>10550</v>
      </c>
      <c r="T15" s="22" t="n">
        <v>21886</v>
      </c>
      <c r="U15" s="22" t="n">
        <v>10095</v>
      </c>
      <c r="V15" s="22" t="n">
        <v>11791</v>
      </c>
      <c r="W15" s="23">
        <f>IF(B15=C15+D15,"✓","✗")</f>
        <v/>
      </c>
    </row>
    <row r="16">
      <c r="A16" s="24" t="inlineStr">
        <is>
          <t>Total</t>
        </is>
      </c>
      <c r="B16" s="25" t="n">
        <v>2207826</v>
      </c>
      <c r="C16" s="25" t="n">
        <v>1110525</v>
      </c>
      <c r="D16" s="25" t="n">
        <v>1097301</v>
      </c>
      <c r="E16" s="25" t="n">
        <v>726</v>
      </c>
      <c r="F16" s="25" t="n">
        <v>241</v>
      </c>
      <c r="G16" s="25" t="n">
        <v>485</v>
      </c>
      <c r="H16" s="25" t="n">
        <v>11795</v>
      </c>
      <c r="I16" s="25" t="n">
        <v>1125</v>
      </c>
      <c r="J16" s="25" t="n">
        <v>10670</v>
      </c>
      <c r="K16" s="25" t="n">
        <v>91276</v>
      </c>
      <c r="L16" s="25" t="n">
        <v>7594</v>
      </c>
      <c r="M16" s="25" t="n">
        <v>83682</v>
      </c>
      <c r="N16" s="25" t="n">
        <v>198343</v>
      </c>
      <c r="O16" s="25" t="n">
        <v>30546</v>
      </c>
      <c r="P16" s="25" t="n">
        <v>167797</v>
      </c>
      <c r="Q16" s="25" t="n">
        <v>302238</v>
      </c>
      <c r="R16" s="25" t="n">
        <v>91318</v>
      </c>
      <c r="S16" s="25" t="n">
        <v>210920</v>
      </c>
      <c r="T16" s="25" t="n">
        <v>376908</v>
      </c>
      <c r="U16" s="25" t="n">
        <v>170687</v>
      </c>
      <c r="V16" s="25" t="n">
        <v>206221</v>
      </c>
      <c r="W16" s="26">
        <f>IF(B16=C16+D16,"✓","✗")</f>
        <v/>
      </c>
    </row>
    <row r="17">
      <c r="A17" s="21" t="inlineStr">
        <is>
          <t>Total</t>
        </is>
      </c>
      <c r="B17" s="22" t="n">
        <v>2207826</v>
      </c>
      <c r="C17" s="22" t="n">
        <v>1110525</v>
      </c>
      <c r="D17" s="22" t="n">
        <v>1097301</v>
      </c>
      <c r="E17" s="22" t="n">
        <v>726</v>
      </c>
      <c r="F17" s="22" t="n">
        <v>241</v>
      </c>
      <c r="G17" s="22" t="n">
        <v>485</v>
      </c>
      <c r="H17" s="22" t="n">
        <v>11795</v>
      </c>
      <c r="I17" s="22" t="n">
        <v>1125</v>
      </c>
      <c r="J17" s="22" t="n">
        <v>10670</v>
      </c>
      <c r="K17" s="22" t="n">
        <v>91276</v>
      </c>
      <c r="L17" s="22" t="n">
        <v>7594</v>
      </c>
      <c r="M17" s="22" t="n">
        <v>83682</v>
      </c>
      <c r="N17" s="22" t="n">
        <v>198343</v>
      </c>
      <c r="O17" s="22" t="n">
        <v>30546</v>
      </c>
      <c r="P17" s="22" t="n">
        <v>167797</v>
      </c>
      <c r="Q17" s="22" t="n">
        <v>302238</v>
      </c>
      <c r="R17" s="22" t="n">
        <v>91318</v>
      </c>
      <c r="S17" s="22" t="n">
        <v>210920</v>
      </c>
      <c r="T17" s="22" t="n">
        <v>376908</v>
      </c>
      <c r="U17" s="22" t="n">
        <v>170687</v>
      </c>
      <c r="V17" s="22" t="n">
        <v>206221</v>
      </c>
      <c r="W17" s="23">
        <f>IF(B17=C17+D17,"✓","✗")</f>
        <v/>
      </c>
    </row>
    <row r="18">
      <c r="A18" s="24" t="inlineStr">
        <is>
          <t>North Cachar</t>
        </is>
      </c>
      <c r="B18" s="25" t="n">
        <v>6888</v>
      </c>
      <c r="C18" s="25" t="n">
        <v>3499</v>
      </c>
      <c r="D18" s="25" t="n">
        <v>3389</v>
      </c>
      <c r="E18" s="25" t="n">
        <v>1</v>
      </c>
      <c r="F18" s="25" t="n">
        <v>1</v>
      </c>
      <c r="G18" s="25" t="n">
        <v>0</v>
      </c>
      <c r="H18" s="25" t="n">
        <v>2</v>
      </c>
      <c r="I18" s="25" t="n">
        <v>0</v>
      </c>
      <c r="J18" s="25" t="n">
        <v>2</v>
      </c>
      <c r="K18" s="25" t="n">
        <v>40</v>
      </c>
      <c r="L18" s="25" t="n">
        <v>10</v>
      </c>
      <c r="M18" s="25" t="n">
        <v>30</v>
      </c>
      <c r="N18" s="25" t="n">
        <v>399</v>
      </c>
      <c r="O18" s="25" t="n">
        <v>51</v>
      </c>
      <c r="P18" s="25" t="n">
        <v>348</v>
      </c>
      <c r="Q18" s="25" t="n">
        <v>818</v>
      </c>
      <c r="R18" s="25" t="n">
        <v>239</v>
      </c>
      <c r="S18" s="25" t="n">
        <v>579</v>
      </c>
      <c r="T18" s="25" t="n">
        <v>1281</v>
      </c>
      <c r="U18" s="25" t="n">
        <v>516</v>
      </c>
      <c r="V18" s="25" t="n">
        <v>765</v>
      </c>
      <c r="W18" s="26">
        <f>IF(B18=C18+D18,"✓","✗")</f>
        <v/>
      </c>
    </row>
    <row r="19">
      <c r="A19" s="21" t="inlineStr">
        <is>
          <t>Naga Hills</t>
        </is>
      </c>
      <c r="B19" s="22" t="n">
        <v>54762</v>
      </c>
      <c r="C19" s="22" t="n">
        <v>27501</v>
      </c>
      <c r="D19" s="22" t="n">
        <v>27261</v>
      </c>
      <c r="E19" s="22" t="n">
        <v>41</v>
      </c>
      <c r="F19" s="22" t="n">
        <v>15</v>
      </c>
      <c r="G19" s="22" t="n">
        <v>26</v>
      </c>
      <c r="H19" s="22" t="n">
        <v>78</v>
      </c>
      <c r="I19" s="22" t="n">
        <v>26</v>
      </c>
      <c r="J19" s="22" t="n">
        <v>52</v>
      </c>
      <c r="K19" s="22" t="n">
        <v>621</v>
      </c>
      <c r="L19" s="22" t="n">
        <v>95</v>
      </c>
      <c r="M19" s="22" t="n">
        <v>526</v>
      </c>
      <c r="N19" s="22" t="n">
        <v>3111</v>
      </c>
      <c r="O19" s="22" t="n">
        <v>583</v>
      </c>
      <c r="P19" s="22" t="n">
        <v>2528</v>
      </c>
      <c r="Q19" s="22" t="n">
        <v>5594</v>
      </c>
      <c r="R19" s="22" t="n">
        <v>1765</v>
      </c>
      <c r="S19" s="22" t="n">
        <v>3829</v>
      </c>
      <c r="T19" s="22" t="n">
        <v>9424</v>
      </c>
      <c r="U19" s="22" t="n">
        <v>4049</v>
      </c>
      <c r="V19" s="22" t="n">
        <v>5375</v>
      </c>
      <c r="W19" s="23">
        <f>IF(B19=C19+D19,"✓","✗")</f>
        <v/>
      </c>
    </row>
    <row r="20">
      <c r="A20" s="24" t="inlineStr">
        <is>
          <t>Khasi and Jaintia Hills</t>
        </is>
      </c>
      <c r="B20" s="25" t="n">
        <v>78478</v>
      </c>
      <c r="C20" s="25" t="n">
        <v>37638</v>
      </c>
      <c r="D20" s="25" t="n">
        <v>40840</v>
      </c>
      <c r="E20" s="25" t="n">
        <v>32</v>
      </c>
      <c r="F20" s="25" t="n">
        <v>10</v>
      </c>
      <c r="G20" s="25" t="n">
        <v>22</v>
      </c>
      <c r="H20" s="25" t="n">
        <v>94</v>
      </c>
      <c r="I20" s="25" t="n">
        <v>33</v>
      </c>
      <c r="J20" s="25" t="n">
        <v>61</v>
      </c>
      <c r="K20" s="25" t="n">
        <v>960</v>
      </c>
      <c r="L20" s="25" t="n">
        <v>192</v>
      </c>
      <c r="M20" s="25" t="n">
        <v>768</v>
      </c>
      <c r="N20" s="25" t="n">
        <v>6189</v>
      </c>
      <c r="O20" s="25" t="n">
        <v>1565</v>
      </c>
      <c r="P20" s="25" t="n">
        <v>4624</v>
      </c>
      <c r="Q20" s="25" t="n">
        <v>10928</v>
      </c>
      <c r="R20" s="25" t="n">
        <v>3954</v>
      </c>
      <c r="S20" s="25" t="n">
        <v>6974</v>
      </c>
      <c r="T20" s="25" t="n">
        <v>12666</v>
      </c>
      <c r="U20" s="25" t="n">
        <v>5576</v>
      </c>
      <c r="V20" s="25" t="n">
        <v>7090</v>
      </c>
      <c r="W20" s="26">
        <f>IF(B20=C20+D20,"✓","✗")</f>
        <v/>
      </c>
    </row>
    <row r="21">
      <c r="A21" s="21" t="inlineStr">
        <is>
          <t>Garo Hills</t>
        </is>
      </c>
      <c r="B21" s="22" t="n">
        <v>57028</v>
      </c>
      <c r="C21" s="22" t="n">
        <v>27570</v>
      </c>
      <c r="D21" s="22" t="n">
        <v>29458</v>
      </c>
      <c r="E21" s="22" t="n">
        <v>24</v>
      </c>
      <c r="F21" s="22" t="n">
        <v>5</v>
      </c>
      <c r="G21" s="22" t="n">
        <v>19</v>
      </c>
      <c r="H21" s="22" t="n">
        <v>363</v>
      </c>
      <c r="I21" s="22" t="n">
        <v>31</v>
      </c>
      <c r="J21" s="22" t="n">
        <v>332</v>
      </c>
      <c r="K21" s="22" t="n">
        <v>1879</v>
      </c>
      <c r="L21" s="22" t="n">
        <v>263</v>
      </c>
      <c r="M21" s="22" t="n">
        <v>1616</v>
      </c>
      <c r="N21" s="22" t="n">
        <v>4634</v>
      </c>
      <c r="O21" s="22" t="n">
        <v>1043</v>
      </c>
      <c r="P21" s="22" t="n">
        <v>3591</v>
      </c>
      <c r="Q21" s="22" t="n">
        <v>6772</v>
      </c>
      <c r="R21" s="22" t="n">
        <v>2169</v>
      </c>
      <c r="S21" s="22" t="n">
        <v>4603</v>
      </c>
      <c r="T21" s="22" t="n">
        <v>9680</v>
      </c>
      <c r="U21" s="22" t="n">
        <v>4176</v>
      </c>
      <c r="V21" s="22" t="n">
        <v>5504</v>
      </c>
      <c r="W21" s="23">
        <f>IF(B21=C21+D21,"✓","✗")</f>
        <v/>
      </c>
    </row>
    <row r="22">
      <c r="A22" s="24" t="inlineStr">
        <is>
          <t>North Lushai (Civil and Military).</t>
        </is>
      </c>
      <c r="B22" s="25" t="n">
        <v>921</v>
      </c>
      <c r="C22" s="25" t="n">
        <v>921</v>
      </c>
      <c r="D22" s="25" t="n">
        <v>0</v>
      </c>
      <c r="E22" s="25" t="n">
        <v>0</v>
      </c>
      <c r="F22" s="25" t="n">
        <v>0</v>
      </c>
      <c r="G22" s="25" t="n">
        <v>0</v>
      </c>
      <c r="H22" s="25" t="n">
        <v>0</v>
      </c>
      <c r="I22" s="25" t="n">
        <v>0</v>
      </c>
      <c r="J22" s="25" t="n">
        <v>0</v>
      </c>
      <c r="K22" s="25" t="n">
        <v>0</v>
      </c>
      <c r="L22" s="25" t="n">
        <v>0</v>
      </c>
      <c r="M22" s="25" t="n">
        <v>0</v>
      </c>
      <c r="N22" s="25" t="n">
        <v>25</v>
      </c>
      <c r="O22" s="25" t="n">
        <v>25</v>
      </c>
      <c r="P22" s="25" t="n">
        <v>0</v>
      </c>
      <c r="Q22" s="25" t="n">
        <v>143</v>
      </c>
      <c r="R22" s="25" t="n">
        <v>143</v>
      </c>
      <c r="S22" s="25" t="n">
        <v>0</v>
      </c>
      <c r="T22" s="25" t="n">
        <v>269</v>
      </c>
      <c r="U22" s="25" t="n">
        <v>269</v>
      </c>
      <c r="V22" s="25" t="n">
        <v>0</v>
      </c>
      <c r="W22" s="26">
        <f>IF(B22=C22+D22,"✓","✗")</f>
        <v/>
      </c>
    </row>
    <row r="23">
      <c r="A23" s="21" t="inlineStr">
        <is>
          <t>Total</t>
        </is>
      </c>
      <c r="B23" s="22" t="n">
        <v>2207826</v>
      </c>
      <c r="C23" s="22" t="n">
        <v>1110525</v>
      </c>
      <c r="D23" s="22" t="n">
        <v>1097301</v>
      </c>
      <c r="E23" s="22" t="n">
        <v>726</v>
      </c>
      <c r="F23" s="22" t="n">
        <v>241</v>
      </c>
      <c r="G23" s="22" t="n">
        <v>485</v>
      </c>
      <c r="H23" s="22" t="n">
        <v>11795</v>
      </c>
      <c r="I23" s="22" t="n">
        <v>1125</v>
      </c>
      <c r="J23" s="22" t="n">
        <v>10670</v>
      </c>
      <c r="K23" s="22" t="n">
        <v>91276</v>
      </c>
      <c r="L23" s="22" t="n">
        <v>7594</v>
      </c>
      <c r="M23" s="22" t="n">
        <v>83682</v>
      </c>
      <c r="N23" s="22" t="n">
        <v>198343</v>
      </c>
      <c r="O23" s="22" t="n">
        <v>30546</v>
      </c>
      <c r="P23" s="22" t="n">
        <v>167797</v>
      </c>
      <c r="Q23" s="22" t="n">
        <v>302238</v>
      </c>
      <c r="R23" s="22" t="n">
        <v>91318</v>
      </c>
      <c r="S23" s="22" t="n">
        <v>210920</v>
      </c>
      <c r="T23" s="22" t="n">
        <v>376908</v>
      </c>
      <c r="U23" s="22" t="n">
        <v>170687</v>
      </c>
      <c r="V23" s="22" t="n">
        <v>206221</v>
      </c>
      <c r="W23" s="23">
        <f>IF(B23=C23+D23,"✓","✗")</f>
        <v/>
      </c>
    </row>
    <row r="24">
      <c r="A24" s="24" t="inlineStr">
        <is>
          <t>Total</t>
        </is>
      </c>
      <c r="B24" s="25" t="n">
        <v>2207826</v>
      </c>
      <c r="C24" s="25" t="n">
        <v>1110525</v>
      </c>
      <c r="D24" s="25" t="n">
        <v>1097301</v>
      </c>
      <c r="E24" s="25" t="n">
        <v>726</v>
      </c>
      <c r="F24" s="25" t="n">
        <v>241</v>
      </c>
      <c r="G24" s="25" t="n">
        <v>485</v>
      </c>
      <c r="H24" s="25" t="n">
        <v>11795</v>
      </c>
      <c r="I24" s="25" t="n">
        <v>1125</v>
      </c>
      <c r="J24" s="25" t="n">
        <v>10670</v>
      </c>
      <c r="K24" s="25" t="n">
        <v>91276</v>
      </c>
      <c r="L24" s="25" t="n">
        <v>7594</v>
      </c>
      <c r="M24" s="25" t="n">
        <v>83682</v>
      </c>
      <c r="N24" s="25" t="n">
        <v>198343</v>
      </c>
      <c r="O24" s="25" t="n">
        <v>30546</v>
      </c>
      <c r="P24" s="25" t="n">
        <v>167797</v>
      </c>
      <c r="Q24" s="25" t="n">
        <v>302238</v>
      </c>
      <c r="R24" s="25" t="n">
        <v>91318</v>
      </c>
      <c r="S24" s="25" t="n">
        <v>210920</v>
      </c>
      <c r="T24" s="25" t="n">
        <v>376908</v>
      </c>
      <c r="U24" s="25" t="n">
        <v>170687</v>
      </c>
      <c r="V24" s="25" t="n">
        <v>206221</v>
      </c>
      <c r="W24" s="26">
        <f>IF(B24=C24+D24,"✓","✗")</f>
        <v/>
      </c>
    </row>
    <row r="25">
      <c r="A25" s="27" t="inlineStr">
        <is>
          <t>Verify: Sum</t>
        </is>
      </c>
      <c r="B25" s="28">
        <f>IF(SUM(B7:B24)=B6,"✓",SUM(B7:B24)-B6)</f>
        <v/>
      </c>
      <c r="C25" s="28">
        <f>IF(SUM(C7:C24)=C6,"✓",SUM(C7:C24)-C6)</f>
        <v/>
      </c>
      <c r="D25" s="28">
        <f>IF(SUM(D7:D24)=D6,"✓",SUM(D7:D24)-D6)</f>
        <v/>
      </c>
      <c r="E25" s="28">
        <f>IF(SUM(E7:E24)=E6,"✓",SUM(E7:E24)-E6)</f>
        <v/>
      </c>
      <c r="F25" s="28">
        <f>IF(SUM(F7:F24)=F6,"✓",SUM(F7:F24)-F6)</f>
        <v/>
      </c>
      <c r="G25" s="28">
        <f>IF(SUM(G7:G24)=G6,"✓",SUM(G7:G24)-G6)</f>
        <v/>
      </c>
      <c r="H25" s="28">
        <f>IF(SUM(H7:H24)=H6,"✓",SUM(H7:H24)-H6)</f>
        <v/>
      </c>
      <c r="I25" s="28">
        <f>IF(SUM(I7:I24)=I6,"✓",SUM(I7:I24)-I6)</f>
        <v/>
      </c>
      <c r="J25" s="28">
        <f>IF(SUM(J7:J24)=J6,"✓",SUM(J7:J24)-J6)</f>
        <v/>
      </c>
      <c r="K25" s="28">
        <f>IF(SUM(K7:K24)=K6,"✓",SUM(K7:K24)-K6)</f>
        <v/>
      </c>
      <c r="L25" s="28">
        <f>IF(SUM(L7:L24)=L6,"✓",SUM(L7:L24)-L6)</f>
        <v/>
      </c>
      <c r="M25" s="28">
        <f>IF(SUM(M7:M24)=M6,"✓",SUM(M7:M24)-M6)</f>
        <v/>
      </c>
      <c r="N25" s="28">
        <f>IF(SUM(N7:N24)=N6,"✓",SUM(N7:N24)-N6)</f>
        <v/>
      </c>
      <c r="O25" s="28">
        <f>IF(SUM(O7:O24)=O6,"✓",SUM(O7:O24)-O6)</f>
        <v/>
      </c>
      <c r="P25" s="28">
        <f>IF(SUM(P7:P24)=P6,"✓",SUM(P7:P24)-P6)</f>
        <v/>
      </c>
      <c r="Q25" s="28">
        <f>IF(SUM(Q7:Q24)=Q6,"✓",SUM(Q7:Q24)-Q6)</f>
        <v/>
      </c>
      <c r="R25" s="28">
        <f>IF(SUM(R7:R24)=R6,"✓",SUM(R7:R24)-R6)</f>
        <v/>
      </c>
      <c r="S25" s="28">
        <f>IF(SUM(S7:S24)=S6,"✓",SUM(S7:S24)-S6)</f>
        <v/>
      </c>
      <c r="T25" s="28">
        <f>IF(SUM(T7:T24)=T6,"✓",SUM(T7:T24)-T6)</f>
        <v/>
      </c>
      <c r="U25" s="28">
        <f>IF(SUM(U7:U24)=U6,"✓",SUM(U7:U24)-U6)</f>
        <v/>
      </c>
      <c r="V25" s="28">
        <f>IF(SUM(V7:V24)=V6,"✓",SUM(V7:V24)-V6)</f>
        <v/>
      </c>
    </row>
  </sheetData>
  <mergeCells count="7">
    <mergeCell ref="K4:M4"/>
    <mergeCell ref="B4:D4"/>
    <mergeCell ref="H4:J4"/>
    <mergeCell ref="Q4:S4"/>
    <mergeCell ref="T4:V4"/>
    <mergeCell ref="E4:G4"/>
    <mergeCell ref="N4:P4"/>
  </mergeCells>
  <conditionalFormatting sqref="W6:W25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7" customWidth="1" min="23" max="23"/>
  </cols>
  <sheetData>
    <row r="1">
      <c r="A1" s="29" t="inlineStr">
        <is>
          <t>Assam</t>
        </is>
      </c>
    </row>
    <row r="2">
      <c r="A2" s="3" t="inlineStr">
        <is>
          <t>TABLE VIII.—CIVIL CONDITION BY RELIGION AND AGE. PART A.—ALL RELIGIONS—continued.</t>
        </is>
      </c>
    </row>
    <row r="3">
      <c r="A3" s="4" t="inlineStr">
        <is>
          <t>District.</t>
        </is>
      </c>
      <c r="B3" s="5" t="inlineStr">
        <is>
          <t>TOTAL MARRIED.</t>
        </is>
      </c>
      <c r="C3" s="6" t="n"/>
      <c r="D3" s="6" t="n"/>
      <c r="E3" s="7" t="inlineStr">
        <is>
          <t>0-4.</t>
        </is>
      </c>
      <c r="F3" s="8" t="n"/>
      <c r="G3" s="8" t="n"/>
      <c r="H3" s="9" t="inlineStr">
        <is>
          <t>5-9.</t>
        </is>
      </c>
      <c r="I3" s="10" t="n"/>
      <c r="J3" s="10" t="n"/>
      <c r="K3" s="11" t="inlineStr">
        <is>
          <t>10-14.</t>
        </is>
      </c>
      <c r="L3" s="12" t="n"/>
      <c r="M3" s="12" t="n"/>
      <c r="N3" s="13" t="inlineStr">
        <is>
          <t>15-19.</t>
        </is>
      </c>
      <c r="O3" s="14" t="n"/>
      <c r="P3" s="14" t="n"/>
      <c r="Q3" s="5" t="inlineStr">
        <is>
          <t>20-24.</t>
        </is>
      </c>
      <c r="R3" s="6" t="n"/>
      <c r="S3" s="6" t="n"/>
      <c r="T3" s="7" t="inlineStr">
        <is>
          <t>25-29.</t>
        </is>
      </c>
      <c r="U3" s="8" t="n"/>
      <c r="V3" s="8" t="n"/>
      <c r="W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Persons</t>
        </is>
      </c>
      <c r="R4" s="17" t="inlineStr">
        <is>
          <t>Males</t>
        </is>
      </c>
      <c r="S4" s="17" t="inlineStr">
        <is>
          <t>Females</t>
        </is>
      </c>
      <c r="T4" s="17" t="inlineStr">
        <is>
          <t>Persons</t>
        </is>
      </c>
      <c r="U4" s="17" t="inlineStr">
        <is>
          <t>Males</t>
        </is>
      </c>
      <c r="V4" s="17" t="inlineStr">
        <is>
          <t>Females</t>
        </is>
      </c>
      <c r="W4" s="17" t="inlineStr">
        <is>
          <t>M+F=P</t>
        </is>
      </c>
    </row>
    <row r="5">
      <c r="A5" s="18" t="inlineStr">
        <is>
          <t>Total</t>
        </is>
      </c>
      <c r="B5" s="19" t="n">
        <v>1022602</v>
      </c>
      <c r="C5" s="19" t="n">
        <v>507879</v>
      </c>
      <c r="D5" s="19" t="n">
        <v>514723</v>
      </c>
      <c r="E5" s="19" t="n">
        <v>381</v>
      </c>
      <c r="F5" s="19" t="n">
        <v>124</v>
      </c>
      <c r="G5" s="19" t="n">
        <v>257</v>
      </c>
      <c r="H5" s="19" t="n">
        <v>6584</v>
      </c>
      <c r="I5" s="19" t="n">
        <v>462</v>
      </c>
      <c r="J5" s="19" t="n">
        <v>6122</v>
      </c>
      <c r="K5" s="19" t="n">
        <v>59906</v>
      </c>
      <c r="L5" s="19" t="n">
        <v>3024</v>
      </c>
      <c r="M5" s="19" t="n">
        <v>56882</v>
      </c>
      <c r="N5" s="19" t="n">
        <v>111806</v>
      </c>
      <c r="O5" s="19" t="n">
        <v>13572</v>
      </c>
      <c r="P5" s="19" t="n">
        <v>98234</v>
      </c>
      <c r="Q5" s="19" t="n">
        <v>145231</v>
      </c>
      <c r="R5" s="19" t="n">
        <v>41617</v>
      </c>
      <c r="S5" s="19" t="n">
        <v>103614</v>
      </c>
      <c r="T5" s="19" t="n">
        <v>174326</v>
      </c>
      <c r="U5" s="19" t="n">
        <v>80194</v>
      </c>
      <c r="V5" s="19" t="n">
        <v>94132</v>
      </c>
      <c r="W5" s="20">
        <f>IF(B5=C5+D5,"✓","✗")</f>
        <v/>
      </c>
    </row>
    <row r="6">
      <c r="A6" s="21" t="inlineStr">
        <is>
          <t>Cachar Plains</t>
        </is>
      </c>
      <c r="B6" s="22" t="n">
        <v>161848</v>
      </c>
      <c r="C6" s="22" t="n">
        <v>84100</v>
      </c>
      <c r="D6" s="22" t="n">
        <v>77748</v>
      </c>
      <c r="E6" s="22" t="n">
        <v>84</v>
      </c>
      <c r="F6" s="22" t="n">
        <v>27</v>
      </c>
      <c r="G6" s="22" t="n">
        <v>57</v>
      </c>
      <c r="H6" s="22" t="n">
        <v>896</v>
      </c>
      <c r="I6" s="22" t="n">
        <v>135</v>
      </c>
      <c r="J6" s="22" t="n">
        <v>761</v>
      </c>
      <c r="K6" s="22" t="n">
        <v>6148</v>
      </c>
      <c r="L6" s="22" t="n">
        <v>686</v>
      </c>
      <c r="M6" s="22" t="n">
        <v>5462</v>
      </c>
      <c r="N6" s="22" t="n">
        <v>14345</v>
      </c>
      <c r="O6" s="22" t="n">
        <v>2286</v>
      </c>
      <c r="P6" s="22" t="n">
        <v>12059</v>
      </c>
      <c r="Q6" s="22" t="n">
        <v>22442</v>
      </c>
      <c r="R6" s="22" t="n">
        <v>7330</v>
      </c>
      <c r="S6" s="22" t="n">
        <v>15112</v>
      </c>
      <c r="T6" s="22" t="n">
        <v>29245</v>
      </c>
      <c r="U6" s="22" t="n">
        <v>14001</v>
      </c>
      <c r="V6" s="22" t="n">
        <v>15244</v>
      </c>
      <c r="W6" s="23">
        <f>IF(B6=C6+D6,"✓","✗")</f>
        <v/>
      </c>
    </row>
    <row r="7">
      <c r="A7" s="24" t="inlineStr">
        <is>
          <t>Sylhet</t>
        </is>
      </c>
      <c r="B7" s="25" t="n">
        <v>860754</v>
      </c>
      <c r="C7" s="25" t="n">
        <v>423779</v>
      </c>
      <c r="D7" s="25" t="n">
        <v>436975</v>
      </c>
      <c r="E7" s="25" t="n">
        <v>297</v>
      </c>
      <c r="F7" s="25" t="n">
        <v>97</v>
      </c>
      <c r="G7" s="25" t="n">
        <v>200</v>
      </c>
      <c r="H7" s="25" t="n">
        <v>5688</v>
      </c>
      <c r="I7" s="25" t="n">
        <v>327</v>
      </c>
      <c r="J7" s="25" t="n">
        <v>5361</v>
      </c>
      <c r="K7" s="25" t="n">
        <v>53758</v>
      </c>
      <c r="L7" s="25" t="n">
        <v>2338</v>
      </c>
      <c r="M7" s="25" t="n">
        <v>51420</v>
      </c>
      <c r="N7" s="25" t="n">
        <v>97461</v>
      </c>
      <c r="O7" s="25" t="n">
        <v>11286</v>
      </c>
      <c r="P7" s="25" t="n">
        <v>86175</v>
      </c>
      <c r="Q7" s="25" t="n">
        <v>122789</v>
      </c>
      <c r="R7" s="25" t="n">
        <v>34287</v>
      </c>
      <c r="S7" s="25" t="n">
        <v>88502</v>
      </c>
      <c r="T7" s="25" t="n">
        <v>145081</v>
      </c>
      <c r="U7" s="25" t="n">
        <v>66193</v>
      </c>
      <c r="V7" s="25" t="n">
        <v>78888</v>
      </c>
      <c r="W7" s="26">
        <f>IF(B7=C7+D7,"✓","✗")</f>
        <v/>
      </c>
    </row>
    <row r="8">
      <c r="A8" s="21" t="inlineStr">
        <is>
          <t>Total</t>
        </is>
      </c>
      <c r="B8" s="22" t="n">
        <v>2207826</v>
      </c>
      <c r="C8" s="22" t="n">
        <v>1110525</v>
      </c>
      <c r="D8" s="22" t="n">
        <v>1097301</v>
      </c>
      <c r="E8" s="22" t="n">
        <v>726</v>
      </c>
      <c r="F8" s="22" t="n">
        <v>241</v>
      </c>
      <c r="G8" s="22" t="n">
        <v>485</v>
      </c>
      <c r="H8" s="22" t="n">
        <v>11795</v>
      </c>
      <c r="I8" s="22" t="n">
        <v>1125</v>
      </c>
      <c r="J8" s="22" t="n">
        <v>10670</v>
      </c>
      <c r="K8" s="22" t="n">
        <v>91276</v>
      </c>
      <c r="L8" s="22" t="n">
        <v>7594</v>
      </c>
      <c r="M8" s="22" t="n">
        <v>83682</v>
      </c>
      <c r="N8" s="22" t="n">
        <v>198343</v>
      </c>
      <c r="O8" s="22" t="n">
        <v>30546</v>
      </c>
      <c r="P8" s="22" t="n">
        <v>167797</v>
      </c>
      <c r="Q8" s="22" t="n">
        <v>302238</v>
      </c>
      <c r="R8" s="22" t="n">
        <v>91318</v>
      </c>
      <c r="S8" s="22" t="n">
        <v>210920</v>
      </c>
      <c r="T8" s="22" t="n">
        <v>376908</v>
      </c>
      <c r="U8" s="22" t="n">
        <v>170687</v>
      </c>
      <c r="V8" s="22" t="n">
        <v>206221</v>
      </c>
      <c r="W8" s="23">
        <f>IF(B8=C8+D8,"✓","✗")</f>
        <v/>
      </c>
    </row>
    <row r="9">
      <c r="A9" s="24" t="inlineStr">
        <is>
          <t>Goalpara</t>
        </is>
      </c>
      <c r="B9" s="25" t="n">
        <v>195346</v>
      </c>
      <c r="C9" s="25" t="n">
        <v>103366</v>
      </c>
      <c r="D9" s="25" t="n">
        <v>91980</v>
      </c>
      <c r="E9" s="25" t="n">
        <v>49</v>
      </c>
      <c r="F9" s="25" t="n">
        <v>11</v>
      </c>
      <c r="G9" s="25" t="n">
        <v>38</v>
      </c>
      <c r="H9" s="25" t="n">
        <v>2560</v>
      </c>
      <c r="I9" s="25" t="n">
        <v>130</v>
      </c>
      <c r="J9" s="25" t="n">
        <v>2430</v>
      </c>
      <c r="K9" s="25" t="n">
        <v>11555</v>
      </c>
      <c r="L9" s="25" t="n">
        <v>1391</v>
      </c>
      <c r="M9" s="25" t="n">
        <v>10164</v>
      </c>
      <c r="N9" s="25" t="n">
        <v>19750</v>
      </c>
      <c r="O9" s="25" t="n">
        <v>4215</v>
      </c>
      <c r="P9" s="25" t="n">
        <v>15535</v>
      </c>
      <c r="Q9" s="25" t="n">
        <v>24587</v>
      </c>
      <c r="R9" s="25" t="n">
        <v>8918</v>
      </c>
      <c r="S9" s="25" t="n">
        <v>15669</v>
      </c>
      <c r="T9" s="25" t="n">
        <v>31872</v>
      </c>
      <c r="U9" s="25" t="n">
        <v>16027</v>
      </c>
      <c r="V9" s="25" t="n">
        <v>15845</v>
      </c>
      <c r="W9" s="26">
        <f>IF(B9=C9+D9,"✓","✗")</f>
        <v/>
      </c>
    </row>
    <row r="10">
      <c r="A10" s="21" t="inlineStr">
        <is>
          <t>Kamrup</t>
        </is>
      </c>
      <c r="B10" s="22" t="n">
        <v>250748</v>
      </c>
      <c r="C10" s="22" t="n">
        <v>125567</v>
      </c>
      <c r="D10" s="22" t="n">
        <v>125181</v>
      </c>
      <c r="E10" s="22" t="n">
        <v>94</v>
      </c>
      <c r="F10" s="22" t="n">
        <v>31</v>
      </c>
      <c r="G10" s="22" t="n">
        <v>63</v>
      </c>
      <c r="H10" s="22" t="n">
        <v>1118</v>
      </c>
      <c r="I10" s="22" t="n">
        <v>188</v>
      </c>
      <c r="J10" s="22" t="n">
        <v>930</v>
      </c>
      <c r="K10" s="22" t="n">
        <v>8192</v>
      </c>
      <c r="L10" s="22" t="n">
        <v>1117</v>
      </c>
      <c r="M10" s="22" t="n">
        <v>7075</v>
      </c>
      <c r="N10" s="22" t="n">
        <v>20607</v>
      </c>
      <c r="O10" s="22" t="n">
        <v>3674</v>
      </c>
      <c r="P10" s="22" t="n">
        <v>16933</v>
      </c>
      <c r="Q10" s="22" t="n">
        <v>33426</v>
      </c>
      <c r="R10" s="22" t="n">
        <v>10195</v>
      </c>
      <c r="S10" s="22" t="n">
        <v>23231</v>
      </c>
      <c r="T10" s="22" t="n">
        <v>42388</v>
      </c>
      <c r="U10" s="22" t="n">
        <v>18779</v>
      </c>
      <c r="V10" s="22" t="n">
        <v>23609</v>
      </c>
      <c r="W10" s="23">
        <f>IF(B10=C10+D10,"✓","✗")</f>
        <v/>
      </c>
    </row>
    <row r="11">
      <c r="A11" s="24" t="inlineStr">
        <is>
          <t>Darrang</t>
        </is>
      </c>
      <c r="B11" s="25" t="n">
        <v>127419</v>
      </c>
      <c r="C11" s="25" t="n">
        <v>65517</v>
      </c>
      <c r="D11" s="25" t="n">
        <v>61902</v>
      </c>
      <c r="E11" s="25" t="n">
        <v>39</v>
      </c>
      <c r="F11" s="25" t="n">
        <v>19</v>
      </c>
      <c r="G11" s="25" t="n">
        <v>20</v>
      </c>
      <c r="H11" s="25" t="n">
        <v>443</v>
      </c>
      <c r="I11" s="25" t="n">
        <v>100</v>
      </c>
      <c r="J11" s="25" t="n">
        <v>343</v>
      </c>
      <c r="K11" s="25" t="n">
        <v>2892</v>
      </c>
      <c r="L11" s="25" t="n">
        <v>554</v>
      </c>
      <c r="M11" s="25" t="n">
        <v>2338</v>
      </c>
      <c r="N11" s="25" t="n">
        <v>8102</v>
      </c>
      <c r="O11" s="25" t="n">
        <v>1595</v>
      </c>
      <c r="P11" s="25" t="n">
        <v>6507</v>
      </c>
      <c r="Q11" s="25" t="n">
        <v>16649</v>
      </c>
      <c r="R11" s="25" t="n">
        <v>5301</v>
      </c>
      <c r="S11" s="25" t="n">
        <v>11348</v>
      </c>
      <c r="T11" s="25" t="n">
        <v>20848</v>
      </c>
      <c r="U11" s="25" t="n">
        <v>9203</v>
      </c>
      <c r="V11" s="25" t="n">
        <v>11645</v>
      </c>
      <c r="W11" s="26">
        <f>IF(B11=C11+D11,"✓","✗")</f>
        <v/>
      </c>
    </row>
    <row r="12">
      <c r="A12" s="21" t="inlineStr">
        <is>
          <t>Nowgong</t>
        </is>
      </c>
      <c r="B12" s="22" t="n">
        <v>129696</v>
      </c>
      <c r="C12" s="22" t="n">
        <v>65426</v>
      </c>
      <c r="D12" s="22" t="n">
        <v>64270</v>
      </c>
      <c r="E12" s="22" t="n">
        <v>31</v>
      </c>
      <c r="F12" s="22" t="n">
        <v>15</v>
      </c>
      <c r="G12" s="22" t="n">
        <v>16</v>
      </c>
      <c r="H12" s="22" t="n">
        <v>159</v>
      </c>
      <c r="I12" s="22" t="n">
        <v>55</v>
      </c>
      <c r="J12" s="22" t="n">
        <v>104</v>
      </c>
      <c r="K12" s="22" t="n">
        <v>1554</v>
      </c>
      <c r="L12" s="22" t="n">
        <v>284</v>
      </c>
      <c r="M12" s="22" t="n">
        <v>1270</v>
      </c>
      <c r="N12" s="22" t="n">
        <v>7301</v>
      </c>
      <c r="O12" s="22" t="n">
        <v>1352</v>
      </c>
      <c r="P12" s="22" t="n">
        <v>5949</v>
      </c>
      <c r="Q12" s="22" t="n">
        <v>16223</v>
      </c>
      <c r="R12" s="22" t="n">
        <v>4582</v>
      </c>
      <c r="S12" s="22" t="n">
        <v>11641</v>
      </c>
      <c r="T12" s="22" t="n">
        <v>20627</v>
      </c>
      <c r="U12" s="22" t="n">
        <v>8374</v>
      </c>
      <c r="V12" s="22" t="n">
        <v>12253</v>
      </c>
      <c r="W12" s="23">
        <f>IF(B12=C12+D12,"✓","✗")</f>
        <v/>
      </c>
    </row>
    <row r="13">
      <c r="A13" s="24" t="inlineStr">
        <is>
          <t>Sibsagar</t>
        </is>
      </c>
      <c r="B13" s="25" t="n">
        <v>179162</v>
      </c>
      <c r="C13" s="25" t="n">
        <v>90819</v>
      </c>
      <c r="D13" s="25" t="n">
        <v>88343</v>
      </c>
      <c r="E13" s="25" t="n">
        <v>26</v>
      </c>
      <c r="F13" s="25" t="n">
        <v>7</v>
      </c>
      <c r="G13" s="25" t="n">
        <v>19</v>
      </c>
      <c r="H13" s="25" t="n">
        <v>286</v>
      </c>
      <c r="I13" s="25" t="n">
        <v>75</v>
      </c>
      <c r="J13" s="25" t="n">
        <v>211</v>
      </c>
      <c r="K13" s="25" t="n">
        <v>2296</v>
      </c>
      <c r="L13" s="25" t="n">
        <v>415</v>
      </c>
      <c r="M13" s="25" t="n">
        <v>1881</v>
      </c>
      <c r="N13" s="25" t="n">
        <v>10158</v>
      </c>
      <c r="O13" s="25" t="n">
        <v>1622</v>
      </c>
      <c r="P13" s="25" t="n">
        <v>8536</v>
      </c>
      <c r="Q13" s="25" t="n">
        <v>26256</v>
      </c>
      <c r="R13" s="25" t="n">
        <v>7374</v>
      </c>
      <c r="S13" s="25" t="n">
        <v>18882</v>
      </c>
      <c r="T13" s="25" t="n">
        <v>31641</v>
      </c>
      <c r="U13" s="25" t="n">
        <v>13429</v>
      </c>
      <c r="V13" s="25" t="n">
        <v>18212</v>
      </c>
      <c r="W13" s="26">
        <f>IF(B13=C13+D13,"✓","✗")</f>
        <v/>
      </c>
    </row>
    <row r="14">
      <c r="A14" s="21" t="inlineStr">
        <is>
          <t>Lakhimpur</t>
        </is>
      </c>
      <c r="B14" s="22" t="n">
        <v>104776</v>
      </c>
      <c r="C14" s="22" t="n">
        <v>54822</v>
      </c>
      <c r="D14" s="22" t="n">
        <v>49954</v>
      </c>
      <c r="E14" s="22" t="n">
        <v>8</v>
      </c>
      <c r="F14" s="22" t="n">
        <v>3</v>
      </c>
      <c r="G14" s="22" t="n">
        <v>5</v>
      </c>
      <c r="H14" s="22" t="n">
        <v>108</v>
      </c>
      <c r="I14" s="22" t="n">
        <v>25</v>
      </c>
      <c r="J14" s="22" t="n">
        <v>83</v>
      </c>
      <c r="K14" s="22" t="n">
        <v>1381</v>
      </c>
      <c r="L14" s="22" t="n">
        <v>249</v>
      </c>
      <c r="M14" s="22" t="n">
        <v>1132</v>
      </c>
      <c r="N14" s="22" t="n">
        <v>6261</v>
      </c>
      <c r="O14" s="22" t="n">
        <v>1249</v>
      </c>
      <c r="P14" s="22" t="n">
        <v>5012</v>
      </c>
      <c r="Q14" s="22" t="n">
        <v>15611</v>
      </c>
      <c r="R14" s="22" t="n">
        <v>5061</v>
      </c>
      <c r="S14" s="22" t="n">
        <v>10550</v>
      </c>
      <c r="T14" s="22" t="n">
        <v>21886</v>
      </c>
      <c r="U14" s="22" t="n">
        <v>10095</v>
      </c>
      <c r="V14" s="22" t="n">
        <v>11791</v>
      </c>
      <c r="W14" s="23">
        <f>IF(B14=C14+D14,"✓","✗")</f>
        <v/>
      </c>
    </row>
    <row r="15">
      <c r="A15" s="24" t="inlineStr">
        <is>
          <t>Total</t>
        </is>
      </c>
      <c r="B15" s="25" t="n">
        <v>2207826</v>
      </c>
      <c r="C15" s="25" t="n">
        <v>1110525</v>
      </c>
      <c r="D15" s="25" t="n">
        <v>1097301</v>
      </c>
      <c r="E15" s="25" t="n">
        <v>726</v>
      </c>
      <c r="F15" s="25" t="n">
        <v>241</v>
      </c>
      <c r="G15" s="25" t="n">
        <v>485</v>
      </c>
      <c r="H15" s="25" t="n">
        <v>11795</v>
      </c>
      <c r="I15" s="25" t="n">
        <v>1125</v>
      </c>
      <c r="J15" s="25" t="n">
        <v>10670</v>
      </c>
      <c r="K15" s="25" t="n">
        <v>91276</v>
      </c>
      <c r="L15" s="25" t="n">
        <v>7594</v>
      </c>
      <c r="M15" s="25" t="n">
        <v>83682</v>
      </c>
      <c r="N15" s="25" t="n">
        <v>198343</v>
      </c>
      <c r="O15" s="25" t="n">
        <v>30546</v>
      </c>
      <c r="P15" s="25" t="n">
        <v>167797</v>
      </c>
      <c r="Q15" s="25" t="n">
        <v>302238</v>
      </c>
      <c r="R15" s="25" t="n">
        <v>91318</v>
      </c>
      <c r="S15" s="25" t="n">
        <v>210920</v>
      </c>
      <c r="T15" s="25" t="n">
        <v>376908</v>
      </c>
      <c r="U15" s="25" t="n">
        <v>170687</v>
      </c>
      <c r="V15" s="25" t="n">
        <v>206221</v>
      </c>
      <c r="W15" s="26">
        <f>IF(B15=C15+D15,"✓","✗")</f>
        <v/>
      </c>
    </row>
    <row r="16">
      <c r="A16" s="21" t="inlineStr">
        <is>
          <t>Total</t>
        </is>
      </c>
      <c r="B16" s="22" t="n">
        <v>2207826</v>
      </c>
      <c r="C16" s="22" t="n">
        <v>1110525</v>
      </c>
      <c r="D16" s="22" t="n">
        <v>1097301</v>
      </c>
      <c r="E16" s="22" t="n">
        <v>726</v>
      </c>
      <c r="F16" s="22" t="n">
        <v>241</v>
      </c>
      <c r="G16" s="22" t="n">
        <v>485</v>
      </c>
      <c r="H16" s="22" t="n">
        <v>11795</v>
      </c>
      <c r="I16" s="22" t="n">
        <v>1125</v>
      </c>
      <c r="J16" s="22" t="n">
        <v>10670</v>
      </c>
      <c r="K16" s="22" t="n">
        <v>91276</v>
      </c>
      <c r="L16" s="22" t="n">
        <v>7594</v>
      </c>
      <c r="M16" s="22" t="n">
        <v>83682</v>
      </c>
      <c r="N16" s="22" t="n">
        <v>198343</v>
      </c>
      <c r="O16" s="22" t="n">
        <v>30546</v>
      </c>
      <c r="P16" s="22" t="n">
        <v>167797</v>
      </c>
      <c r="Q16" s="22" t="n">
        <v>302238</v>
      </c>
      <c r="R16" s="22" t="n">
        <v>91318</v>
      </c>
      <c r="S16" s="22" t="n">
        <v>210920</v>
      </c>
      <c r="T16" s="22" t="n">
        <v>376908</v>
      </c>
      <c r="U16" s="22" t="n">
        <v>170687</v>
      </c>
      <c r="V16" s="22" t="n">
        <v>206221</v>
      </c>
      <c r="W16" s="23">
        <f>IF(B16=C16+D16,"✓","✗")</f>
        <v/>
      </c>
    </row>
    <row r="17">
      <c r="A17" s="24" t="inlineStr">
        <is>
          <t>North Cachar</t>
        </is>
      </c>
      <c r="B17" s="25" t="n">
        <v>6888</v>
      </c>
      <c r="C17" s="25" t="n">
        <v>3499</v>
      </c>
      <c r="D17" s="25" t="n">
        <v>3389</v>
      </c>
      <c r="E17" s="25" t="n">
        <v>1</v>
      </c>
      <c r="F17" s="25" t="n">
        <v>1</v>
      </c>
      <c r="G17" s="25" t="n">
        <v>0</v>
      </c>
      <c r="H17" s="25" t="n">
        <v>2</v>
      </c>
      <c r="I17" s="25" t="n">
        <v>0</v>
      </c>
      <c r="J17" s="25" t="n">
        <v>2</v>
      </c>
      <c r="K17" s="25" t="n">
        <v>40</v>
      </c>
      <c r="L17" s="25" t="n">
        <v>10</v>
      </c>
      <c r="M17" s="25" t="n">
        <v>30</v>
      </c>
      <c r="N17" s="25" t="n">
        <v>399</v>
      </c>
      <c r="O17" s="25" t="n">
        <v>51</v>
      </c>
      <c r="P17" s="25" t="n">
        <v>348</v>
      </c>
      <c r="Q17" s="25" t="n">
        <v>818</v>
      </c>
      <c r="R17" s="25" t="n">
        <v>239</v>
      </c>
      <c r="S17" s="25" t="n">
        <v>579</v>
      </c>
      <c r="T17" s="25" t="n">
        <v>1281</v>
      </c>
      <c r="U17" s="25" t="n">
        <v>516</v>
      </c>
      <c r="V17" s="25" t="n">
        <v>765</v>
      </c>
      <c r="W17" s="26">
        <f>IF(B17=C17+D17,"✓","✗")</f>
        <v/>
      </c>
    </row>
    <row r="18">
      <c r="A18" s="21" t="inlineStr">
        <is>
          <t>Naga Hills</t>
        </is>
      </c>
      <c r="B18" s="22" t="n">
        <v>54762</v>
      </c>
      <c r="C18" s="22" t="n">
        <v>27501</v>
      </c>
      <c r="D18" s="22" t="n">
        <v>27261</v>
      </c>
      <c r="E18" s="22" t="n">
        <v>41</v>
      </c>
      <c r="F18" s="22" t="n">
        <v>15</v>
      </c>
      <c r="G18" s="22" t="n">
        <v>26</v>
      </c>
      <c r="H18" s="22" t="n">
        <v>78</v>
      </c>
      <c r="I18" s="22" t="n">
        <v>26</v>
      </c>
      <c r="J18" s="22" t="n">
        <v>52</v>
      </c>
      <c r="K18" s="22" t="n">
        <v>621</v>
      </c>
      <c r="L18" s="22" t="n">
        <v>95</v>
      </c>
      <c r="M18" s="22" t="n">
        <v>526</v>
      </c>
      <c r="N18" s="22" t="n">
        <v>3111</v>
      </c>
      <c r="O18" s="22" t="n">
        <v>583</v>
      </c>
      <c r="P18" s="22" t="n">
        <v>2528</v>
      </c>
      <c r="Q18" s="22" t="n">
        <v>5594</v>
      </c>
      <c r="R18" s="22" t="n">
        <v>1765</v>
      </c>
      <c r="S18" s="22" t="n">
        <v>3829</v>
      </c>
      <c r="T18" s="22" t="n">
        <v>9424</v>
      </c>
      <c r="U18" s="22" t="n">
        <v>4049</v>
      </c>
      <c r="V18" s="22" t="n">
        <v>5375</v>
      </c>
      <c r="W18" s="23">
        <f>IF(B18=C18+D18,"✓","✗")</f>
        <v/>
      </c>
    </row>
    <row r="19">
      <c r="A19" s="24" t="inlineStr">
        <is>
          <t>Khasi and Jaintia Hills</t>
        </is>
      </c>
      <c r="B19" s="25" t="n">
        <v>78478</v>
      </c>
      <c r="C19" s="25" t="n">
        <v>37638</v>
      </c>
      <c r="D19" s="25" t="n">
        <v>40840</v>
      </c>
      <c r="E19" s="25" t="n">
        <v>32</v>
      </c>
      <c r="F19" s="25" t="n">
        <v>10</v>
      </c>
      <c r="G19" s="25" t="n">
        <v>22</v>
      </c>
      <c r="H19" s="25" t="n">
        <v>94</v>
      </c>
      <c r="I19" s="25" t="n">
        <v>33</v>
      </c>
      <c r="J19" s="25" t="n">
        <v>61</v>
      </c>
      <c r="K19" s="25" t="n">
        <v>960</v>
      </c>
      <c r="L19" s="25" t="n">
        <v>192</v>
      </c>
      <c r="M19" s="25" t="n">
        <v>768</v>
      </c>
      <c r="N19" s="25" t="n">
        <v>6189</v>
      </c>
      <c r="O19" s="25" t="n">
        <v>1565</v>
      </c>
      <c r="P19" s="25" t="n">
        <v>4624</v>
      </c>
      <c r="Q19" s="25" t="n">
        <v>10928</v>
      </c>
      <c r="R19" s="25" t="n">
        <v>3954</v>
      </c>
      <c r="S19" s="25" t="n">
        <v>6974</v>
      </c>
      <c r="T19" s="25" t="n">
        <v>12666</v>
      </c>
      <c r="U19" s="25" t="n">
        <v>5576</v>
      </c>
      <c r="V19" s="25" t="n">
        <v>7090</v>
      </c>
      <c r="W19" s="26">
        <f>IF(B19=C19+D19,"✓","✗")</f>
        <v/>
      </c>
    </row>
    <row r="20">
      <c r="A20" s="21" t="inlineStr">
        <is>
          <t>Garo Hills</t>
        </is>
      </c>
      <c r="B20" s="22" t="n">
        <v>57028</v>
      </c>
      <c r="C20" s="22" t="n">
        <v>27570</v>
      </c>
      <c r="D20" s="22" t="n">
        <v>29458</v>
      </c>
      <c r="E20" s="22" t="n">
        <v>24</v>
      </c>
      <c r="F20" s="22" t="n">
        <v>5</v>
      </c>
      <c r="G20" s="22" t="n">
        <v>19</v>
      </c>
      <c r="H20" s="22" t="n">
        <v>363</v>
      </c>
      <c r="I20" s="22" t="n">
        <v>31</v>
      </c>
      <c r="J20" s="22" t="n">
        <v>332</v>
      </c>
      <c r="K20" s="22" t="n">
        <v>1879</v>
      </c>
      <c r="L20" s="22" t="n">
        <v>263</v>
      </c>
      <c r="M20" s="22" t="n">
        <v>1616</v>
      </c>
      <c r="N20" s="22" t="n">
        <v>4634</v>
      </c>
      <c r="O20" s="22" t="n">
        <v>1043</v>
      </c>
      <c r="P20" s="22" t="n">
        <v>3591</v>
      </c>
      <c r="Q20" s="22" t="n">
        <v>6772</v>
      </c>
      <c r="R20" s="22" t="n">
        <v>2169</v>
      </c>
      <c r="S20" s="22" t="n">
        <v>4603</v>
      </c>
      <c r="T20" s="22" t="n">
        <v>9680</v>
      </c>
      <c r="U20" s="22" t="n">
        <v>4176</v>
      </c>
      <c r="V20" s="22" t="n">
        <v>5504</v>
      </c>
      <c r="W20" s="23">
        <f>IF(B20=C20+D20,"✓","✗")</f>
        <v/>
      </c>
    </row>
    <row r="21">
      <c r="A21" s="24" t="inlineStr">
        <is>
          <t>North Lushai (Civil and Military).</t>
        </is>
      </c>
      <c r="B21" s="25" t="n">
        <v>921</v>
      </c>
      <c r="C21" s="25" t="n">
        <v>921</v>
      </c>
      <c r="D21" s="25" t="n">
        <v>0</v>
      </c>
      <c r="E21" s="25" t="n">
        <v>0</v>
      </c>
      <c r="F21" s="25" t="n">
        <v>0</v>
      </c>
      <c r="G21" s="25" t="n">
        <v>0</v>
      </c>
      <c r="H21" s="25" t="n">
        <v>0</v>
      </c>
      <c r="I21" s="25" t="n">
        <v>0</v>
      </c>
      <c r="J21" s="25" t="n">
        <v>0</v>
      </c>
      <c r="K21" s="25" t="n">
        <v>0</v>
      </c>
      <c r="L21" s="25" t="n">
        <v>0</v>
      </c>
      <c r="M21" s="25" t="n">
        <v>0</v>
      </c>
      <c r="N21" s="25" t="n">
        <v>25</v>
      </c>
      <c r="O21" s="25" t="n">
        <v>25</v>
      </c>
      <c r="P21" s="25" t="n">
        <v>0</v>
      </c>
      <c r="Q21" s="25" t="n">
        <v>143</v>
      </c>
      <c r="R21" s="25" t="n">
        <v>143</v>
      </c>
      <c r="S21" s="25" t="n">
        <v>0</v>
      </c>
      <c r="T21" s="25" t="n">
        <v>269</v>
      </c>
      <c r="U21" s="25" t="n">
        <v>269</v>
      </c>
      <c r="V21" s="25" t="n">
        <v>0</v>
      </c>
      <c r="W21" s="26">
        <f>IF(B21=C21+D21,"✓","✗")</f>
        <v/>
      </c>
    </row>
    <row r="22">
      <c r="A22" s="21" t="inlineStr">
        <is>
          <t>Total</t>
        </is>
      </c>
      <c r="B22" s="22" t="n">
        <v>2207826</v>
      </c>
      <c r="C22" s="22" t="n">
        <v>1110525</v>
      </c>
      <c r="D22" s="22" t="n">
        <v>1097301</v>
      </c>
      <c r="E22" s="22" t="n">
        <v>726</v>
      </c>
      <c r="F22" s="22" t="n">
        <v>241</v>
      </c>
      <c r="G22" s="22" t="n">
        <v>485</v>
      </c>
      <c r="H22" s="22" t="n">
        <v>11795</v>
      </c>
      <c r="I22" s="22" t="n">
        <v>1125</v>
      </c>
      <c r="J22" s="22" t="n">
        <v>10670</v>
      </c>
      <c r="K22" s="22" t="n">
        <v>91276</v>
      </c>
      <c r="L22" s="22" t="n">
        <v>7594</v>
      </c>
      <c r="M22" s="22" t="n">
        <v>83682</v>
      </c>
      <c r="N22" s="22" t="n">
        <v>198343</v>
      </c>
      <c r="O22" s="22" t="n">
        <v>30546</v>
      </c>
      <c r="P22" s="22" t="n">
        <v>167797</v>
      </c>
      <c r="Q22" s="22" t="n">
        <v>302238</v>
      </c>
      <c r="R22" s="22" t="n">
        <v>91318</v>
      </c>
      <c r="S22" s="22" t="n">
        <v>210920</v>
      </c>
      <c r="T22" s="22" t="n">
        <v>376908</v>
      </c>
      <c r="U22" s="22" t="n">
        <v>170687</v>
      </c>
      <c r="V22" s="22" t="n">
        <v>206221</v>
      </c>
      <c r="W22" s="23">
        <f>IF(B22=C22+D22,"✓","✗")</f>
        <v/>
      </c>
    </row>
    <row r="23">
      <c r="A23" s="24" t="inlineStr">
        <is>
          <t>Total</t>
        </is>
      </c>
      <c r="B23" s="25" t="n">
        <v>2207826</v>
      </c>
      <c r="C23" s="25" t="n">
        <v>1110525</v>
      </c>
      <c r="D23" s="25" t="n">
        <v>1097301</v>
      </c>
      <c r="E23" s="25" t="n">
        <v>726</v>
      </c>
      <c r="F23" s="25" t="n">
        <v>241</v>
      </c>
      <c r="G23" s="25" t="n">
        <v>485</v>
      </c>
      <c r="H23" s="25" t="n">
        <v>11795</v>
      </c>
      <c r="I23" s="25" t="n">
        <v>1125</v>
      </c>
      <c r="J23" s="25" t="n">
        <v>10670</v>
      </c>
      <c r="K23" s="25" t="n">
        <v>91276</v>
      </c>
      <c r="L23" s="25" t="n">
        <v>7594</v>
      </c>
      <c r="M23" s="25" t="n">
        <v>83682</v>
      </c>
      <c r="N23" s="25" t="n">
        <v>198343</v>
      </c>
      <c r="O23" s="25" t="n">
        <v>30546</v>
      </c>
      <c r="P23" s="25" t="n">
        <v>167797</v>
      </c>
      <c r="Q23" s="25" t="n">
        <v>302238</v>
      </c>
      <c r="R23" s="25" t="n">
        <v>91318</v>
      </c>
      <c r="S23" s="25" t="n">
        <v>210920</v>
      </c>
      <c r="T23" s="25" t="n">
        <v>376908</v>
      </c>
      <c r="U23" s="25" t="n">
        <v>170687</v>
      </c>
      <c r="V23" s="25" t="n">
        <v>206221</v>
      </c>
      <c r="W23" s="26">
        <f>IF(B23=C23+D23,"✓","✗")</f>
        <v/>
      </c>
    </row>
    <row r="24">
      <c r="A24" s="27" t="inlineStr">
        <is>
          <t>Verify: Sum</t>
        </is>
      </c>
      <c r="B24" s="28">
        <f>IF(SUM(B6:B23)=B5,"✓",SUM(B6:B23)-B5)</f>
        <v/>
      </c>
      <c r="C24" s="28">
        <f>IF(SUM(C6:C23)=C5,"✓",SUM(C6:C23)-C5)</f>
        <v/>
      </c>
      <c r="D24" s="28">
        <f>IF(SUM(D6:D23)=D5,"✓",SUM(D6:D23)-D5)</f>
        <v/>
      </c>
      <c r="E24" s="28">
        <f>IF(SUM(E6:E23)=E5,"✓",SUM(E6:E23)-E5)</f>
        <v/>
      </c>
      <c r="F24" s="28">
        <f>IF(SUM(F6:F23)=F5,"✓",SUM(F6:F23)-F5)</f>
        <v/>
      </c>
      <c r="G24" s="28">
        <f>IF(SUM(G6:G23)=G5,"✓",SUM(G6:G23)-G5)</f>
        <v/>
      </c>
      <c r="H24" s="28">
        <f>IF(SUM(H6:H23)=H5,"✓",SUM(H6:H23)-H5)</f>
        <v/>
      </c>
      <c r="I24" s="28">
        <f>IF(SUM(I6:I23)=I5,"✓",SUM(I6:I23)-I5)</f>
        <v/>
      </c>
      <c r="J24" s="28">
        <f>IF(SUM(J6:J23)=J5,"✓",SUM(J6:J23)-J5)</f>
        <v/>
      </c>
      <c r="K24" s="28">
        <f>IF(SUM(K6:K23)=K5,"✓",SUM(K6:K23)-K5)</f>
        <v/>
      </c>
      <c r="L24" s="28">
        <f>IF(SUM(L6:L23)=L5,"✓",SUM(L6:L23)-L5)</f>
        <v/>
      </c>
      <c r="M24" s="28">
        <f>IF(SUM(M6:M23)=M5,"✓",SUM(M6:M23)-M5)</f>
        <v/>
      </c>
      <c r="N24" s="28">
        <f>IF(SUM(N6:N23)=N5,"✓",SUM(N6:N23)-N5)</f>
        <v/>
      </c>
      <c r="O24" s="28">
        <f>IF(SUM(O6:O23)=O5,"✓",SUM(O6:O23)-O5)</f>
        <v/>
      </c>
      <c r="P24" s="28">
        <f>IF(SUM(P6:P23)=P5,"✓",SUM(P6:P23)-P5)</f>
        <v/>
      </c>
      <c r="Q24" s="28">
        <f>IF(SUM(Q6:Q23)=Q5,"✓",SUM(Q6:Q23)-Q5)</f>
        <v/>
      </c>
      <c r="R24" s="28">
        <f>IF(SUM(R6:R23)=R5,"✓",SUM(R6:R23)-R5)</f>
        <v/>
      </c>
      <c r="S24" s="28">
        <f>IF(SUM(S6:S23)=S5,"✓",SUM(S6:S23)-S5)</f>
        <v/>
      </c>
      <c r="T24" s="28">
        <f>IF(SUM(T6:T23)=T5,"✓",SUM(T6:T23)-T5)</f>
        <v/>
      </c>
      <c r="U24" s="28">
        <f>IF(SUM(U6:U23)=U5,"✓",SUM(U6:U23)-U5)</f>
        <v/>
      </c>
      <c r="V24" s="28">
        <f>IF(SUM(V6:V23)=V5,"✓",SUM(V6:V23)-V5)</f>
        <v/>
      </c>
    </row>
  </sheetData>
  <mergeCells count="7">
    <mergeCell ref="B3:D3"/>
    <mergeCell ref="T3:V3"/>
    <mergeCell ref="E3:G3"/>
    <mergeCell ref="K3:M3"/>
    <mergeCell ref="H3:J3"/>
    <mergeCell ref="N3:P3"/>
    <mergeCell ref="Q3:S3"/>
  </mergeCells>
  <conditionalFormatting sqref="W5:W24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2026-03-18T03:08:20Z</dcterms:created>
  <dcterms:modified xmlns:dcterms="http://purl.org/dc/terms/" xmlns:xsi="http://www.w3.org/2001/XMLSchema-instance" xsi:type="dcterms:W3CDTF">2026-03-18T03:08:20Z</dcterms:modified>
</cp:coreProperties>
</file>