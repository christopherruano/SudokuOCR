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Cachar Plains - contd. Muhammad" sheetId="2" state="visible" r:id="rId2"/>
    <sheet xmlns:r="http://schemas.openxmlformats.org/officeDocument/2006/relationships" name="Sylhet All Relig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TABLE VII. AGE, SEX AND CIVIL CONDITION.</t>
        </is>
      </c>
    </row>
    <row r="2">
      <c r="A2" s="2" t="inlineStr">
        <is>
          <t>Source: TABLE VII. AGE, SEX AND CIVIL CONDITION.</t>
        </is>
      </c>
    </row>
    <row r="3">
      <c r="A3" s="3" t="inlineStr">
        <is>
          <t>Cachar Plains - contd. Muhammadan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126698</v>
      </c>
      <c r="C6" s="17" t="n">
        <v>67055</v>
      </c>
      <c r="D6" s="17" t="n">
        <v>59643</v>
      </c>
      <c r="E6" s="17" t="n">
        <v>63472</v>
      </c>
      <c r="F6" s="17" t="n">
        <v>38084</v>
      </c>
      <c r="G6" s="17" t="n">
        <v>25388</v>
      </c>
      <c r="H6" s="17" t="n">
        <v>52407</v>
      </c>
      <c r="I6" s="17" t="n">
        <v>27126</v>
      </c>
      <c r="J6" s="17" t="n">
        <v>25281</v>
      </c>
      <c r="K6" s="17" t="n">
        <v>10819</v>
      </c>
      <c r="L6" s="17" t="n">
        <v>1845</v>
      </c>
      <c r="M6" s="17" t="n">
        <v>8974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0-5</t>
        </is>
      </c>
      <c r="B7" s="20" t="n">
        <v>20745</v>
      </c>
      <c r="C7" s="20" t="n">
        <v>10478</v>
      </c>
      <c r="D7" s="20" t="n">
        <v>10267</v>
      </c>
      <c r="E7" s="20" t="n">
        <v>20739</v>
      </c>
      <c r="F7" s="20" t="n">
        <v>10475</v>
      </c>
      <c r="G7" s="20" t="n">
        <v>10264</v>
      </c>
      <c r="H7" s="20" t="n">
        <v>6</v>
      </c>
      <c r="I7" s="20" t="n">
        <v>3</v>
      </c>
      <c r="J7" s="20" t="n">
        <v>3</v>
      </c>
      <c r="K7" s="20" t="n">
        <v>0</v>
      </c>
      <c r="L7" s="20" t="n">
        <v>0</v>
      </c>
      <c r="M7" s="20" t="n">
        <v>0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5-10</t>
        </is>
      </c>
      <c r="B8" s="23" t="n">
        <v>21685</v>
      </c>
      <c r="C8" s="23" t="n">
        <v>11243</v>
      </c>
      <c r="D8" s="23" t="n">
        <v>10442</v>
      </c>
      <c r="E8" s="23" t="n">
        <v>21504</v>
      </c>
      <c r="F8" s="23" t="n">
        <v>11196</v>
      </c>
      <c r="G8" s="23" t="n">
        <v>10308</v>
      </c>
      <c r="H8" s="23" t="n">
        <v>169</v>
      </c>
      <c r="I8" s="23" t="n">
        <v>46</v>
      </c>
      <c r="J8" s="23" t="n">
        <v>123</v>
      </c>
      <c r="K8" s="23" t="n">
        <v>12</v>
      </c>
      <c r="L8" s="23" t="n">
        <v>1</v>
      </c>
      <c r="M8" s="23" t="n">
        <v>11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10-15</t>
        </is>
      </c>
      <c r="B9" s="20" t="n">
        <v>14390</v>
      </c>
      <c r="C9" s="20" t="n">
        <v>8362</v>
      </c>
      <c r="D9" s="20" t="n">
        <v>6028</v>
      </c>
      <c r="E9" s="20" t="n">
        <v>12251</v>
      </c>
      <c r="F9" s="20" t="n">
        <v>8206</v>
      </c>
      <c r="G9" s="20" t="n">
        <v>4045</v>
      </c>
      <c r="H9" s="20" t="n">
        <v>2058</v>
      </c>
      <c r="I9" s="20" t="n">
        <v>152</v>
      </c>
      <c r="J9" s="20" t="n">
        <v>1906</v>
      </c>
      <c r="K9" s="20" t="n">
        <v>81</v>
      </c>
      <c r="L9" s="20" t="n">
        <v>4</v>
      </c>
      <c r="M9" s="20" t="n">
        <v>77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15-20</t>
        </is>
      </c>
      <c r="B10" s="23" t="n">
        <v>10884</v>
      </c>
      <c r="C10" s="23" t="n">
        <v>5157</v>
      </c>
      <c r="D10" s="23" t="n">
        <v>5727</v>
      </c>
      <c r="E10" s="23" t="n">
        <v>4765</v>
      </c>
      <c r="F10" s="23" t="n">
        <v>4251</v>
      </c>
      <c r="G10" s="23" t="n">
        <v>514</v>
      </c>
      <c r="H10" s="23" t="n">
        <v>5807</v>
      </c>
      <c r="I10" s="23" t="n">
        <v>871</v>
      </c>
      <c r="J10" s="23" t="n">
        <v>4936</v>
      </c>
      <c r="K10" s="23" t="n">
        <v>312</v>
      </c>
      <c r="L10" s="23" t="n">
        <v>35</v>
      </c>
      <c r="M10" s="23" t="n">
        <v>277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20-40</t>
        </is>
      </c>
      <c r="B11" s="20" t="n">
        <v>39015</v>
      </c>
      <c r="C11" s="20" t="n">
        <v>20981</v>
      </c>
      <c r="D11" s="20" t="n">
        <v>18034</v>
      </c>
      <c r="E11" s="20" t="n">
        <v>4028</v>
      </c>
      <c r="F11" s="20" t="n">
        <v>3812</v>
      </c>
      <c r="G11" s="20" t="n">
        <v>216</v>
      </c>
      <c r="H11" s="20" t="n">
        <v>31438</v>
      </c>
      <c r="I11" s="20" t="n">
        <v>16400</v>
      </c>
      <c r="J11" s="20" t="n">
        <v>15038</v>
      </c>
      <c r="K11" s="20" t="n">
        <v>3549</v>
      </c>
      <c r="L11" s="20" t="n">
        <v>769</v>
      </c>
      <c r="M11" s="20" t="n">
        <v>2780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40-60</t>
        </is>
      </c>
      <c r="B12" s="23" t="n">
        <v>15317</v>
      </c>
      <c r="C12" s="23" t="n">
        <v>8323</v>
      </c>
      <c r="D12" s="23" t="n">
        <v>6994</v>
      </c>
      <c r="E12" s="23" t="n">
        <v>159</v>
      </c>
      <c r="F12" s="23" t="n">
        <v>124</v>
      </c>
      <c r="G12" s="23" t="n">
        <v>35</v>
      </c>
      <c r="H12" s="23" t="n">
        <v>10624</v>
      </c>
      <c r="I12" s="23" t="n">
        <v>7615</v>
      </c>
      <c r="J12" s="23" t="n">
        <v>3009</v>
      </c>
      <c r="K12" s="23" t="n">
        <v>4534</v>
      </c>
      <c r="L12" s="23" t="n">
        <v>584</v>
      </c>
      <c r="M12" s="23" t="n">
        <v>3950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60 and over</t>
        </is>
      </c>
      <c r="B13" s="20" t="n">
        <v>4662</v>
      </c>
      <c r="C13" s="20" t="n">
        <v>2511</v>
      </c>
      <c r="D13" s="20" t="n">
        <v>2151</v>
      </c>
      <c r="E13" s="20" t="n">
        <v>26</v>
      </c>
      <c r="F13" s="20" t="n">
        <v>20</v>
      </c>
      <c r="G13" s="20" t="n">
        <v>6</v>
      </c>
      <c r="H13" s="20" t="n">
        <v>2305</v>
      </c>
      <c r="I13" s="20" t="n">
        <v>2039</v>
      </c>
      <c r="J13" s="20" t="n">
        <v>266</v>
      </c>
      <c r="K13" s="20" t="n">
        <v>2331</v>
      </c>
      <c r="L13" s="20" t="n">
        <v>452</v>
      </c>
      <c r="M13" s="20" t="n">
        <v>1879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Total</t>
        </is>
      </c>
      <c r="B14" s="23" t="n">
        <v>126698</v>
      </c>
      <c r="C14" s="23" t="n">
        <v>67055</v>
      </c>
      <c r="D14" s="23" t="n">
        <v>59643</v>
      </c>
      <c r="E14" s="23" t="n">
        <v>63472</v>
      </c>
      <c r="F14" s="23" t="n">
        <v>38084</v>
      </c>
      <c r="G14" s="23" t="n">
        <v>25388</v>
      </c>
      <c r="H14" s="23" t="n">
        <v>52407</v>
      </c>
      <c r="I14" s="23" t="n">
        <v>27126</v>
      </c>
      <c r="J14" s="23" t="n">
        <v>25281</v>
      </c>
      <c r="K14" s="23" t="n">
        <v>10819</v>
      </c>
      <c r="L14" s="23" t="n">
        <v>1845</v>
      </c>
      <c r="M14" s="23" t="n">
        <v>8974</v>
      </c>
      <c r="N14" s="24">
        <f>IF(B14=E14+H14+K14,"✓",B14-(E14+H14+K14))</f>
        <v/>
      </c>
      <c r="O14" s="24">
        <f>IF(B14=C14+D14,"✓","✗")</f>
        <v/>
      </c>
    </row>
    <row r="15">
      <c r="A15" s="25" t="inlineStr">
        <is>
          <t>Verify: Sum</t>
        </is>
      </c>
      <c r="B15" s="26">
        <f>IF(SUM(B7:B14)=B6,"✓",SUM(B7:B14)-B6)</f>
        <v/>
      </c>
      <c r="C15" s="26">
        <f>IF(SUM(C7:C14)=C6,"✓",SUM(C7:C14)-C6)</f>
        <v/>
      </c>
      <c r="D15" s="26">
        <f>IF(SUM(D7:D14)=D6,"✓",SUM(D7:D14)-D6)</f>
        <v/>
      </c>
      <c r="E15" s="26">
        <f>IF(SUM(E7:E14)=E6,"✓",SUM(E7:E14)-E6)</f>
        <v/>
      </c>
      <c r="F15" s="26">
        <f>IF(SUM(F7:F14)=F6,"✓",SUM(F7:F14)-F6)</f>
        <v/>
      </c>
      <c r="G15" s="26">
        <f>IF(SUM(G7:G14)=G6,"✓",SUM(G7:G14)-G6)</f>
        <v/>
      </c>
      <c r="H15" s="26">
        <f>IF(SUM(H7:H14)=H6,"✓",SUM(H7:H14)-H6)</f>
        <v/>
      </c>
      <c r="I15" s="26">
        <f>IF(SUM(I7:I14)=I6,"✓",SUM(I7:I14)-I6)</f>
        <v/>
      </c>
      <c r="J15" s="26">
        <f>IF(SUM(J7:J14)=J6,"✓",SUM(J7:J14)-J6)</f>
        <v/>
      </c>
      <c r="K15" s="26">
        <f>IF(SUM(K7:K14)=K6,"✓",SUM(K7:K14)-K6)</f>
        <v/>
      </c>
      <c r="L15" s="26">
        <f>IF(SUM(L7:L14)=L6,"✓",SUM(L7:L14)-L6)</f>
        <v/>
      </c>
      <c r="M15" s="26">
        <f>IF(SUM(M7:M14)=M6,"✓",SUM(M7:M14)-M6)</f>
        <v/>
      </c>
    </row>
    <row r="17">
      <c r="A17" s="3" t="inlineStr">
        <is>
          <t>Sylhet All Religions</t>
        </is>
      </c>
    </row>
    <row r="18">
      <c r="A18" s="4" t="inlineStr">
        <is>
          <t>Age</t>
        </is>
      </c>
      <c r="B18" s="5" t="inlineStr">
        <is>
          <t>POPULATION.</t>
        </is>
      </c>
      <c r="C18" s="6" t="n"/>
      <c r="D18" s="6" t="n"/>
      <c r="E18" s="7" t="inlineStr">
        <is>
          <t>UNMARRIED.</t>
        </is>
      </c>
      <c r="F18" s="8" t="n"/>
      <c r="G18" s="8" t="n"/>
      <c r="H18" s="9" t="inlineStr">
        <is>
          <t>MARRIED.</t>
        </is>
      </c>
      <c r="I18" s="10" t="n"/>
      <c r="J18" s="10" t="n"/>
      <c r="K18" s="11" t="inlineStr">
        <is>
          <t>WIDOWED.</t>
        </is>
      </c>
      <c r="L18" s="12" t="n"/>
      <c r="M18" s="12" t="n"/>
      <c r="N18" s="13" t="inlineStr">
        <is>
          <t>Check</t>
        </is>
      </c>
      <c r="O18" s="13" t="inlineStr">
        <is>
          <t>Check</t>
        </is>
      </c>
    </row>
    <row r="19">
      <c r="A19" s="14" t="inlineStr"/>
      <c r="B19" s="15" t="inlineStr">
        <is>
          <t>Persons</t>
        </is>
      </c>
      <c r="C19" s="15" t="inlineStr">
        <is>
          <t>Males</t>
        </is>
      </c>
      <c r="D19" s="15" t="inlineStr">
        <is>
          <t>Females</t>
        </is>
      </c>
      <c r="E19" s="15" t="inlineStr">
        <is>
          <t>Persons</t>
        </is>
      </c>
      <c r="F19" s="15" t="inlineStr">
        <is>
          <t>Males</t>
        </is>
      </c>
      <c r="G19" s="15" t="inlineStr">
        <is>
          <t>Females</t>
        </is>
      </c>
      <c r="H19" s="15" t="inlineStr">
        <is>
          <t>Persons</t>
        </is>
      </c>
      <c r="I19" s="15" t="inlineStr">
        <is>
          <t>Males</t>
        </is>
      </c>
      <c r="J19" s="15" t="inlineStr">
        <is>
          <t>Females</t>
        </is>
      </c>
      <c r="K19" s="15" t="inlineStr">
        <is>
          <t>Persons</t>
        </is>
      </c>
      <c r="L19" s="15" t="inlineStr">
        <is>
          <t>Males</t>
        </is>
      </c>
      <c r="M19" s="15" t="inlineStr">
        <is>
          <t>Females</t>
        </is>
      </c>
      <c r="N19" s="15" t="inlineStr">
        <is>
          <t>P=Sum</t>
        </is>
      </c>
      <c r="O19" s="15" t="inlineStr">
        <is>
          <t>M+F=P</t>
        </is>
      </c>
    </row>
    <row r="20">
      <c r="A20" s="16" t="inlineStr">
        <is>
          <t>Total</t>
        </is>
      </c>
      <c r="B20" s="17" t="n">
        <v>2241848</v>
      </c>
      <c r="C20" s="17" t="n">
        <v>1141060</v>
      </c>
      <c r="D20" s="17" t="n">
        <v>1100788</v>
      </c>
      <c r="E20" s="17" t="n">
        <v>1077436</v>
      </c>
      <c r="F20" s="17" t="n">
        <v>665093</v>
      </c>
      <c r="G20" s="17" t="n">
        <v>412343</v>
      </c>
      <c r="H20" s="17" t="n">
        <v>890171</v>
      </c>
      <c r="I20" s="17" t="n">
        <v>435373</v>
      </c>
      <c r="J20" s="17" t="n">
        <v>454798</v>
      </c>
      <c r="K20" s="17" t="n">
        <v>274241</v>
      </c>
      <c r="L20" s="17" t="n">
        <v>40594</v>
      </c>
      <c r="M20" s="17" t="n">
        <v>233647</v>
      </c>
      <c r="N20" s="18">
        <f>IF(B20=E20+H20+K20,"✓","✗")</f>
        <v/>
      </c>
      <c r="O20" s="18">
        <f>IF(B20=C20+D20,"✓","✗")</f>
        <v/>
      </c>
    </row>
    <row r="21">
      <c r="A21" s="19" t="inlineStr">
        <is>
          <t>0-5</t>
        </is>
      </c>
      <c r="B21" s="20" t="n">
        <v>317623</v>
      </c>
      <c r="C21" s="20" t="n">
        <v>155085</v>
      </c>
      <c r="D21" s="20" t="n">
        <v>162538</v>
      </c>
      <c r="E21" s="20" t="n">
        <v>317412</v>
      </c>
      <c r="F21" s="20" t="n">
        <v>155021</v>
      </c>
      <c r="G21" s="20" t="n">
        <v>162391</v>
      </c>
      <c r="H21" s="20" t="n">
        <v>154</v>
      </c>
      <c r="I21" s="20" t="n">
        <v>55</v>
      </c>
      <c r="J21" s="20" t="n">
        <v>99</v>
      </c>
      <c r="K21" s="20" t="n">
        <v>57</v>
      </c>
      <c r="L21" s="20" t="n">
        <v>9</v>
      </c>
      <c r="M21" s="20" t="n">
        <v>48</v>
      </c>
      <c r="N21" s="21">
        <f>IF(B21=E21+H21+K21,"✓",B21-(E21+H21+K21))</f>
        <v/>
      </c>
      <c r="O21" s="21">
        <f>IF(B21=C21+D21,"✓","✗")</f>
        <v/>
      </c>
    </row>
    <row r="22">
      <c r="A22" s="22" t="inlineStr">
        <is>
          <t>5-10</t>
        </is>
      </c>
      <c r="B22" s="23" t="n">
        <v>363476</v>
      </c>
      <c r="C22" s="23" t="n">
        <v>181294</v>
      </c>
      <c r="D22" s="23" t="n">
        <v>182182</v>
      </c>
      <c r="E22" s="23" t="n">
        <v>355836</v>
      </c>
      <c r="F22" s="23" t="n">
        <v>180358</v>
      </c>
      <c r="G22" s="23" t="n">
        <v>175478</v>
      </c>
      <c r="H22" s="23" t="n">
        <v>6984</v>
      </c>
      <c r="I22" s="23" t="n">
        <v>842</v>
      </c>
      <c r="J22" s="23" t="n">
        <v>6142</v>
      </c>
      <c r="K22" s="23" t="n">
        <v>656</v>
      </c>
      <c r="L22" s="23" t="n">
        <v>94</v>
      </c>
      <c r="M22" s="23" t="n">
        <v>562</v>
      </c>
      <c r="N22" s="24">
        <f>IF(B22=E22+H22+K22,"✓",B22-(E22+H22+K22))</f>
        <v/>
      </c>
      <c r="O22" s="24">
        <f>IF(B22=C22+D22,"✓","✗")</f>
        <v/>
      </c>
    </row>
    <row r="23">
      <c r="A23" s="19" t="inlineStr">
        <is>
          <t>10-15</t>
        </is>
      </c>
      <c r="B23" s="20" t="n">
        <v>253922</v>
      </c>
      <c r="C23" s="20" t="n">
        <v>143375</v>
      </c>
      <c r="D23" s="20" t="n">
        <v>110547</v>
      </c>
      <c r="E23" s="20" t="n">
        <v>199910</v>
      </c>
      <c r="F23" s="20" t="n">
        <v>140588</v>
      </c>
      <c r="G23" s="20" t="n">
        <v>59322</v>
      </c>
      <c r="H23" s="20" t="n">
        <v>51530</v>
      </c>
      <c r="I23" s="20" t="n">
        <v>2661</v>
      </c>
      <c r="J23" s="20" t="n">
        <v>48869</v>
      </c>
      <c r="K23" s="20" t="n">
        <v>2482</v>
      </c>
      <c r="L23" s="20" t="n">
        <v>126</v>
      </c>
      <c r="M23" s="20" t="n">
        <v>2356</v>
      </c>
      <c r="N23" s="21">
        <f>IF(B23=E23+H23+K23,"✓",B23-(E23+H23+K23))</f>
        <v/>
      </c>
      <c r="O23" s="21">
        <f>IF(B23=C23+D23,"✓","✗")</f>
        <v/>
      </c>
    </row>
    <row r="24">
      <c r="A24" s="22" t="inlineStr">
        <is>
          <t>15-20</t>
        </is>
      </c>
      <c r="B24" s="23" t="n">
        <v>202449</v>
      </c>
      <c r="C24" s="23" t="n">
        <v>93613</v>
      </c>
      <c r="D24" s="23" t="n">
        <v>108836</v>
      </c>
      <c r="E24" s="23" t="n">
        <v>88492</v>
      </c>
      <c r="F24" s="23" t="n">
        <v>81525</v>
      </c>
      <c r="G24" s="23" t="n">
        <v>6967</v>
      </c>
      <c r="H24" s="23" t="n">
        <v>106072</v>
      </c>
      <c r="I24" s="23" t="n">
        <v>11708</v>
      </c>
      <c r="J24" s="23" t="n">
        <v>94364</v>
      </c>
      <c r="K24" s="23" t="n">
        <v>7885</v>
      </c>
      <c r="L24" s="23" t="n">
        <v>380</v>
      </c>
      <c r="M24" s="23" t="n">
        <v>7505</v>
      </c>
      <c r="N24" s="24">
        <f>IF(B24=E24+H24+K24,"✓",B24-(E24+H24+K24))</f>
        <v/>
      </c>
      <c r="O24" s="24">
        <f>IF(B24=C24+D24,"✓","✗")</f>
        <v/>
      </c>
    </row>
    <row r="25">
      <c r="A25" s="19" t="inlineStr">
        <is>
          <t>20-40</t>
        </is>
      </c>
      <c r="B25" s="20" t="n">
        <v>720628</v>
      </c>
      <c r="C25" s="20" t="n">
        <v>363982</v>
      </c>
      <c r="D25" s="20" t="n">
        <v>356646</v>
      </c>
      <c r="E25" s="20" t="n">
        <v>106255</v>
      </c>
      <c r="F25" s="20" t="n">
        <v>99386</v>
      </c>
      <c r="G25" s="20" t="n">
        <v>6869</v>
      </c>
      <c r="H25" s="20" t="n">
        <v>517229</v>
      </c>
      <c r="I25" s="20" t="n">
        <v>251425</v>
      </c>
      <c r="J25" s="20" t="n">
        <v>265804</v>
      </c>
      <c r="K25" s="20" t="n">
        <v>97144</v>
      </c>
      <c r="L25" s="20" t="n">
        <v>13171</v>
      </c>
      <c r="M25" s="20" t="n">
        <v>83973</v>
      </c>
      <c r="N25" s="21">
        <f>IF(B25=E25+H25+K25,"✓",B25-(E25+H25+K25))</f>
        <v/>
      </c>
      <c r="O25" s="21">
        <f>IF(B25=C25+D25,"✓","✗")</f>
        <v/>
      </c>
    </row>
    <row r="26">
      <c r="A26" s="22" t="inlineStr">
        <is>
          <t>40-60</t>
        </is>
      </c>
      <c r="B26" s="23" t="n">
        <v>287656</v>
      </c>
      <c r="C26" s="23" t="n">
        <v>155113</v>
      </c>
      <c r="D26" s="23" t="n">
        <v>132543</v>
      </c>
      <c r="E26" s="23" t="n">
        <v>7608</v>
      </c>
      <c r="F26" s="23" t="n">
        <v>6597</v>
      </c>
      <c r="G26" s="23" t="n">
        <v>1011</v>
      </c>
      <c r="H26" s="23" t="n">
        <v>169156</v>
      </c>
      <c r="I26" s="23" t="n">
        <v>132497</v>
      </c>
      <c r="J26" s="23" t="n">
        <v>36659</v>
      </c>
      <c r="K26" s="23" t="n">
        <v>110892</v>
      </c>
      <c r="L26" s="23" t="n">
        <v>16019</v>
      </c>
      <c r="M26" s="23" t="n">
        <v>94873</v>
      </c>
      <c r="N26" s="24">
        <f>IF(B26=E26+H26+K26,"✓",B26-(E26+H26+K26))</f>
        <v/>
      </c>
      <c r="O26" s="24">
        <f>IF(B26=C26+D26,"✓","✗")</f>
        <v/>
      </c>
    </row>
    <row r="27">
      <c r="A27" s="19" t="inlineStr">
        <is>
          <t>60 and over</t>
        </is>
      </c>
      <c r="B27" s="20" t="n">
        <v>96094</v>
      </c>
      <c r="C27" s="20" t="n">
        <v>48598</v>
      </c>
      <c r="D27" s="20" t="n">
        <v>47496</v>
      </c>
      <c r="E27" s="20" t="n">
        <v>1923</v>
      </c>
      <c r="F27" s="20" t="n">
        <v>1618</v>
      </c>
      <c r="G27" s="20" t="n">
        <v>305</v>
      </c>
      <c r="H27" s="20" t="n">
        <v>39046</v>
      </c>
      <c r="I27" s="20" t="n">
        <v>36185</v>
      </c>
      <c r="J27" s="20" t="n">
        <v>2861</v>
      </c>
      <c r="K27" s="20" t="n">
        <v>55125</v>
      </c>
      <c r="L27" s="20" t="n">
        <v>10795</v>
      </c>
      <c r="M27" s="20" t="n">
        <v>44330</v>
      </c>
      <c r="N27" s="21">
        <f>IF(B27=E27+H27+K27,"✓",B27-(E27+H27+K27))</f>
        <v/>
      </c>
      <c r="O27" s="21">
        <f>IF(B27=C27+D27,"✓","✗")</f>
        <v/>
      </c>
    </row>
    <row r="28">
      <c r="A28" s="22" t="inlineStr">
        <is>
          <t>Total</t>
        </is>
      </c>
      <c r="B28" s="23" t="n">
        <v>2241848</v>
      </c>
      <c r="C28" s="23" t="n">
        <v>1141060</v>
      </c>
      <c r="D28" s="23" t="n">
        <v>1100788</v>
      </c>
      <c r="E28" s="23" t="n">
        <v>1077436</v>
      </c>
      <c r="F28" s="23" t="n">
        <v>665093</v>
      </c>
      <c r="G28" s="23" t="n">
        <v>412343</v>
      </c>
      <c r="H28" s="23" t="n">
        <v>890171</v>
      </c>
      <c r="I28" s="23" t="n">
        <v>435373</v>
      </c>
      <c r="J28" s="23" t="n">
        <v>454798</v>
      </c>
      <c r="K28" s="23" t="n">
        <v>274241</v>
      </c>
      <c r="L28" s="23" t="n">
        <v>40594</v>
      </c>
      <c r="M28" s="23" t="n">
        <v>233647</v>
      </c>
      <c r="N28" s="24">
        <f>IF(B28=E28+H28+K28,"✓",B28-(E28+H28+K28))</f>
        <v/>
      </c>
      <c r="O28" s="24">
        <f>IF(B28=C28+D28,"✓","✗")</f>
        <v/>
      </c>
    </row>
    <row r="29">
      <c r="A29" s="25" t="inlineStr">
        <is>
          <t>Verify: Sum</t>
        </is>
      </c>
      <c r="B29" s="26">
        <f>IF(SUM(B21:B28)=B20,"✓",SUM(B21:B28)-B20)</f>
        <v/>
      </c>
      <c r="C29" s="26">
        <f>IF(SUM(C21:C28)=C20,"✓",SUM(C21:C28)-C20)</f>
        <v/>
      </c>
      <c r="D29" s="26">
        <f>IF(SUM(D21:D28)=D20,"✓",SUM(D21:D28)-D20)</f>
        <v/>
      </c>
      <c r="E29" s="26">
        <f>IF(SUM(E21:E28)=E20,"✓",SUM(E21:E28)-E20)</f>
        <v/>
      </c>
      <c r="F29" s="26">
        <f>IF(SUM(F21:F28)=F20,"✓",SUM(F21:F28)-F20)</f>
        <v/>
      </c>
      <c r="G29" s="26">
        <f>IF(SUM(G21:G28)=G20,"✓",SUM(G21:G28)-G20)</f>
        <v/>
      </c>
      <c r="H29" s="26">
        <f>IF(SUM(H21:H28)=H20,"✓",SUM(H21:H28)-H20)</f>
        <v/>
      </c>
      <c r="I29" s="26">
        <f>IF(SUM(I21:I28)=I20,"✓",SUM(I21:I28)-I20)</f>
        <v/>
      </c>
      <c r="J29" s="26">
        <f>IF(SUM(J21:J28)=J20,"✓",SUM(J21:J28)-J20)</f>
        <v/>
      </c>
      <c r="K29" s="26">
        <f>IF(SUM(K21:K28)=K20,"✓",SUM(K21:K28)-K20)</f>
        <v/>
      </c>
      <c r="L29" s="26">
        <f>IF(SUM(L21:L28)=L20,"✓",SUM(L21:L28)-L20)</f>
        <v/>
      </c>
      <c r="M29" s="26">
        <f>IF(SUM(M21:M28)=M20,"✓",SUM(M21:M28)-M20)</f>
        <v/>
      </c>
    </row>
  </sheetData>
  <mergeCells count="8">
    <mergeCell ref="H18:J18"/>
    <mergeCell ref="K4:M4"/>
    <mergeCell ref="B4:D4"/>
    <mergeCell ref="H4:J4"/>
    <mergeCell ref="B18:D18"/>
    <mergeCell ref="E18:G18"/>
    <mergeCell ref="E4:G4"/>
    <mergeCell ref="K18:M18"/>
  </mergeCells>
  <conditionalFormatting sqref="N6:N15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15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N20:N29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O20:O29">
    <cfRule type="cellIs" priority="7" operator="equal" dxfId="0">
      <formula>"✓"</formula>
    </cfRule>
    <cfRule type="cellIs" priority="8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TABLE VII. AGE, SEX AND CIVIL CONDITION.</t>
        </is>
      </c>
    </row>
    <row r="2">
      <c r="A2" s="3" t="inlineStr">
        <is>
          <t>Cachar Plains - contd. Muhammadan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126698</v>
      </c>
      <c r="C5" s="17" t="n">
        <v>67055</v>
      </c>
      <c r="D5" s="17" t="n">
        <v>59643</v>
      </c>
      <c r="E5" s="17" t="n">
        <v>63472</v>
      </c>
      <c r="F5" s="17" t="n">
        <v>38084</v>
      </c>
      <c r="G5" s="17" t="n">
        <v>25388</v>
      </c>
      <c r="H5" s="17" t="n">
        <v>52407</v>
      </c>
      <c r="I5" s="17" t="n">
        <v>27126</v>
      </c>
      <c r="J5" s="17" t="n">
        <v>25281</v>
      </c>
      <c r="K5" s="17" t="n">
        <v>10819</v>
      </c>
      <c r="L5" s="17" t="n">
        <v>1845</v>
      </c>
      <c r="M5" s="17" t="n">
        <v>8974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0-5</t>
        </is>
      </c>
      <c r="B6" s="20" t="n">
        <v>20745</v>
      </c>
      <c r="C6" s="20" t="n">
        <v>10478</v>
      </c>
      <c r="D6" s="20" t="n">
        <v>10267</v>
      </c>
      <c r="E6" s="20" t="n">
        <v>20739</v>
      </c>
      <c r="F6" s="20" t="n">
        <v>10475</v>
      </c>
      <c r="G6" s="20" t="n">
        <v>10264</v>
      </c>
      <c r="H6" s="20" t="n">
        <v>6</v>
      </c>
      <c r="I6" s="20" t="n">
        <v>3</v>
      </c>
      <c r="J6" s="20" t="n">
        <v>3</v>
      </c>
      <c r="K6" s="20" t="n">
        <v>0</v>
      </c>
      <c r="L6" s="20" t="n">
        <v>0</v>
      </c>
      <c r="M6" s="20" t="n">
        <v>0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5-10</t>
        </is>
      </c>
      <c r="B7" s="23" t="n">
        <v>21685</v>
      </c>
      <c r="C7" s="23" t="n">
        <v>11243</v>
      </c>
      <c r="D7" s="23" t="n">
        <v>10442</v>
      </c>
      <c r="E7" s="23" t="n">
        <v>21504</v>
      </c>
      <c r="F7" s="23" t="n">
        <v>11196</v>
      </c>
      <c r="G7" s="23" t="n">
        <v>10308</v>
      </c>
      <c r="H7" s="23" t="n">
        <v>169</v>
      </c>
      <c r="I7" s="23" t="n">
        <v>46</v>
      </c>
      <c r="J7" s="23" t="n">
        <v>123</v>
      </c>
      <c r="K7" s="23" t="n">
        <v>12</v>
      </c>
      <c r="L7" s="23" t="n">
        <v>1</v>
      </c>
      <c r="M7" s="23" t="n">
        <v>11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10-15</t>
        </is>
      </c>
      <c r="B8" s="20" t="n">
        <v>14390</v>
      </c>
      <c r="C8" s="20" t="n">
        <v>8362</v>
      </c>
      <c r="D8" s="20" t="n">
        <v>6028</v>
      </c>
      <c r="E8" s="20" t="n">
        <v>12251</v>
      </c>
      <c r="F8" s="20" t="n">
        <v>8206</v>
      </c>
      <c r="G8" s="20" t="n">
        <v>4045</v>
      </c>
      <c r="H8" s="20" t="n">
        <v>2058</v>
      </c>
      <c r="I8" s="20" t="n">
        <v>152</v>
      </c>
      <c r="J8" s="20" t="n">
        <v>1906</v>
      </c>
      <c r="K8" s="20" t="n">
        <v>81</v>
      </c>
      <c r="L8" s="20" t="n">
        <v>4</v>
      </c>
      <c r="M8" s="20" t="n">
        <v>77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15-20</t>
        </is>
      </c>
      <c r="B9" s="23" t="n">
        <v>10884</v>
      </c>
      <c r="C9" s="23" t="n">
        <v>5157</v>
      </c>
      <c r="D9" s="23" t="n">
        <v>5727</v>
      </c>
      <c r="E9" s="23" t="n">
        <v>4765</v>
      </c>
      <c r="F9" s="23" t="n">
        <v>4251</v>
      </c>
      <c r="G9" s="23" t="n">
        <v>514</v>
      </c>
      <c r="H9" s="23" t="n">
        <v>5807</v>
      </c>
      <c r="I9" s="23" t="n">
        <v>871</v>
      </c>
      <c r="J9" s="23" t="n">
        <v>4936</v>
      </c>
      <c r="K9" s="23" t="n">
        <v>312</v>
      </c>
      <c r="L9" s="23" t="n">
        <v>35</v>
      </c>
      <c r="M9" s="23" t="n">
        <v>277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20-40</t>
        </is>
      </c>
      <c r="B10" s="20" t="n">
        <v>39015</v>
      </c>
      <c r="C10" s="20" t="n">
        <v>20981</v>
      </c>
      <c r="D10" s="20" t="n">
        <v>18034</v>
      </c>
      <c r="E10" s="20" t="n">
        <v>4028</v>
      </c>
      <c r="F10" s="20" t="n">
        <v>3812</v>
      </c>
      <c r="G10" s="20" t="n">
        <v>216</v>
      </c>
      <c r="H10" s="20" t="n">
        <v>31438</v>
      </c>
      <c r="I10" s="20" t="n">
        <v>16400</v>
      </c>
      <c r="J10" s="20" t="n">
        <v>15038</v>
      </c>
      <c r="K10" s="20" t="n">
        <v>3549</v>
      </c>
      <c r="L10" s="20" t="n">
        <v>769</v>
      </c>
      <c r="M10" s="20" t="n">
        <v>2780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40-60</t>
        </is>
      </c>
      <c r="B11" s="23" t="n">
        <v>15317</v>
      </c>
      <c r="C11" s="23" t="n">
        <v>8323</v>
      </c>
      <c r="D11" s="23" t="n">
        <v>6994</v>
      </c>
      <c r="E11" s="23" t="n">
        <v>159</v>
      </c>
      <c r="F11" s="23" t="n">
        <v>124</v>
      </c>
      <c r="G11" s="23" t="n">
        <v>35</v>
      </c>
      <c r="H11" s="23" t="n">
        <v>10624</v>
      </c>
      <c r="I11" s="23" t="n">
        <v>7615</v>
      </c>
      <c r="J11" s="23" t="n">
        <v>3009</v>
      </c>
      <c r="K11" s="23" t="n">
        <v>4534</v>
      </c>
      <c r="L11" s="23" t="n">
        <v>584</v>
      </c>
      <c r="M11" s="23" t="n">
        <v>3950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60 and over</t>
        </is>
      </c>
      <c r="B12" s="20" t="n">
        <v>4662</v>
      </c>
      <c r="C12" s="20" t="n">
        <v>2511</v>
      </c>
      <c r="D12" s="20" t="n">
        <v>2151</v>
      </c>
      <c r="E12" s="20" t="n">
        <v>26</v>
      </c>
      <c r="F12" s="20" t="n">
        <v>20</v>
      </c>
      <c r="G12" s="20" t="n">
        <v>6</v>
      </c>
      <c r="H12" s="20" t="n">
        <v>2305</v>
      </c>
      <c r="I12" s="20" t="n">
        <v>2039</v>
      </c>
      <c r="J12" s="20" t="n">
        <v>266</v>
      </c>
      <c r="K12" s="20" t="n">
        <v>2331</v>
      </c>
      <c r="L12" s="20" t="n">
        <v>452</v>
      </c>
      <c r="M12" s="20" t="n">
        <v>1879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Total</t>
        </is>
      </c>
      <c r="B13" s="23" t="n">
        <v>126698</v>
      </c>
      <c r="C13" s="23" t="n">
        <v>67055</v>
      </c>
      <c r="D13" s="23" t="n">
        <v>59643</v>
      </c>
      <c r="E13" s="23" t="n">
        <v>63472</v>
      </c>
      <c r="F13" s="23" t="n">
        <v>38084</v>
      </c>
      <c r="G13" s="23" t="n">
        <v>25388</v>
      </c>
      <c r="H13" s="23" t="n">
        <v>52407</v>
      </c>
      <c r="I13" s="23" t="n">
        <v>27126</v>
      </c>
      <c r="J13" s="23" t="n">
        <v>25281</v>
      </c>
      <c r="K13" s="23" t="n">
        <v>10819</v>
      </c>
      <c r="L13" s="23" t="n">
        <v>1845</v>
      </c>
      <c r="M13" s="23" t="n">
        <v>8974</v>
      </c>
      <c r="N13" s="24">
        <f>IF(B13=E13+H13+K13,"✓",B13-(E13+H13+K13))</f>
        <v/>
      </c>
      <c r="O13" s="24">
        <f>IF(B13=C13+D13,"✓","✗")</f>
        <v/>
      </c>
    </row>
    <row r="14">
      <c r="A14" s="25" t="inlineStr">
        <is>
          <t>Verify: Sum</t>
        </is>
      </c>
      <c r="B14" s="26">
        <f>IF(SUM(B6:B13)=B5,"✓",SUM(B6:B13)-B5)</f>
        <v/>
      </c>
      <c r="C14" s="26">
        <f>IF(SUM(C6:C13)=C5,"✓",SUM(C6:C13)-C5)</f>
        <v/>
      </c>
      <c r="D14" s="26">
        <f>IF(SUM(D6:D13)=D5,"✓",SUM(D6:D13)-D5)</f>
        <v/>
      </c>
      <c r="E14" s="26">
        <f>IF(SUM(E6:E13)=E5,"✓",SUM(E6:E13)-E5)</f>
        <v/>
      </c>
      <c r="F14" s="26">
        <f>IF(SUM(F6:F13)=F5,"✓",SUM(F6:F13)-F5)</f>
        <v/>
      </c>
      <c r="G14" s="26">
        <f>IF(SUM(G6:G13)=G5,"✓",SUM(G6:G13)-G5)</f>
        <v/>
      </c>
      <c r="H14" s="26">
        <f>IF(SUM(H6:H13)=H5,"✓",SUM(H6:H13)-H5)</f>
        <v/>
      </c>
      <c r="I14" s="26">
        <f>IF(SUM(I6:I13)=I5,"✓",SUM(I6:I13)-I5)</f>
        <v/>
      </c>
      <c r="J14" s="26">
        <f>IF(SUM(J6:J13)=J5,"✓",SUM(J6:J13)-J5)</f>
        <v/>
      </c>
      <c r="K14" s="26">
        <f>IF(SUM(K6:K13)=K5,"✓",SUM(K6:K13)-K5)</f>
        <v/>
      </c>
      <c r="L14" s="26">
        <f>IF(SUM(L6:L13)=L5,"✓",SUM(L6:L13)-L5)</f>
        <v/>
      </c>
      <c r="M14" s="26">
        <f>IF(SUM(M6:M13)=M5,"✓",SUM(M6:M13)-M5)</f>
        <v/>
      </c>
    </row>
  </sheetData>
  <mergeCells count="4">
    <mergeCell ref="H3:J3"/>
    <mergeCell ref="B3:D3"/>
    <mergeCell ref="E3:G3"/>
    <mergeCell ref="K3:M3"/>
  </mergeCells>
  <conditionalFormatting sqref="N5:N14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4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TABLE VII. AGE, SEX AND CIVIL CONDITION.</t>
        </is>
      </c>
    </row>
    <row r="2">
      <c r="A2" s="3" t="inlineStr">
        <is>
          <t>Sylhet All Religions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2241848</v>
      </c>
      <c r="C5" s="17" t="n">
        <v>1141060</v>
      </c>
      <c r="D5" s="17" t="n">
        <v>1100788</v>
      </c>
      <c r="E5" s="17" t="n">
        <v>1077436</v>
      </c>
      <c r="F5" s="17" t="n">
        <v>665093</v>
      </c>
      <c r="G5" s="17" t="n">
        <v>412343</v>
      </c>
      <c r="H5" s="17" t="n">
        <v>890171</v>
      </c>
      <c r="I5" s="17" t="n">
        <v>435373</v>
      </c>
      <c r="J5" s="17" t="n">
        <v>454798</v>
      </c>
      <c r="K5" s="17" t="n">
        <v>274241</v>
      </c>
      <c r="L5" s="17" t="n">
        <v>40594</v>
      </c>
      <c r="M5" s="17" t="n">
        <v>233647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0-5</t>
        </is>
      </c>
      <c r="B6" s="20" t="n">
        <v>317623</v>
      </c>
      <c r="C6" s="20" t="n">
        <v>155085</v>
      </c>
      <c r="D6" s="20" t="n">
        <v>162538</v>
      </c>
      <c r="E6" s="20" t="n">
        <v>317412</v>
      </c>
      <c r="F6" s="20" t="n">
        <v>155021</v>
      </c>
      <c r="G6" s="20" t="n">
        <v>162391</v>
      </c>
      <c r="H6" s="20" t="n">
        <v>154</v>
      </c>
      <c r="I6" s="20" t="n">
        <v>55</v>
      </c>
      <c r="J6" s="20" t="n">
        <v>99</v>
      </c>
      <c r="K6" s="20" t="n">
        <v>57</v>
      </c>
      <c r="L6" s="20" t="n">
        <v>9</v>
      </c>
      <c r="M6" s="20" t="n">
        <v>48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5-10</t>
        </is>
      </c>
      <c r="B7" s="23" t="n">
        <v>363476</v>
      </c>
      <c r="C7" s="23" t="n">
        <v>181294</v>
      </c>
      <c r="D7" s="23" t="n">
        <v>182182</v>
      </c>
      <c r="E7" s="23" t="n">
        <v>355836</v>
      </c>
      <c r="F7" s="23" t="n">
        <v>180358</v>
      </c>
      <c r="G7" s="23" t="n">
        <v>175478</v>
      </c>
      <c r="H7" s="23" t="n">
        <v>6984</v>
      </c>
      <c r="I7" s="23" t="n">
        <v>842</v>
      </c>
      <c r="J7" s="23" t="n">
        <v>6142</v>
      </c>
      <c r="K7" s="23" t="n">
        <v>656</v>
      </c>
      <c r="L7" s="23" t="n">
        <v>94</v>
      </c>
      <c r="M7" s="23" t="n">
        <v>562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10-15</t>
        </is>
      </c>
      <c r="B8" s="20" t="n">
        <v>253922</v>
      </c>
      <c r="C8" s="20" t="n">
        <v>143375</v>
      </c>
      <c r="D8" s="20" t="n">
        <v>110547</v>
      </c>
      <c r="E8" s="20" t="n">
        <v>199910</v>
      </c>
      <c r="F8" s="20" t="n">
        <v>140588</v>
      </c>
      <c r="G8" s="20" t="n">
        <v>59322</v>
      </c>
      <c r="H8" s="20" t="n">
        <v>51530</v>
      </c>
      <c r="I8" s="20" t="n">
        <v>2661</v>
      </c>
      <c r="J8" s="20" t="n">
        <v>48869</v>
      </c>
      <c r="K8" s="20" t="n">
        <v>2482</v>
      </c>
      <c r="L8" s="20" t="n">
        <v>126</v>
      </c>
      <c r="M8" s="20" t="n">
        <v>2356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15-20</t>
        </is>
      </c>
      <c r="B9" s="23" t="n">
        <v>202449</v>
      </c>
      <c r="C9" s="23" t="n">
        <v>93613</v>
      </c>
      <c r="D9" s="23" t="n">
        <v>108836</v>
      </c>
      <c r="E9" s="23" t="n">
        <v>88492</v>
      </c>
      <c r="F9" s="23" t="n">
        <v>81525</v>
      </c>
      <c r="G9" s="23" t="n">
        <v>6967</v>
      </c>
      <c r="H9" s="23" t="n">
        <v>106072</v>
      </c>
      <c r="I9" s="23" t="n">
        <v>11708</v>
      </c>
      <c r="J9" s="23" t="n">
        <v>94364</v>
      </c>
      <c r="K9" s="23" t="n">
        <v>7885</v>
      </c>
      <c r="L9" s="23" t="n">
        <v>380</v>
      </c>
      <c r="M9" s="23" t="n">
        <v>7505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20-40</t>
        </is>
      </c>
      <c r="B10" s="20" t="n">
        <v>720628</v>
      </c>
      <c r="C10" s="20" t="n">
        <v>363982</v>
      </c>
      <c r="D10" s="20" t="n">
        <v>356646</v>
      </c>
      <c r="E10" s="20" t="n">
        <v>106255</v>
      </c>
      <c r="F10" s="20" t="n">
        <v>99386</v>
      </c>
      <c r="G10" s="20" t="n">
        <v>6869</v>
      </c>
      <c r="H10" s="20" t="n">
        <v>517229</v>
      </c>
      <c r="I10" s="20" t="n">
        <v>251425</v>
      </c>
      <c r="J10" s="20" t="n">
        <v>265804</v>
      </c>
      <c r="K10" s="20" t="n">
        <v>97144</v>
      </c>
      <c r="L10" s="20" t="n">
        <v>13171</v>
      </c>
      <c r="M10" s="20" t="n">
        <v>83973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40-60</t>
        </is>
      </c>
      <c r="B11" s="23" t="n">
        <v>287656</v>
      </c>
      <c r="C11" s="23" t="n">
        <v>155113</v>
      </c>
      <c r="D11" s="23" t="n">
        <v>132543</v>
      </c>
      <c r="E11" s="23" t="n">
        <v>7608</v>
      </c>
      <c r="F11" s="23" t="n">
        <v>6597</v>
      </c>
      <c r="G11" s="23" t="n">
        <v>1011</v>
      </c>
      <c r="H11" s="23" t="n">
        <v>169156</v>
      </c>
      <c r="I11" s="23" t="n">
        <v>132497</v>
      </c>
      <c r="J11" s="23" t="n">
        <v>36659</v>
      </c>
      <c r="K11" s="23" t="n">
        <v>110892</v>
      </c>
      <c r="L11" s="23" t="n">
        <v>16019</v>
      </c>
      <c r="M11" s="23" t="n">
        <v>94873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60 and over</t>
        </is>
      </c>
      <c r="B12" s="20" t="n">
        <v>96094</v>
      </c>
      <c r="C12" s="20" t="n">
        <v>48598</v>
      </c>
      <c r="D12" s="20" t="n">
        <v>47496</v>
      </c>
      <c r="E12" s="20" t="n">
        <v>1923</v>
      </c>
      <c r="F12" s="20" t="n">
        <v>1618</v>
      </c>
      <c r="G12" s="20" t="n">
        <v>305</v>
      </c>
      <c r="H12" s="20" t="n">
        <v>39046</v>
      </c>
      <c r="I12" s="20" t="n">
        <v>36185</v>
      </c>
      <c r="J12" s="20" t="n">
        <v>2861</v>
      </c>
      <c r="K12" s="20" t="n">
        <v>55125</v>
      </c>
      <c r="L12" s="20" t="n">
        <v>10795</v>
      </c>
      <c r="M12" s="20" t="n">
        <v>44330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Total</t>
        </is>
      </c>
      <c r="B13" s="23" t="n">
        <v>2241848</v>
      </c>
      <c r="C13" s="23" t="n">
        <v>1141060</v>
      </c>
      <c r="D13" s="23" t="n">
        <v>1100788</v>
      </c>
      <c r="E13" s="23" t="n">
        <v>1077436</v>
      </c>
      <c r="F13" s="23" t="n">
        <v>665093</v>
      </c>
      <c r="G13" s="23" t="n">
        <v>412343</v>
      </c>
      <c r="H13" s="23" t="n">
        <v>890171</v>
      </c>
      <c r="I13" s="23" t="n">
        <v>435373</v>
      </c>
      <c r="J13" s="23" t="n">
        <v>454798</v>
      </c>
      <c r="K13" s="23" t="n">
        <v>274241</v>
      </c>
      <c r="L13" s="23" t="n">
        <v>40594</v>
      </c>
      <c r="M13" s="23" t="n">
        <v>233647</v>
      </c>
      <c r="N13" s="24">
        <f>IF(B13=E13+H13+K13,"✓",B13-(E13+H13+K13))</f>
        <v/>
      </c>
      <c r="O13" s="24">
        <f>IF(B13=C13+D13,"✓","✗")</f>
        <v/>
      </c>
    </row>
    <row r="14">
      <c r="A14" s="25" t="inlineStr">
        <is>
          <t>Verify: Sum</t>
        </is>
      </c>
      <c r="B14" s="26">
        <f>IF(SUM(B6:B13)=B5,"✓",SUM(B6:B13)-B5)</f>
        <v/>
      </c>
      <c r="C14" s="26">
        <f>IF(SUM(C6:C13)=C5,"✓",SUM(C6:C13)-C5)</f>
        <v/>
      </c>
      <c r="D14" s="26">
        <f>IF(SUM(D6:D13)=D5,"✓",SUM(D6:D13)-D5)</f>
        <v/>
      </c>
      <c r="E14" s="26">
        <f>IF(SUM(E6:E13)=E5,"✓",SUM(E6:E13)-E5)</f>
        <v/>
      </c>
      <c r="F14" s="26">
        <f>IF(SUM(F6:F13)=F5,"✓",SUM(F6:F13)-F5)</f>
        <v/>
      </c>
      <c r="G14" s="26">
        <f>IF(SUM(G6:G13)=G5,"✓",SUM(G6:G13)-G5)</f>
        <v/>
      </c>
      <c r="H14" s="26">
        <f>IF(SUM(H6:H13)=H5,"✓",SUM(H6:H13)-H5)</f>
        <v/>
      </c>
      <c r="I14" s="26">
        <f>IF(SUM(I6:I13)=I5,"✓",SUM(I6:I13)-I5)</f>
        <v/>
      </c>
      <c r="J14" s="26">
        <f>IF(SUM(J6:J13)=J5,"✓",SUM(J6:J13)-J5)</f>
        <v/>
      </c>
      <c r="K14" s="26">
        <f>IF(SUM(K6:K13)=K5,"✓",SUM(K6:K13)-K5)</f>
        <v/>
      </c>
      <c r="L14" s="26">
        <f>IF(SUM(L6:L13)=L5,"✓",SUM(L6:L13)-L5)</f>
        <v/>
      </c>
      <c r="M14" s="26">
        <f>IF(SUM(M6:M13)=M5,"✓",SUM(M6:M13)-M5)</f>
        <v/>
      </c>
    </row>
  </sheetData>
  <mergeCells count="4">
    <mergeCell ref="H3:J3"/>
    <mergeCell ref="B3:D3"/>
    <mergeCell ref="E3:G3"/>
    <mergeCell ref="K3:M3"/>
  </mergeCells>
  <conditionalFormatting sqref="N5:N14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4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2026-03-18T03:31:51Z</dcterms:created>
  <dcterms:modified xmlns:dcterms="http://purl.org/dc/terms/" xmlns:xsi="http://www.w3.org/2001/XMLSchema-instance" xsi:type="dcterms:W3CDTF">2026-03-18T03:31:51Z</dcterms:modified>
</cp:coreProperties>
</file>