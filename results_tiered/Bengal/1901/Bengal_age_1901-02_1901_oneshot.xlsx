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BANKURA-concld." sheetId="2" state="visible" r:id="rId2"/>
    <sheet xmlns:r="http://schemas.openxmlformats.org/officeDocument/2006/relationships" name="MIDNAPORE." sheetId="3" state="visible" r:id="rId3"/>
    <sheet xmlns:r="http://schemas.openxmlformats.org/officeDocument/2006/relationships" name="HOWRAH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Howrah</t>
        </is>
      </c>
    </row>
    <row r="2">
      <c r="A2" s="2" t="inlineStr">
        <is>
          <t>Source: PART B.-DETAILS FOR DISTRICTS.</t>
        </is>
      </c>
    </row>
    <row r="3">
      <c r="A3" s="3" t="inlineStr">
        <is>
          <t>BANKURA-concld.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280542</v>
      </c>
      <c r="C6" s="17" t="n">
        <v>138778</v>
      </c>
      <c r="D6" s="17" t="n">
        <v>141764</v>
      </c>
      <c r="E6" s="17" t="n">
        <v>133106</v>
      </c>
      <c r="F6" s="17" t="n">
        <v>78188</v>
      </c>
      <c r="G6" s="17" t="n">
        <v>54918</v>
      </c>
      <c r="H6" s="17" t="n">
        <v>120970</v>
      </c>
      <c r="I6" s="17" t="n">
        <v>57330</v>
      </c>
      <c r="J6" s="17" t="n">
        <v>63640</v>
      </c>
      <c r="K6" s="17" t="n">
        <v>26466</v>
      </c>
      <c r="L6" s="17" t="n">
        <v>3260</v>
      </c>
      <c r="M6" s="17" t="n">
        <v>23206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MIDNAPORE.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641016</v>
      </c>
      <c r="C12" s="17" t="n">
        <v>314068</v>
      </c>
      <c r="D12" s="17" t="n">
        <v>326948</v>
      </c>
      <c r="E12" s="17" t="n">
        <v>289852</v>
      </c>
      <c r="F12" s="17" t="n">
        <v>169060</v>
      </c>
      <c r="G12" s="17" t="n">
        <v>120792</v>
      </c>
      <c r="H12" s="17" t="n">
        <v>288561</v>
      </c>
      <c r="I12" s="17" t="n">
        <v>138476</v>
      </c>
      <c r="J12" s="17" t="n">
        <v>150085</v>
      </c>
      <c r="K12" s="17" t="n">
        <v>62603</v>
      </c>
      <c r="L12" s="17" t="n">
        <v>6532</v>
      </c>
      <c r="M12" s="17" t="n">
        <v>56071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  <row r="15">
      <c r="A15" s="3" t="inlineStr">
        <is>
          <t>HOWRAH.</t>
        </is>
      </c>
    </row>
    <row r="16">
      <c r="A16" s="4" t="inlineStr">
        <is>
          <t>Age</t>
        </is>
      </c>
      <c r="B16" s="5" t="inlineStr">
        <is>
          <t>POPULATION.</t>
        </is>
      </c>
      <c r="C16" s="6" t="n"/>
      <c r="D16" s="6" t="n"/>
      <c r="E16" s="7" t="inlineStr">
        <is>
          <t>UNMARRIED.</t>
        </is>
      </c>
      <c r="F16" s="8" t="n"/>
      <c r="G16" s="8" t="n"/>
      <c r="H16" s="9" t="inlineStr">
        <is>
          <t>MARRIED.</t>
        </is>
      </c>
      <c r="I16" s="10" t="n"/>
      <c r="J16" s="10" t="n"/>
      <c r="K16" s="11" t="inlineStr">
        <is>
          <t>WIDOWED.</t>
        </is>
      </c>
      <c r="L16" s="12" t="n"/>
      <c r="M16" s="12" t="n"/>
      <c r="N16" s="13" t="inlineStr">
        <is>
          <t>Check</t>
        </is>
      </c>
    </row>
    <row r="17">
      <c r="A17" s="14" t="inlineStr"/>
      <c r="B17" s="15" t="inlineStr">
        <is>
          <t>Persons</t>
        </is>
      </c>
      <c r="C17" s="15" t="inlineStr">
        <is>
          <t>Males</t>
        </is>
      </c>
      <c r="D17" s="15" t="inlineStr">
        <is>
          <t>Females</t>
        </is>
      </c>
      <c r="E17" s="15" t="inlineStr">
        <is>
          <t>Persons</t>
        </is>
      </c>
      <c r="F17" s="15" t="inlineStr">
        <is>
          <t>Males</t>
        </is>
      </c>
      <c r="G17" s="15" t="inlineStr">
        <is>
          <t>Females</t>
        </is>
      </c>
      <c r="H17" s="15" t="inlineStr">
        <is>
          <t>Persons</t>
        </is>
      </c>
      <c r="I17" s="15" t="inlineStr">
        <is>
          <t>Males</t>
        </is>
      </c>
      <c r="J17" s="15" t="inlineStr">
        <is>
          <t>Females</t>
        </is>
      </c>
      <c r="K17" s="15" t="inlineStr">
        <is>
          <t>Persons</t>
        </is>
      </c>
      <c r="L17" s="15" t="inlineStr">
        <is>
          <t>Males</t>
        </is>
      </c>
      <c r="M17" s="15" t="inlineStr">
        <is>
          <t>Females</t>
        </is>
      </c>
      <c r="N17" s="15" t="inlineStr">
        <is>
          <t>M+F=P</t>
        </is>
      </c>
    </row>
    <row r="18">
      <c r="A18" s="16" t="inlineStr">
        <is>
          <t>Total</t>
        </is>
      </c>
      <c r="B18" s="17" t="n">
        <v>1701028</v>
      </c>
      <c r="C18" s="17" t="n">
        <v>879050</v>
      </c>
      <c r="D18" s="17" t="n">
        <v>821978</v>
      </c>
      <c r="E18" s="17" t="n">
        <v>638107</v>
      </c>
      <c r="F18" s="17" t="n">
        <v>416390</v>
      </c>
      <c r="G18" s="17" t="n">
        <v>221717</v>
      </c>
      <c r="H18" s="17" t="n">
        <v>816831</v>
      </c>
      <c r="I18" s="17" t="n">
        <v>431804</v>
      </c>
      <c r="J18" s="17" t="n">
        <v>385027</v>
      </c>
      <c r="K18" s="17" t="n">
        <v>246090</v>
      </c>
      <c r="L18" s="17" t="n">
        <v>30856</v>
      </c>
      <c r="M18" s="17" t="n">
        <v>215234</v>
      </c>
      <c r="N18" s="18">
        <f>IF(B18=C18+D18,"✓","✗")</f>
        <v/>
      </c>
    </row>
    <row r="19">
      <c r="A19" s="19" t="inlineStr">
        <is>
          <t>Verify: Sum</t>
        </is>
      </c>
      <c r="B19" s="20">
        <f>IF(SUM(B19:B18)=B18,"✓",SUM(B19:B18)-B18)</f>
        <v/>
      </c>
      <c r="C19" s="20">
        <f>IF(SUM(C19:C18)=C18,"✓",SUM(C19:C18)-C18)</f>
        <v/>
      </c>
      <c r="D19" s="20">
        <f>IF(SUM(D19:D18)=D18,"✓",SUM(D19:D18)-D18)</f>
        <v/>
      </c>
      <c r="E19" s="20">
        <f>IF(SUM(E19:E18)=E18,"✓",SUM(E19:E18)-E18)</f>
        <v/>
      </c>
      <c r="F19" s="20">
        <f>IF(SUM(F19:F18)=F18,"✓",SUM(F19:F18)-F18)</f>
        <v/>
      </c>
      <c r="G19" s="20">
        <f>IF(SUM(G19:G18)=G18,"✓",SUM(G19:G18)-G18)</f>
        <v/>
      </c>
      <c r="H19" s="20">
        <f>IF(SUM(H19:H18)=H18,"✓",SUM(H19:H18)-H18)</f>
        <v/>
      </c>
      <c r="I19" s="20">
        <f>IF(SUM(I19:I18)=I18,"✓",SUM(I19:I18)-I18)</f>
        <v/>
      </c>
      <c r="J19" s="20">
        <f>IF(SUM(J19:J18)=J18,"✓",SUM(J19:J18)-J18)</f>
        <v/>
      </c>
      <c r="K19" s="20">
        <f>IF(SUM(K19:K18)=K18,"✓",SUM(K19:K18)-K18)</f>
        <v/>
      </c>
      <c r="L19" s="20">
        <f>IF(SUM(L19:L18)=L18,"✓",SUM(L19:L18)-L18)</f>
        <v/>
      </c>
      <c r="M19" s="20">
        <f>IF(SUM(M19:M18)=M18,"✓",SUM(M19:M18)-M18)</f>
        <v/>
      </c>
    </row>
  </sheetData>
  <mergeCells count="12">
    <mergeCell ref="B10:D10"/>
    <mergeCell ref="H16:J16"/>
    <mergeCell ref="E10:G10"/>
    <mergeCell ref="H10:J10"/>
    <mergeCell ref="K10:M10"/>
    <mergeCell ref="K4:M4"/>
    <mergeCell ref="B4:D4"/>
    <mergeCell ref="H4:J4"/>
    <mergeCell ref="E4:G4"/>
    <mergeCell ref="K16:M16"/>
    <mergeCell ref="B16:D16"/>
    <mergeCell ref="E16:G16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18:N19">
    <cfRule type="cellIs" priority="5" operator="equal" dxfId="0">
      <formula>"✓"</formula>
    </cfRule>
    <cfRule type="cellIs" priority="6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Howrah</t>
        </is>
      </c>
    </row>
    <row r="2">
      <c r="A2" s="3" t="inlineStr">
        <is>
          <t>BANKURA-concld.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280542</v>
      </c>
      <c r="C5" s="17" t="n">
        <v>138778</v>
      </c>
      <c r="D5" s="17" t="n">
        <v>141764</v>
      </c>
      <c r="E5" s="17" t="n">
        <v>133106</v>
      </c>
      <c r="F5" s="17" t="n">
        <v>78188</v>
      </c>
      <c r="G5" s="17" t="n">
        <v>54918</v>
      </c>
      <c r="H5" s="17" t="n">
        <v>120970</v>
      </c>
      <c r="I5" s="17" t="n">
        <v>57330</v>
      </c>
      <c r="J5" s="17" t="n">
        <v>63640</v>
      </c>
      <c r="K5" s="17" t="n">
        <v>26466</v>
      </c>
      <c r="L5" s="17" t="n">
        <v>3260</v>
      </c>
      <c r="M5" s="17" t="n">
        <v>23206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Howrah</t>
        </is>
      </c>
    </row>
    <row r="2">
      <c r="A2" s="3" t="inlineStr">
        <is>
          <t>MIDNAPORE.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641016</v>
      </c>
      <c r="C5" s="17" t="n">
        <v>314068</v>
      </c>
      <c r="D5" s="17" t="n">
        <v>326948</v>
      </c>
      <c r="E5" s="17" t="n">
        <v>289852</v>
      </c>
      <c r="F5" s="17" t="n">
        <v>169060</v>
      </c>
      <c r="G5" s="17" t="n">
        <v>120792</v>
      </c>
      <c r="H5" s="17" t="n">
        <v>288561</v>
      </c>
      <c r="I5" s="17" t="n">
        <v>138476</v>
      </c>
      <c r="J5" s="17" t="n">
        <v>150085</v>
      </c>
      <c r="K5" s="17" t="n">
        <v>62603</v>
      </c>
      <c r="L5" s="17" t="n">
        <v>6532</v>
      </c>
      <c r="M5" s="17" t="n">
        <v>56071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Howrah</t>
        </is>
      </c>
    </row>
    <row r="2">
      <c r="A2" s="3" t="inlineStr">
        <is>
          <t>HOWRAH.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1701028</v>
      </c>
      <c r="C5" s="17" t="n">
        <v>879050</v>
      </c>
      <c r="D5" s="17" t="n">
        <v>821978</v>
      </c>
      <c r="E5" s="17" t="n">
        <v>638107</v>
      </c>
      <c r="F5" s="17" t="n">
        <v>416390</v>
      </c>
      <c r="G5" s="17" t="n">
        <v>221717</v>
      </c>
      <c r="H5" s="17" t="n">
        <v>816831</v>
      </c>
      <c r="I5" s="17" t="n">
        <v>431804</v>
      </c>
      <c r="J5" s="17" t="n">
        <v>385027</v>
      </c>
      <c r="K5" s="17" t="n">
        <v>246090</v>
      </c>
      <c r="L5" s="17" t="n">
        <v>30856</v>
      </c>
      <c r="M5" s="17" t="n">
        <v>215234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2026-03-18T20:53:47Z</dcterms:created>
  <dcterms:modified xmlns:dcterms="http://purl.org/dc/terms/" xmlns:xsi="http://www.w3.org/2001/XMLSchema-instance" xsi:type="dcterms:W3CDTF">2026-03-18T20:53:47Z</dcterms:modified>
</cp:coreProperties>
</file>